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ron/Documents/2026/PLE Analysis/"/>
    </mc:Choice>
  </mc:AlternateContent>
  <xr:revisionPtr revIDLastSave="0" documentId="13_ncr:1_{7C4B103D-C6EF-8C49-8D8B-4711C345E905}" xr6:coauthVersionLast="47" xr6:coauthVersionMax="47" xr10:uidLastSave="{00000000-0000-0000-0000-000000000000}"/>
  <bookViews>
    <workbookView xWindow="30240" yWindow="0" windowWidth="38400" windowHeight="21600" xr2:uid="{00000000-000D-0000-FFFF-FFFF00000000}"/>
  </bookViews>
  <sheets>
    <sheet name="ple digest 2023 - 2025" sheetId="1" r:id="rId1"/>
    <sheet name="sne" sheetId="2" r:id="rId2"/>
  </sheets>
  <definedNames>
    <definedName name="_xlnm._FilterDatabase" localSheetId="0" hidden="1">'ple digest 2023 - 2025'!$A$1:$AW$587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10" i="1" l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X410" i="1"/>
  <c r="AV410" i="1" s="1"/>
  <c r="X411" i="1"/>
  <c r="AV411" i="1" s="1"/>
  <c r="X412" i="1"/>
  <c r="X413" i="1"/>
  <c r="X414" i="1"/>
  <c r="X415" i="1"/>
  <c r="AV415" i="1" s="1"/>
  <c r="X416" i="1"/>
  <c r="AV416" i="1" s="1"/>
  <c r="X417" i="1"/>
  <c r="AV417" i="1" s="1"/>
  <c r="X418" i="1"/>
  <c r="AV418" i="1" s="1"/>
  <c r="X419" i="1"/>
  <c r="AV419" i="1" s="1"/>
  <c r="X420" i="1"/>
  <c r="X421" i="1"/>
  <c r="AV421" i="1" s="1"/>
  <c r="X422" i="1"/>
  <c r="X423" i="1"/>
  <c r="AV423" i="1" s="1"/>
  <c r="X424" i="1"/>
  <c r="AV424" i="1" s="1"/>
  <c r="X425" i="1"/>
  <c r="AV425" i="1" s="1"/>
  <c r="X426" i="1"/>
  <c r="AV426" i="1" s="1"/>
  <c r="X427" i="1"/>
  <c r="AV427" i="1" s="1"/>
  <c r="X428" i="1"/>
  <c r="X429" i="1"/>
  <c r="AV429" i="1" s="1"/>
  <c r="X430" i="1"/>
  <c r="X431" i="1"/>
  <c r="AV431" i="1" s="1"/>
  <c r="X432" i="1"/>
  <c r="AV432" i="1" s="1"/>
  <c r="X433" i="1"/>
  <c r="AV433" i="1" s="1"/>
  <c r="X434" i="1"/>
  <c r="AV434" i="1" s="1"/>
  <c r="X435" i="1"/>
  <c r="AV435" i="1" s="1"/>
  <c r="X436" i="1"/>
  <c r="X437" i="1"/>
  <c r="X438" i="1"/>
  <c r="X439" i="1"/>
  <c r="AV439" i="1" s="1"/>
  <c r="X440" i="1"/>
  <c r="AV440" i="1" s="1"/>
  <c r="X441" i="1"/>
  <c r="AV441" i="1" s="1"/>
  <c r="X442" i="1"/>
  <c r="AV442" i="1" s="1"/>
  <c r="X443" i="1"/>
  <c r="AV443" i="1" s="1"/>
  <c r="X444" i="1"/>
  <c r="X445" i="1"/>
  <c r="X446" i="1"/>
  <c r="X447" i="1"/>
  <c r="AV447" i="1" s="1"/>
  <c r="X448" i="1"/>
  <c r="AV448" i="1" s="1"/>
  <c r="X449" i="1"/>
  <c r="AV449" i="1" s="1"/>
  <c r="X450" i="1"/>
  <c r="AV450" i="1" s="1"/>
  <c r="X451" i="1"/>
  <c r="AV451" i="1" s="1"/>
  <c r="X452" i="1"/>
  <c r="X453" i="1"/>
  <c r="X454" i="1"/>
  <c r="X455" i="1"/>
  <c r="AV455" i="1" s="1"/>
  <c r="X456" i="1"/>
  <c r="AV456" i="1" s="1"/>
  <c r="X457" i="1"/>
  <c r="AV457" i="1" s="1"/>
  <c r="X458" i="1"/>
  <c r="AV458" i="1" s="1"/>
  <c r="X459" i="1"/>
  <c r="AV459" i="1" s="1"/>
  <c r="X460" i="1"/>
  <c r="X461" i="1"/>
  <c r="X462" i="1"/>
  <c r="X463" i="1"/>
  <c r="AV463" i="1" s="1"/>
  <c r="X464" i="1"/>
  <c r="AV464" i="1" s="1"/>
  <c r="X465" i="1"/>
  <c r="AV465" i="1" s="1"/>
  <c r="X466" i="1"/>
  <c r="AV466" i="1" s="1"/>
  <c r="X467" i="1"/>
  <c r="AV467" i="1" s="1"/>
  <c r="X468" i="1"/>
  <c r="X469" i="1"/>
  <c r="X470" i="1"/>
  <c r="X471" i="1"/>
  <c r="AV471" i="1" s="1"/>
  <c r="X472" i="1"/>
  <c r="AV472" i="1" s="1"/>
  <c r="X473" i="1"/>
  <c r="AV473" i="1" s="1"/>
  <c r="X474" i="1"/>
  <c r="AV474" i="1" s="1"/>
  <c r="X475" i="1"/>
  <c r="AV475" i="1" s="1"/>
  <c r="X476" i="1"/>
  <c r="X477" i="1"/>
  <c r="X478" i="1"/>
  <c r="X479" i="1"/>
  <c r="AV479" i="1" s="1"/>
  <c r="X480" i="1"/>
  <c r="AV480" i="1" s="1"/>
  <c r="X481" i="1"/>
  <c r="AV481" i="1" s="1"/>
  <c r="X482" i="1"/>
  <c r="AV482" i="1" s="1"/>
  <c r="X483" i="1"/>
  <c r="AV483" i="1" s="1"/>
  <c r="X484" i="1"/>
  <c r="X485" i="1"/>
  <c r="AV485" i="1" s="1"/>
  <c r="X486" i="1"/>
  <c r="X487" i="1"/>
  <c r="AV487" i="1" s="1"/>
  <c r="X488" i="1"/>
  <c r="AV488" i="1" s="1"/>
  <c r="X489" i="1"/>
  <c r="AV489" i="1" s="1"/>
  <c r="X490" i="1"/>
  <c r="AV490" i="1" s="1"/>
  <c r="X491" i="1"/>
  <c r="AV491" i="1" s="1"/>
  <c r="X492" i="1"/>
  <c r="X493" i="1"/>
  <c r="AV493" i="1" s="1"/>
  <c r="X494" i="1"/>
  <c r="X495" i="1"/>
  <c r="AV495" i="1" s="1"/>
  <c r="X496" i="1"/>
  <c r="AV496" i="1" s="1"/>
  <c r="X497" i="1"/>
  <c r="AV497" i="1" s="1"/>
  <c r="X498" i="1"/>
  <c r="AV498" i="1" s="1"/>
  <c r="X499" i="1"/>
  <c r="AV499" i="1" s="1"/>
  <c r="X500" i="1"/>
  <c r="X501" i="1"/>
  <c r="X502" i="1"/>
  <c r="X503" i="1"/>
  <c r="AV503" i="1" s="1"/>
  <c r="X504" i="1"/>
  <c r="AV504" i="1" s="1"/>
  <c r="X505" i="1"/>
  <c r="AV505" i="1" s="1"/>
  <c r="X506" i="1"/>
  <c r="AV506" i="1" s="1"/>
  <c r="X507" i="1"/>
  <c r="AV507" i="1" s="1"/>
  <c r="X508" i="1"/>
  <c r="X509" i="1"/>
  <c r="X510" i="1"/>
  <c r="X511" i="1"/>
  <c r="AV511" i="1" s="1"/>
  <c r="X512" i="1"/>
  <c r="AV512" i="1" s="1"/>
  <c r="X513" i="1"/>
  <c r="AV513" i="1" s="1"/>
  <c r="X514" i="1"/>
  <c r="AV514" i="1" s="1"/>
  <c r="X515" i="1"/>
  <c r="AV515" i="1" s="1"/>
  <c r="X516" i="1"/>
  <c r="X517" i="1"/>
  <c r="X518" i="1"/>
  <c r="X519" i="1"/>
  <c r="AV519" i="1" s="1"/>
  <c r="X520" i="1"/>
  <c r="AV520" i="1" s="1"/>
  <c r="X521" i="1"/>
  <c r="AV521" i="1" s="1"/>
  <c r="X522" i="1"/>
  <c r="AV522" i="1" s="1"/>
  <c r="X523" i="1"/>
  <c r="AV523" i="1" s="1"/>
  <c r="X524" i="1"/>
  <c r="X525" i="1"/>
  <c r="X526" i="1"/>
  <c r="X527" i="1"/>
  <c r="AV527" i="1" s="1"/>
  <c r="X528" i="1"/>
  <c r="AV528" i="1" s="1"/>
  <c r="X529" i="1"/>
  <c r="AV529" i="1" s="1"/>
  <c r="X530" i="1"/>
  <c r="AV530" i="1" s="1"/>
  <c r="X531" i="1"/>
  <c r="AV531" i="1" s="1"/>
  <c r="X532" i="1"/>
  <c r="X533" i="1"/>
  <c r="X534" i="1"/>
  <c r="X535" i="1"/>
  <c r="AV535" i="1" s="1"/>
  <c r="X536" i="1"/>
  <c r="AV536" i="1" s="1"/>
  <c r="X537" i="1"/>
  <c r="AV537" i="1" s="1"/>
  <c r="X538" i="1"/>
  <c r="AV538" i="1" s="1"/>
  <c r="X539" i="1"/>
  <c r="AV539" i="1" s="1"/>
  <c r="X540" i="1"/>
  <c r="X541" i="1"/>
  <c r="X542" i="1"/>
  <c r="X543" i="1"/>
  <c r="AV543" i="1" s="1"/>
  <c r="X544" i="1"/>
  <c r="AV544" i="1" s="1"/>
  <c r="X545" i="1"/>
  <c r="AV545" i="1" s="1"/>
  <c r="X546" i="1"/>
  <c r="AV546" i="1" s="1"/>
  <c r="X547" i="1"/>
  <c r="AV547" i="1" s="1"/>
  <c r="X548" i="1"/>
  <c r="AV548" i="1" s="1"/>
  <c r="X549" i="1"/>
  <c r="X550" i="1"/>
  <c r="X551" i="1"/>
  <c r="AV551" i="1" s="1"/>
  <c r="X552" i="1"/>
  <c r="AV552" i="1" s="1"/>
  <c r="X553" i="1"/>
  <c r="AV553" i="1" s="1"/>
  <c r="X554" i="1"/>
  <c r="AV554" i="1" s="1"/>
  <c r="X555" i="1"/>
  <c r="AV555" i="1" s="1"/>
  <c r="X556" i="1"/>
  <c r="AV556" i="1" s="1"/>
  <c r="X557" i="1"/>
  <c r="X558" i="1"/>
  <c r="X559" i="1"/>
  <c r="AV559" i="1" s="1"/>
  <c r="X560" i="1"/>
  <c r="AV560" i="1" s="1"/>
  <c r="X561" i="1"/>
  <c r="AV561" i="1" s="1"/>
  <c r="X562" i="1"/>
  <c r="AV562" i="1" s="1"/>
  <c r="X563" i="1"/>
  <c r="AV563" i="1" s="1"/>
  <c r="X564" i="1"/>
  <c r="AV564" i="1" s="1"/>
  <c r="X565" i="1"/>
  <c r="X566" i="1"/>
  <c r="X567" i="1"/>
  <c r="AV567" i="1" s="1"/>
  <c r="X568" i="1"/>
  <c r="AV568" i="1" s="1"/>
  <c r="X569" i="1"/>
  <c r="AV569" i="1" s="1"/>
  <c r="X570" i="1"/>
  <c r="AV570" i="1" s="1"/>
  <c r="X571" i="1"/>
  <c r="AV571" i="1" s="1"/>
  <c r="X572" i="1"/>
  <c r="AV572" i="1" s="1"/>
  <c r="X573" i="1"/>
  <c r="X574" i="1"/>
  <c r="X575" i="1"/>
  <c r="AV575" i="1" s="1"/>
  <c r="X576" i="1"/>
  <c r="AV576" i="1" s="1"/>
  <c r="X577" i="1"/>
  <c r="AV577" i="1" s="1"/>
  <c r="X578" i="1"/>
  <c r="AV578" i="1" s="1"/>
  <c r="X579" i="1"/>
  <c r="AV579" i="1" s="1"/>
  <c r="X580" i="1"/>
  <c r="AV580" i="1" s="1"/>
  <c r="X581" i="1"/>
  <c r="X582" i="1"/>
  <c r="X583" i="1"/>
  <c r="AV583" i="1" s="1"/>
  <c r="X584" i="1"/>
  <c r="AV584" i="1" s="1"/>
  <c r="X585" i="1"/>
  <c r="AV585" i="1" s="1"/>
  <c r="X586" i="1"/>
  <c r="AV586" i="1" s="1"/>
  <c r="X587" i="1"/>
  <c r="AV587" i="1" s="1"/>
  <c r="W410" i="1"/>
  <c r="AU410" i="1" s="1"/>
  <c r="W411" i="1"/>
  <c r="W412" i="1"/>
  <c r="W413" i="1"/>
  <c r="AU413" i="1" s="1"/>
  <c r="W414" i="1"/>
  <c r="AU414" i="1" s="1"/>
  <c r="W415" i="1"/>
  <c r="AU415" i="1" s="1"/>
  <c r="W416" i="1"/>
  <c r="AU416" i="1" s="1"/>
  <c r="W417" i="1"/>
  <c r="AU417" i="1" s="1"/>
  <c r="W418" i="1"/>
  <c r="AU418" i="1" s="1"/>
  <c r="W419" i="1"/>
  <c r="W420" i="1"/>
  <c r="W421" i="1"/>
  <c r="AU421" i="1" s="1"/>
  <c r="W422" i="1"/>
  <c r="AU422" i="1" s="1"/>
  <c r="W423" i="1"/>
  <c r="AU423" i="1" s="1"/>
  <c r="W424" i="1"/>
  <c r="AU424" i="1" s="1"/>
  <c r="W425" i="1"/>
  <c r="AU425" i="1" s="1"/>
  <c r="W426" i="1"/>
  <c r="AU426" i="1" s="1"/>
  <c r="W427" i="1"/>
  <c r="W428" i="1"/>
  <c r="W429" i="1"/>
  <c r="AU429" i="1" s="1"/>
  <c r="W430" i="1"/>
  <c r="AU430" i="1" s="1"/>
  <c r="W431" i="1"/>
  <c r="AU431" i="1" s="1"/>
  <c r="W432" i="1"/>
  <c r="AU432" i="1" s="1"/>
  <c r="W433" i="1"/>
  <c r="AU433" i="1" s="1"/>
  <c r="W434" i="1"/>
  <c r="AU434" i="1" s="1"/>
  <c r="W435" i="1"/>
  <c r="W436" i="1"/>
  <c r="W437" i="1"/>
  <c r="AU437" i="1" s="1"/>
  <c r="W438" i="1"/>
  <c r="AU438" i="1" s="1"/>
  <c r="W439" i="1"/>
  <c r="AU439" i="1" s="1"/>
  <c r="W440" i="1"/>
  <c r="AU440" i="1" s="1"/>
  <c r="W441" i="1"/>
  <c r="AU441" i="1" s="1"/>
  <c r="W442" i="1"/>
  <c r="AU442" i="1" s="1"/>
  <c r="W443" i="1"/>
  <c r="W444" i="1"/>
  <c r="W445" i="1"/>
  <c r="AU445" i="1" s="1"/>
  <c r="W446" i="1"/>
  <c r="AU446" i="1" s="1"/>
  <c r="W447" i="1"/>
  <c r="AU447" i="1" s="1"/>
  <c r="W448" i="1"/>
  <c r="AU448" i="1" s="1"/>
  <c r="W449" i="1"/>
  <c r="AU449" i="1" s="1"/>
  <c r="W450" i="1"/>
  <c r="AU450" i="1" s="1"/>
  <c r="W451" i="1"/>
  <c r="W452" i="1"/>
  <c r="W453" i="1"/>
  <c r="AU453" i="1" s="1"/>
  <c r="W454" i="1"/>
  <c r="AU454" i="1" s="1"/>
  <c r="W455" i="1"/>
  <c r="AU455" i="1" s="1"/>
  <c r="W456" i="1"/>
  <c r="AU456" i="1" s="1"/>
  <c r="W457" i="1"/>
  <c r="AU457" i="1" s="1"/>
  <c r="W458" i="1"/>
  <c r="AU458" i="1" s="1"/>
  <c r="W459" i="1"/>
  <c r="W460" i="1"/>
  <c r="W461" i="1"/>
  <c r="AU461" i="1" s="1"/>
  <c r="W462" i="1"/>
  <c r="AU462" i="1" s="1"/>
  <c r="W463" i="1"/>
  <c r="AU463" i="1" s="1"/>
  <c r="W464" i="1"/>
  <c r="AU464" i="1" s="1"/>
  <c r="W465" i="1"/>
  <c r="AU465" i="1" s="1"/>
  <c r="W466" i="1"/>
  <c r="AU466" i="1" s="1"/>
  <c r="W467" i="1"/>
  <c r="W468" i="1"/>
  <c r="W469" i="1"/>
  <c r="AU469" i="1" s="1"/>
  <c r="W470" i="1"/>
  <c r="AU470" i="1" s="1"/>
  <c r="W471" i="1"/>
  <c r="AU471" i="1" s="1"/>
  <c r="W472" i="1"/>
  <c r="AU472" i="1" s="1"/>
  <c r="W473" i="1"/>
  <c r="AU473" i="1" s="1"/>
  <c r="W474" i="1"/>
  <c r="AU474" i="1" s="1"/>
  <c r="W475" i="1"/>
  <c r="W476" i="1"/>
  <c r="W477" i="1"/>
  <c r="AU477" i="1" s="1"/>
  <c r="W478" i="1"/>
  <c r="AU478" i="1" s="1"/>
  <c r="W479" i="1"/>
  <c r="AU479" i="1" s="1"/>
  <c r="W480" i="1"/>
  <c r="AU480" i="1" s="1"/>
  <c r="W481" i="1"/>
  <c r="AU481" i="1" s="1"/>
  <c r="W482" i="1"/>
  <c r="AU482" i="1" s="1"/>
  <c r="W483" i="1"/>
  <c r="W484" i="1"/>
  <c r="W485" i="1"/>
  <c r="AU485" i="1" s="1"/>
  <c r="W486" i="1"/>
  <c r="AU486" i="1" s="1"/>
  <c r="W487" i="1"/>
  <c r="AU487" i="1" s="1"/>
  <c r="W488" i="1"/>
  <c r="AU488" i="1" s="1"/>
  <c r="W489" i="1"/>
  <c r="AU489" i="1" s="1"/>
  <c r="W490" i="1"/>
  <c r="AU490" i="1" s="1"/>
  <c r="W491" i="1"/>
  <c r="W492" i="1"/>
  <c r="W493" i="1"/>
  <c r="AU493" i="1" s="1"/>
  <c r="W494" i="1"/>
  <c r="AU494" i="1" s="1"/>
  <c r="W495" i="1"/>
  <c r="AU495" i="1" s="1"/>
  <c r="W496" i="1"/>
  <c r="AU496" i="1" s="1"/>
  <c r="W497" i="1"/>
  <c r="AU497" i="1" s="1"/>
  <c r="W498" i="1"/>
  <c r="AU498" i="1" s="1"/>
  <c r="W499" i="1"/>
  <c r="W500" i="1"/>
  <c r="W501" i="1"/>
  <c r="AU501" i="1" s="1"/>
  <c r="W502" i="1"/>
  <c r="AU502" i="1" s="1"/>
  <c r="W503" i="1"/>
  <c r="AU503" i="1" s="1"/>
  <c r="W504" i="1"/>
  <c r="AU504" i="1" s="1"/>
  <c r="W505" i="1"/>
  <c r="AU505" i="1" s="1"/>
  <c r="W506" i="1"/>
  <c r="AU506" i="1" s="1"/>
  <c r="W507" i="1"/>
  <c r="W508" i="1"/>
  <c r="W509" i="1"/>
  <c r="AU509" i="1" s="1"/>
  <c r="W510" i="1"/>
  <c r="AU510" i="1" s="1"/>
  <c r="W511" i="1"/>
  <c r="AU511" i="1" s="1"/>
  <c r="W512" i="1"/>
  <c r="AU512" i="1" s="1"/>
  <c r="W513" i="1"/>
  <c r="AU513" i="1" s="1"/>
  <c r="W514" i="1"/>
  <c r="AU514" i="1" s="1"/>
  <c r="W515" i="1"/>
  <c r="W516" i="1"/>
  <c r="W517" i="1"/>
  <c r="AU517" i="1" s="1"/>
  <c r="W518" i="1"/>
  <c r="AU518" i="1" s="1"/>
  <c r="W519" i="1"/>
  <c r="AU519" i="1" s="1"/>
  <c r="W520" i="1"/>
  <c r="AU520" i="1" s="1"/>
  <c r="W521" i="1"/>
  <c r="AU521" i="1" s="1"/>
  <c r="W522" i="1"/>
  <c r="AU522" i="1" s="1"/>
  <c r="W523" i="1"/>
  <c r="W524" i="1"/>
  <c r="W525" i="1"/>
  <c r="AU525" i="1" s="1"/>
  <c r="W526" i="1"/>
  <c r="AU526" i="1" s="1"/>
  <c r="W527" i="1"/>
  <c r="AU527" i="1" s="1"/>
  <c r="W528" i="1"/>
  <c r="AU528" i="1" s="1"/>
  <c r="W529" i="1"/>
  <c r="AU529" i="1" s="1"/>
  <c r="W530" i="1"/>
  <c r="AU530" i="1" s="1"/>
  <c r="W531" i="1"/>
  <c r="W532" i="1"/>
  <c r="W533" i="1"/>
  <c r="AU533" i="1" s="1"/>
  <c r="W534" i="1"/>
  <c r="AU534" i="1" s="1"/>
  <c r="W535" i="1"/>
  <c r="AU535" i="1" s="1"/>
  <c r="W536" i="1"/>
  <c r="AU536" i="1" s="1"/>
  <c r="W537" i="1"/>
  <c r="AU537" i="1" s="1"/>
  <c r="W538" i="1"/>
  <c r="AU538" i="1" s="1"/>
  <c r="W539" i="1"/>
  <c r="W540" i="1"/>
  <c r="W541" i="1"/>
  <c r="AU541" i="1" s="1"/>
  <c r="W542" i="1"/>
  <c r="AU542" i="1" s="1"/>
  <c r="W543" i="1"/>
  <c r="AU543" i="1" s="1"/>
  <c r="W544" i="1"/>
  <c r="AU544" i="1" s="1"/>
  <c r="W545" i="1"/>
  <c r="AU545" i="1" s="1"/>
  <c r="W546" i="1"/>
  <c r="AU546" i="1" s="1"/>
  <c r="W547" i="1"/>
  <c r="W548" i="1"/>
  <c r="W549" i="1"/>
  <c r="AU549" i="1" s="1"/>
  <c r="W550" i="1"/>
  <c r="AU550" i="1" s="1"/>
  <c r="W551" i="1"/>
  <c r="AU551" i="1" s="1"/>
  <c r="W552" i="1"/>
  <c r="AU552" i="1" s="1"/>
  <c r="W553" i="1"/>
  <c r="AU553" i="1" s="1"/>
  <c r="W554" i="1"/>
  <c r="AU554" i="1" s="1"/>
  <c r="W555" i="1"/>
  <c r="W556" i="1"/>
  <c r="W557" i="1"/>
  <c r="AU557" i="1" s="1"/>
  <c r="W558" i="1"/>
  <c r="AU558" i="1" s="1"/>
  <c r="W559" i="1"/>
  <c r="AU559" i="1" s="1"/>
  <c r="W560" i="1"/>
  <c r="AU560" i="1" s="1"/>
  <c r="W561" i="1"/>
  <c r="AU561" i="1" s="1"/>
  <c r="W562" i="1"/>
  <c r="AU562" i="1" s="1"/>
  <c r="W563" i="1"/>
  <c r="W564" i="1"/>
  <c r="W565" i="1"/>
  <c r="AU565" i="1" s="1"/>
  <c r="W566" i="1"/>
  <c r="AU566" i="1" s="1"/>
  <c r="W567" i="1"/>
  <c r="AU567" i="1" s="1"/>
  <c r="W568" i="1"/>
  <c r="AU568" i="1" s="1"/>
  <c r="W569" i="1"/>
  <c r="AU569" i="1" s="1"/>
  <c r="W570" i="1"/>
  <c r="AU570" i="1" s="1"/>
  <c r="W571" i="1"/>
  <c r="W572" i="1"/>
  <c r="W573" i="1"/>
  <c r="AU573" i="1" s="1"/>
  <c r="W574" i="1"/>
  <c r="AU574" i="1" s="1"/>
  <c r="W575" i="1"/>
  <c r="AU575" i="1" s="1"/>
  <c r="W576" i="1"/>
  <c r="AU576" i="1" s="1"/>
  <c r="W577" i="1"/>
  <c r="AU577" i="1" s="1"/>
  <c r="W578" i="1"/>
  <c r="AU578" i="1" s="1"/>
  <c r="W579" i="1"/>
  <c r="W580" i="1"/>
  <c r="W581" i="1"/>
  <c r="AU581" i="1" s="1"/>
  <c r="W582" i="1"/>
  <c r="AU582" i="1" s="1"/>
  <c r="W583" i="1"/>
  <c r="AU583" i="1" s="1"/>
  <c r="W584" i="1"/>
  <c r="AU584" i="1" s="1"/>
  <c r="W585" i="1"/>
  <c r="AU585" i="1" s="1"/>
  <c r="W586" i="1"/>
  <c r="AU586" i="1" s="1"/>
  <c r="W587" i="1"/>
  <c r="AJ409" i="1"/>
  <c r="AI409" i="1"/>
  <c r="AD409" i="1"/>
  <c r="AC409" i="1"/>
  <c r="X409" i="1"/>
  <c r="W409" i="1"/>
  <c r="AU409" i="1" s="1"/>
  <c r="AJ408" i="1"/>
  <c r="AI408" i="1"/>
  <c r="AD408" i="1"/>
  <c r="AC408" i="1"/>
  <c r="X408" i="1"/>
  <c r="W408" i="1"/>
  <c r="AJ407" i="1"/>
  <c r="AI407" i="1"/>
  <c r="AD407" i="1"/>
  <c r="AC407" i="1"/>
  <c r="X407" i="1"/>
  <c r="AV407" i="1" s="1"/>
  <c r="W407" i="1"/>
  <c r="AJ406" i="1"/>
  <c r="AI406" i="1"/>
  <c r="AD406" i="1"/>
  <c r="AC406" i="1"/>
  <c r="X406" i="1"/>
  <c r="W406" i="1"/>
  <c r="AJ405" i="1"/>
  <c r="AI405" i="1"/>
  <c r="AD405" i="1"/>
  <c r="AC405" i="1"/>
  <c r="X405" i="1"/>
  <c r="W405" i="1"/>
  <c r="AJ404" i="1"/>
  <c r="AI404" i="1"/>
  <c r="AD404" i="1"/>
  <c r="AC404" i="1"/>
  <c r="X404" i="1"/>
  <c r="W404" i="1"/>
  <c r="AJ403" i="1"/>
  <c r="AI403" i="1"/>
  <c r="AD403" i="1"/>
  <c r="AC403" i="1"/>
  <c r="X403" i="1"/>
  <c r="W403" i="1"/>
  <c r="AJ402" i="1"/>
  <c r="AI402" i="1"/>
  <c r="AD402" i="1"/>
  <c r="AC402" i="1"/>
  <c r="X402" i="1"/>
  <c r="W402" i="1"/>
  <c r="AJ401" i="1"/>
  <c r="AI401" i="1"/>
  <c r="AD401" i="1"/>
  <c r="AC401" i="1"/>
  <c r="X401" i="1"/>
  <c r="W401" i="1"/>
  <c r="AJ400" i="1"/>
  <c r="AI400" i="1"/>
  <c r="AD400" i="1"/>
  <c r="AC400" i="1"/>
  <c r="X400" i="1"/>
  <c r="W400" i="1"/>
  <c r="AJ399" i="1"/>
  <c r="AI399" i="1"/>
  <c r="AD399" i="1"/>
  <c r="AC399" i="1"/>
  <c r="X399" i="1"/>
  <c r="W399" i="1"/>
  <c r="AJ398" i="1"/>
  <c r="AI398" i="1"/>
  <c r="AD398" i="1"/>
  <c r="AC398" i="1"/>
  <c r="X398" i="1"/>
  <c r="W398" i="1"/>
  <c r="AU398" i="1" s="1"/>
  <c r="AJ397" i="1"/>
  <c r="AI397" i="1"/>
  <c r="AD397" i="1"/>
  <c r="AC397" i="1"/>
  <c r="X397" i="1"/>
  <c r="W397" i="1"/>
  <c r="AJ396" i="1"/>
  <c r="AI396" i="1"/>
  <c r="AD396" i="1"/>
  <c r="AC396" i="1"/>
  <c r="X396" i="1"/>
  <c r="W396" i="1"/>
  <c r="AJ395" i="1"/>
  <c r="AI395" i="1"/>
  <c r="AD395" i="1"/>
  <c r="AC395" i="1"/>
  <c r="X395" i="1"/>
  <c r="W395" i="1"/>
  <c r="AJ394" i="1"/>
  <c r="AI394" i="1"/>
  <c r="AD394" i="1"/>
  <c r="AC394" i="1"/>
  <c r="X394" i="1"/>
  <c r="W394" i="1"/>
  <c r="Z394" i="1" s="1"/>
  <c r="AJ393" i="1"/>
  <c r="AI393" i="1"/>
  <c r="AD393" i="1"/>
  <c r="AC393" i="1"/>
  <c r="X393" i="1"/>
  <c r="W393" i="1"/>
  <c r="AJ392" i="1"/>
  <c r="AI392" i="1"/>
  <c r="AD392" i="1"/>
  <c r="AC392" i="1"/>
  <c r="X392" i="1"/>
  <c r="W392" i="1"/>
  <c r="AJ391" i="1"/>
  <c r="AI391" i="1"/>
  <c r="AD391" i="1"/>
  <c r="AC391" i="1"/>
  <c r="X391" i="1"/>
  <c r="W391" i="1"/>
  <c r="AJ390" i="1"/>
  <c r="AI390" i="1"/>
  <c r="AD390" i="1"/>
  <c r="AC390" i="1"/>
  <c r="X390" i="1"/>
  <c r="AV390" i="1" s="1"/>
  <c r="W390" i="1"/>
  <c r="AJ389" i="1"/>
  <c r="AI389" i="1"/>
  <c r="AD389" i="1"/>
  <c r="AC389" i="1"/>
  <c r="X389" i="1"/>
  <c r="W389" i="1"/>
  <c r="Z389" i="1" s="1"/>
  <c r="AJ388" i="1"/>
  <c r="AI388" i="1"/>
  <c r="AD388" i="1"/>
  <c r="AC388" i="1"/>
  <c r="X388" i="1"/>
  <c r="W388" i="1"/>
  <c r="AJ387" i="1"/>
  <c r="AI387" i="1"/>
  <c r="AD387" i="1"/>
  <c r="AC387" i="1"/>
  <c r="X387" i="1"/>
  <c r="W387" i="1"/>
  <c r="AU387" i="1" s="1"/>
  <c r="AJ386" i="1"/>
  <c r="AI386" i="1"/>
  <c r="AD386" i="1"/>
  <c r="AC386" i="1"/>
  <c r="X386" i="1"/>
  <c r="W386" i="1"/>
  <c r="AU386" i="1" s="1"/>
  <c r="AJ385" i="1"/>
  <c r="AI385" i="1"/>
  <c r="AD385" i="1"/>
  <c r="AC385" i="1"/>
  <c r="X385" i="1"/>
  <c r="W385" i="1"/>
  <c r="AJ384" i="1"/>
  <c r="AI384" i="1"/>
  <c r="AD384" i="1"/>
  <c r="AC384" i="1"/>
  <c r="X384" i="1"/>
  <c r="W384" i="1"/>
  <c r="AJ383" i="1"/>
  <c r="AI383" i="1"/>
  <c r="AD383" i="1"/>
  <c r="AC383" i="1"/>
  <c r="X383" i="1"/>
  <c r="AV383" i="1" s="1"/>
  <c r="W383" i="1"/>
  <c r="AJ382" i="1"/>
  <c r="AI382" i="1"/>
  <c r="AD382" i="1"/>
  <c r="AC382" i="1"/>
  <c r="X382" i="1"/>
  <c r="W382" i="1"/>
  <c r="AJ381" i="1"/>
  <c r="AI381" i="1"/>
  <c r="AD381" i="1"/>
  <c r="AC381" i="1"/>
  <c r="X381" i="1"/>
  <c r="AV381" i="1" s="1"/>
  <c r="W381" i="1"/>
  <c r="Z381" i="1" s="1"/>
  <c r="AJ380" i="1"/>
  <c r="AI380" i="1"/>
  <c r="AD380" i="1"/>
  <c r="AC380" i="1"/>
  <c r="X380" i="1"/>
  <c r="W380" i="1"/>
  <c r="AJ379" i="1"/>
  <c r="AI379" i="1"/>
  <c r="AD379" i="1"/>
  <c r="AC379" i="1"/>
  <c r="X379" i="1"/>
  <c r="W379" i="1"/>
  <c r="AJ378" i="1"/>
  <c r="AI378" i="1"/>
  <c r="AD378" i="1"/>
  <c r="AC378" i="1"/>
  <c r="X378" i="1"/>
  <c r="W378" i="1"/>
  <c r="AJ377" i="1"/>
  <c r="AI377" i="1"/>
  <c r="AD377" i="1"/>
  <c r="AC377" i="1"/>
  <c r="X377" i="1"/>
  <c r="W377" i="1"/>
  <c r="AJ376" i="1"/>
  <c r="AI376" i="1"/>
  <c r="AD376" i="1"/>
  <c r="AC376" i="1"/>
  <c r="X376" i="1"/>
  <c r="W376" i="1"/>
  <c r="AJ375" i="1"/>
  <c r="AI375" i="1"/>
  <c r="AD375" i="1"/>
  <c r="AC375" i="1"/>
  <c r="X375" i="1"/>
  <c r="AV375" i="1" s="1"/>
  <c r="W375" i="1"/>
  <c r="AJ374" i="1"/>
  <c r="AI374" i="1"/>
  <c r="AD374" i="1"/>
  <c r="AC374" i="1"/>
  <c r="X374" i="1"/>
  <c r="AV374" i="1" s="1"/>
  <c r="W374" i="1"/>
  <c r="AU374" i="1" s="1"/>
  <c r="AJ373" i="1"/>
  <c r="AI373" i="1"/>
  <c r="AD373" i="1"/>
  <c r="AC373" i="1"/>
  <c r="X373" i="1"/>
  <c r="W373" i="1"/>
  <c r="Z373" i="1" s="1"/>
  <c r="AO373" i="1" s="1"/>
  <c r="AJ372" i="1"/>
  <c r="AI372" i="1"/>
  <c r="AD372" i="1"/>
  <c r="AC372" i="1"/>
  <c r="X372" i="1"/>
  <c r="W372" i="1"/>
  <c r="AJ371" i="1"/>
  <c r="AI371" i="1"/>
  <c r="AD371" i="1"/>
  <c r="AC371" i="1"/>
  <c r="X371" i="1"/>
  <c r="W371" i="1"/>
  <c r="AJ370" i="1"/>
  <c r="AI370" i="1"/>
  <c r="AD370" i="1"/>
  <c r="AC370" i="1"/>
  <c r="X370" i="1"/>
  <c r="W370" i="1"/>
  <c r="AJ369" i="1"/>
  <c r="AI369" i="1"/>
  <c r="AD369" i="1"/>
  <c r="AC369" i="1"/>
  <c r="X369" i="1"/>
  <c r="AV369" i="1" s="1"/>
  <c r="W369" i="1"/>
  <c r="AJ368" i="1"/>
  <c r="AI368" i="1"/>
  <c r="AD368" i="1"/>
  <c r="AC368" i="1"/>
  <c r="X368" i="1"/>
  <c r="W368" i="1"/>
  <c r="AJ367" i="1"/>
  <c r="AI367" i="1"/>
  <c r="AD367" i="1"/>
  <c r="AC367" i="1"/>
  <c r="X367" i="1"/>
  <c r="W367" i="1"/>
  <c r="AJ366" i="1"/>
  <c r="AI366" i="1"/>
  <c r="AD366" i="1"/>
  <c r="AC366" i="1"/>
  <c r="X366" i="1"/>
  <c r="W366" i="1"/>
  <c r="AJ365" i="1"/>
  <c r="AI365" i="1"/>
  <c r="AD365" i="1"/>
  <c r="AC365" i="1"/>
  <c r="X365" i="1"/>
  <c r="W365" i="1"/>
  <c r="AJ364" i="1"/>
  <c r="AI364" i="1"/>
  <c r="AD364" i="1"/>
  <c r="AC364" i="1"/>
  <c r="X364" i="1"/>
  <c r="W364" i="1"/>
  <c r="AJ363" i="1"/>
  <c r="AI363" i="1"/>
  <c r="AD363" i="1"/>
  <c r="AC363" i="1"/>
  <c r="X363" i="1"/>
  <c r="W363" i="1"/>
  <c r="AJ362" i="1"/>
  <c r="AI362" i="1"/>
  <c r="AD362" i="1"/>
  <c r="AC362" i="1"/>
  <c r="X362" i="1"/>
  <c r="W362" i="1"/>
  <c r="AU362" i="1" s="1"/>
  <c r="AJ361" i="1"/>
  <c r="AI361" i="1"/>
  <c r="AD361" i="1"/>
  <c r="AC361" i="1"/>
  <c r="X361" i="1"/>
  <c r="W361" i="1"/>
  <c r="Z361" i="1" s="1"/>
  <c r="AJ360" i="1"/>
  <c r="AI360" i="1"/>
  <c r="AD360" i="1"/>
  <c r="AC360" i="1"/>
  <c r="X360" i="1"/>
  <c r="W360" i="1"/>
  <c r="AU360" i="1" s="1"/>
  <c r="AJ359" i="1"/>
  <c r="AI359" i="1"/>
  <c r="AD359" i="1"/>
  <c r="AC359" i="1"/>
  <c r="X359" i="1"/>
  <c r="W359" i="1"/>
  <c r="AU359" i="1" s="1"/>
  <c r="AJ358" i="1"/>
  <c r="AI358" i="1"/>
  <c r="AD358" i="1"/>
  <c r="AC358" i="1"/>
  <c r="X358" i="1"/>
  <c r="W358" i="1"/>
  <c r="AJ357" i="1"/>
  <c r="AI357" i="1"/>
  <c r="AD357" i="1"/>
  <c r="AC357" i="1"/>
  <c r="X357" i="1"/>
  <c r="W357" i="1"/>
  <c r="AJ356" i="1"/>
  <c r="AI356" i="1"/>
  <c r="AD356" i="1"/>
  <c r="AC356" i="1"/>
  <c r="X356" i="1"/>
  <c r="W356" i="1"/>
  <c r="AU356" i="1" s="1"/>
  <c r="AJ355" i="1"/>
  <c r="AI355" i="1"/>
  <c r="AD355" i="1"/>
  <c r="AC355" i="1"/>
  <c r="X355" i="1"/>
  <c r="W355" i="1"/>
  <c r="AU355" i="1" s="1"/>
  <c r="AJ354" i="1"/>
  <c r="AI354" i="1"/>
  <c r="AD354" i="1"/>
  <c r="AC354" i="1"/>
  <c r="X354" i="1"/>
  <c r="W354" i="1"/>
  <c r="Z354" i="1" s="1"/>
  <c r="AO354" i="1" s="1"/>
  <c r="AJ353" i="1"/>
  <c r="AI353" i="1"/>
  <c r="AD353" i="1"/>
  <c r="AC353" i="1"/>
  <c r="X353" i="1"/>
  <c r="AV353" i="1" s="1"/>
  <c r="W353" i="1"/>
  <c r="AJ352" i="1"/>
  <c r="AI352" i="1"/>
  <c r="AD352" i="1"/>
  <c r="AC352" i="1"/>
  <c r="X352" i="1"/>
  <c r="W352" i="1"/>
  <c r="AJ351" i="1"/>
  <c r="AI351" i="1"/>
  <c r="AD351" i="1"/>
  <c r="AC351" i="1"/>
  <c r="X351" i="1"/>
  <c r="W351" i="1"/>
  <c r="AJ350" i="1"/>
  <c r="AI350" i="1"/>
  <c r="AD350" i="1"/>
  <c r="AC350" i="1"/>
  <c r="X350" i="1"/>
  <c r="W350" i="1"/>
  <c r="AU350" i="1" s="1"/>
  <c r="AJ349" i="1"/>
  <c r="AI349" i="1"/>
  <c r="AD349" i="1"/>
  <c r="AC349" i="1"/>
  <c r="X349" i="1"/>
  <c r="W349" i="1"/>
  <c r="AJ348" i="1"/>
  <c r="AI348" i="1"/>
  <c r="AD348" i="1"/>
  <c r="AC348" i="1"/>
  <c r="X348" i="1"/>
  <c r="W348" i="1"/>
  <c r="AU348" i="1" s="1"/>
  <c r="AJ347" i="1"/>
  <c r="AI347" i="1"/>
  <c r="AD347" i="1"/>
  <c r="AC347" i="1"/>
  <c r="X347" i="1"/>
  <c r="W347" i="1"/>
  <c r="AJ346" i="1"/>
  <c r="AI346" i="1"/>
  <c r="AD346" i="1"/>
  <c r="AC346" i="1"/>
  <c r="X346" i="1"/>
  <c r="W346" i="1"/>
  <c r="AJ345" i="1"/>
  <c r="AI345" i="1"/>
  <c r="AD345" i="1"/>
  <c r="AC345" i="1"/>
  <c r="X345" i="1"/>
  <c r="W345" i="1"/>
  <c r="Z345" i="1" s="1"/>
  <c r="AJ344" i="1"/>
  <c r="AI344" i="1"/>
  <c r="AD344" i="1"/>
  <c r="AC344" i="1"/>
  <c r="X344" i="1"/>
  <c r="W344" i="1"/>
  <c r="AJ343" i="1"/>
  <c r="AI343" i="1"/>
  <c r="AD343" i="1"/>
  <c r="AC343" i="1"/>
  <c r="X343" i="1"/>
  <c r="W343" i="1"/>
  <c r="AJ342" i="1"/>
  <c r="AI342" i="1"/>
  <c r="AD342" i="1"/>
  <c r="AC342" i="1"/>
  <c r="X342" i="1"/>
  <c r="AV342" i="1" s="1"/>
  <c r="W342" i="1"/>
  <c r="AJ341" i="1"/>
  <c r="AI341" i="1"/>
  <c r="AD341" i="1"/>
  <c r="AC341" i="1"/>
  <c r="X341" i="1"/>
  <c r="W341" i="1"/>
  <c r="AJ340" i="1"/>
  <c r="AI340" i="1"/>
  <c r="AD340" i="1"/>
  <c r="AC340" i="1"/>
  <c r="X340" i="1"/>
  <c r="W340" i="1"/>
  <c r="AJ339" i="1"/>
  <c r="AI339" i="1"/>
  <c r="AD339" i="1"/>
  <c r="AC339" i="1"/>
  <c r="X339" i="1"/>
  <c r="W339" i="1"/>
  <c r="AJ338" i="1"/>
  <c r="AI338" i="1"/>
  <c r="AD338" i="1"/>
  <c r="AC338" i="1"/>
  <c r="X338" i="1"/>
  <c r="W338" i="1"/>
  <c r="AJ337" i="1"/>
  <c r="AI337" i="1"/>
  <c r="AD337" i="1"/>
  <c r="AC337" i="1"/>
  <c r="X337" i="1"/>
  <c r="W337" i="1"/>
  <c r="Z337" i="1" s="1"/>
  <c r="AJ336" i="1"/>
  <c r="AI336" i="1"/>
  <c r="AD336" i="1"/>
  <c r="AC336" i="1"/>
  <c r="X336" i="1"/>
  <c r="W336" i="1"/>
  <c r="AJ335" i="1"/>
  <c r="AI335" i="1"/>
  <c r="AD335" i="1"/>
  <c r="AC335" i="1"/>
  <c r="X335" i="1"/>
  <c r="W335" i="1"/>
  <c r="AJ334" i="1"/>
  <c r="AI334" i="1"/>
  <c r="AD334" i="1"/>
  <c r="AC334" i="1"/>
  <c r="X334" i="1"/>
  <c r="W334" i="1"/>
  <c r="AJ333" i="1"/>
  <c r="AI333" i="1"/>
  <c r="AD333" i="1"/>
  <c r="AC333" i="1"/>
  <c r="X333" i="1"/>
  <c r="W333" i="1"/>
  <c r="AJ332" i="1"/>
  <c r="AI332" i="1"/>
  <c r="AD332" i="1"/>
  <c r="AC332" i="1"/>
  <c r="X332" i="1"/>
  <c r="W332" i="1"/>
  <c r="AJ331" i="1"/>
  <c r="AI331" i="1"/>
  <c r="AD331" i="1"/>
  <c r="AC331" i="1"/>
  <c r="X331" i="1"/>
  <c r="W331" i="1"/>
  <c r="AJ330" i="1"/>
  <c r="AI330" i="1"/>
  <c r="AD330" i="1"/>
  <c r="AC330" i="1"/>
  <c r="X330" i="1"/>
  <c r="W330" i="1"/>
  <c r="AJ329" i="1"/>
  <c r="AI329" i="1"/>
  <c r="AD329" i="1"/>
  <c r="AC329" i="1"/>
  <c r="X329" i="1"/>
  <c r="W329" i="1"/>
  <c r="Z329" i="1" s="1"/>
  <c r="AR329" i="1" s="1"/>
  <c r="AJ328" i="1"/>
  <c r="AI328" i="1"/>
  <c r="AD328" i="1"/>
  <c r="AC328" i="1"/>
  <c r="X328" i="1"/>
  <c r="W328" i="1"/>
  <c r="AU328" i="1" s="1"/>
  <c r="AJ327" i="1"/>
  <c r="AI327" i="1"/>
  <c r="AD327" i="1"/>
  <c r="AC327" i="1"/>
  <c r="X327" i="1"/>
  <c r="W327" i="1"/>
  <c r="AJ326" i="1"/>
  <c r="AI326" i="1"/>
  <c r="AD326" i="1"/>
  <c r="AC326" i="1"/>
  <c r="X326" i="1"/>
  <c r="W326" i="1"/>
  <c r="AJ325" i="1"/>
  <c r="AI325" i="1"/>
  <c r="AD325" i="1"/>
  <c r="AC325" i="1"/>
  <c r="X325" i="1"/>
  <c r="W325" i="1"/>
  <c r="AU325" i="1" s="1"/>
  <c r="AJ324" i="1"/>
  <c r="AI324" i="1"/>
  <c r="AD324" i="1"/>
  <c r="AC324" i="1"/>
  <c r="X324" i="1"/>
  <c r="W324" i="1"/>
  <c r="AJ323" i="1"/>
  <c r="AI323" i="1"/>
  <c r="AD323" i="1"/>
  <c r="AC323" i="1"/>
  <c r="X323" i="1"/>
  <c r="W323" i="1"/>
  <c r="Z323" i="1" s="1"/>
  <c r="AJ322" i="1"/>
  <c r="AI322" i="1"/>
  <c r="AD322" i="1"/>
  <c r="AC322" i="1"/>
  <c r="X322" i="1"/>
  <c r="W322" i="1"/>
  <c r="AJ321" i="1"/>
  <c r="AI321" i="1"/>
  <c r="AD321" i="1"/>
  <c r="AC321" i="1"/>
  <c r="X321" i="1"/>
  <c r="W321" i="1"/>
  <c r="Z321" i="1" s="1"/>
  <c r="AJ320" i="1"/>
  <c r="AI320" i="1"/>
  <c r="AD320" i="1"/>
  <c r="AC320" i="1"/>
  <c r="X320" i="1"/>
  <c r="W320" i="1"/>
  <c r="AJ319" i="1"/>
  <c r="AI319" i="1"/>
  <c r="AD319" i="1"/>
  <c r="AC319" i="1"/>
  <c r="X319" i="1"/>
  <c r="W319" i="1"/>
  <c r="Z319" i="1" s="1"/>
  <c r="AJ318" i="1"/>
  <c r="AI318" i="1"/>
  <c r="AD318" i="1"/>
  <c r="AC318" i="1"/>
  <c r="X318" i="1"/>
  <c r="W318" i="1"/>
  <c r="AJ317" i="1"/>
  <c r="AI317" i="1"/>
  <c r="AD317" i="1"/>
  <c r="AC317" i="1"/>
  <c r="X317" i="1"/>
  <c r="W317" i="1"/>
  <c r="Z317" i="1" s="1"/>
  <c r="AR317" i="1" s="1"/>
  <c r="AJ316" i="1"/>
  <c r="AI316" i="1"/>
  <c r="AD316" i="1"/>
  <c r="AC316" i="1"/>
  <c r="X316" i="1"/>
  <c r="AV316" i="1" s="1"/>
  <c r="W316" i="1"/>
  <c r="AU316" i="1" s="1"/>
  <c r="AJ315" i="1"/>
  <c r="AI315" i="1"/>
  <c r="AD315" i="1"/>
  <c r="AC315" i="1"/>
  <c r="X315" i="1"/>
  <c r="W315" i="1"/>
  <c r="AJ314" i="1"/>
  <c r="AI314" i="1"/>
  <c r="AD314" i="1"/>
  <c r="AC314" i="1"/>
  <c r="X314" i="1"/>
  <c r="W314" i="1"/>
  <c r="AU314" i="1" s="1"/>
  <c r="AJ313" i="1"/>
  <c r="AI313" i="1"/>
  <c r="AD313" i="1"/>
  <c r="AC313" i="1"/>
  <c r="X313" i="1"/>
  <c r="W313" i="1"/>
  <c r="AJ312" i="1"/>
  <c r="AI312" i="1"/>
  <c r="AD312" i="1"/>
  <c r="AC312" i="1"/>
  <c r="X312" i="1"/>
  <c r="AV312" i="1" s="1"/>
  <c r="W312" i="1"/>
  <c r="AJ311" i="1"/>
  <c r="AI311" i="1"/>
  <c r="AD311" i="1"/>
  <c r="AC311" i="1"/>
  <c r="X311" i="1"/>
  <c r="W311" i="1"/>
  <c r="AU311" i="1" s="1"/>
  <c r="AJ310" i="1"/>
  <c r="AI310" i="1"/>
  <c r="AD310" i="1"/>
  <c r="AC310" i="1"/>
  <c r="X310" i="1"/>
  <c r="W310" i="1"/>
  <c r="AU310" i="1" s="1"/>
  <c r="AJ309" i="1"/>
  <c r="AI309" i="1"/>
  <c r="AD309" i="1"/>
  <c r="AC309" i="1"/>
  <c r="X309" i="1"/>
  <c r="AV309" i="1" s="1"/>
  <c r="W309" i="1"/>
  <c r="AU309" i="1" s="1"/>
  <c r="AJ308" i="1"/>
  <c r="AI308" i="1"/>
  <c r="AD308" i="1"/>
  <c r="AC308" i="1"/>
  <c r="X308" i="1"/>
  <c r="W308" i="1"/>
  <c r="Z308" i="1" s="1"/>
  <c r="AJ307" i="1"/>
  <c r="AI307" i="1"/>
  <c r="AD307" i="1"/>
  <c r="AC307" i="1"/>
  <c r="X307" i="1"/>
  <c r="W307" i="1"/>
  <c r="AJ306" i="1"/>
  <c r="AI306" i="1"/>
  <c r="AD306" i="1"/>
  <c r="AC306" i="1"/>
  <c r="X306" i="1"/>
  <c r="W306" i="1"/>
  <c r="AU306" i="1" s="1"/>
  <c r="AJ305" i="1"/>
  <c r="AI305" i="1"/>
  <c r="AD305" i="1"/>
  <c r="AC305" i="1"/>
  <c r="X305" i="1"/>
  <c r="W305" i="1"/>
  <c r="AJ304" i="1"/>
  <c r="AI304" i="1"/>
  <c r="AD304" i="1"/>
  <c r="AC304" i="1"/>
  <c r="X304" i="1"/>
  <c r="W304" i="1"/>
  <c r="Z304" i="1" s="1"/>
  <c r="AJ303" i="1"/>
  <c r="AI303" i="1"/>
  <c r="AD303" i="1"/>
  <c r="AC303" i="1"/>
  <c r="X303" i="1"/>
  <c r="W303" i="1"/>
  <c r="AJ302" i="1"/>
  <c r="AI302" i="1"/>
  <c r="AD302" i="1"/>
  <c r="AC302" i="1"/>
  <c r="X302" i="1"/>
  <c r="W302" i="1"/>
  <c r="AJ301" i="1"/>
  <c r="AI301" i="1"/>
  <c r="AD301" i="1"/>
  <c r="AC301" i="1"/>
  <c r="X301" i="1"/>
  <c r="AV301" i="1" s="1"/>
  <c r="W301" i="1"/>
  <c r="AJ300" i="1"/>
  <c r="AI300" i="1"/>
  <c r="AD300" i="1"/>
  <c r="AC300" i="1"/>
  <c r="X300" i="1"/>
  <c r="W300" i="1"/>
  <c r="AJ299" i="1"/>
  <c r="AI299" i="1"/>
  <c r="AD299" i="1"/>
  <c r="AC299" i="1"/>
  <c r="X299" i="1"/>
  <c r="AV299" i="1" s="1"/>
  <c r="W299" i="1"/>
  <c r="AJ298" i="1"/>
  <c r="AI298" i="1"/>
  <c r="AD298" i="1"/>
  <c r="AC298" i="1"/>
  <c r="X298" i="1"/>
  <c r="W298" i="1"/>
  <c r="AJ297" i="1"/>
  <c r="AI297" i="1"/>
  <c r="AD297" i="1"/>
  <c r="AC297" i="1"/>
  <c r="X297" i="1"/>
  <c r="W297" i="1"/>
  <c r="AJ296" i="1"/>
  <c r="AI296" i="1"/>
  <c r="AD296" i="1"/>
  <c r="AC296" i="1"/>
  <c r="X296" i="1"/>
  <c r="AV296" i="1" s="1"/>
  <c r="W296" i="1"/>
  <c r="Z296" i="1" s="1"/>
  <c r="AJ295" i="1"/>
  <c r="AI295" i="1"/>
  <c r="AD295" i="1"/>
  <c r="AC295" i="1"/>
  <c r="X295" i="1"/>
  <c r="W295" i="1"/>
  <c r="Z295" i="1" s="1"/>
  <c r="AO295" i="1" s="1"/>
  <c r="AJ294" i="1"/>
  <c r="AI294" i="1"/>
  <c r="AD294" i="1"/>
  <c r="AC294" i="1"/>
  <c r="X294" i="1"/>
  <c r="W294" i="1"/>
  <c r="AU294" i="1" s="1"/>
  <c r="AJ293" i="1"/>
  <c r="AI293" i="1"/>
  <c r="AD293" i="1"/>
  <c r="AC293" i="1"/>
  <c r="X293" i="1"/>
  <c r="W293" i="1"/>
  <c r="AU293" i="1" s="1"/>
  <c r="AJ292" i="1"/>
  <c r="AI292" i="1"/>
  <c r="AD292" i="1"/>
  <c r="AC292" i="1"/>
  <c r="X292" i="1"/>
  <c r="W292" i="1"/>
  <c r="AU292" i="1" s="1"/>
  <c r="AJ291" i="1"/>
  <c r="AI291" i="1"/>
  <c r="AD291" i="1"/>
  <c r="AC291" i="1"/>
  <c r="X291" i="1"/>
  <c r="W291" i="1"/>
  <c r="AU291" i="1" s="1"/>
  <c r="AJ290" i="1"/>
  <c r="AI290" i="1"/>
  <c r="AD290" i="1"/>
  <c r="AC290" i="1"/>
  <c r="X290" i="1"/>
  <c r="W290" i="1"/>
  <c r="AJ289" i="1"/>
  <c r="AI289" i="1"/>
  <c r="AD289" i="1"/>
  <c r="AC289" i="1"/>
  <c r="X289" i="1"/>
  <c r="W289" i="1"/>
  <c r="AJ288" i="1"/>
  <c r="AI288" i="1"/>
  <c r="AD288" i="1"/>
  <c r="AC288" i="1"/>
  <c r="X288" i="1"/>
  <c r="AV288" i="1" s="1"/>
  <c r="W288" i="1"/>
  <c r="Z288" i="1" s="1"/>
  <c r="AR288" i="1" s="1"/>
  <c r="AJ287" i="1"/>
  <c r="AI287" i="1"/>
  <c r="AD287" i="1"/>
  <c r="AC287" i="1"/>
  <c r="X287" i="1"/>
  <c r="W287" i="1"/>
  <c r="AU287" i="1" s="1"/>
  <c r="AJ286" i="1"/>
  <c r="AI286" i="1"/>
  <c r="AD286" i="1"/>
  <c r="AC286" i="1"/>
  <c r="X286" i="1"/>
  <c r="W286" i="1"/>
  <c r="AJ285" i="1"/>
  <c r="AI285" i="1"/>
  <c r="AD285" i="1"/>
  <c r="AC285" i="1"/>
  <c r="X285" i="1"/>
  <c r="W285" i="1"/>
  <c r="AJ284" i="1"/>
  <c r="AI284" i="1"/>
  <c r="AD284" i="1"/>
  <c r="AC284" i="1"/>
  <c r="X284" i="1"/>
  <c r="W284" i="1"/>
  <c r="AJ283" i="1"/>
  <c r="AI283" i="1"/>
  <c r="AD283" i="1"/>
  <c r="AC283" i="1"/>
  <c r="X283" i="1"/>
  <c r="W283" i="1"/>
  <c r="Z283" i="1" s="1"/>
  <c r="AJ282" i="1"/>
  <c r="AI282" i="1"/>
  <c r="AD282" i="1"/>
  <c r="AC282" i="1"/>
  <c r="X282" i="1"/>
  <c r="W282" i="1"/>
  <c r="AJ281" i="1"/>
  <c r="AI281" i="1"/>
  <c r="AD281" i="1"/>
  <c r="AC281" i="1"/>
  <c r="X281" i="1"/>
  <c r="AV281" i="1" s="1"/>
  <c r="W281" i="1"/>
  <c r="Z281" i="1" s="1"/>
  <c r="AO281" i="1" s="1"/>
  <c r="AJ280" i="1"/>
  <c r="AI280" i="1"/>
  <c r="AD280" i="1"/>
  <c r="AC280" i="1"/>
  <c r="X280" i="1"/>
  <c r="W280" i="1"/>
  <c r="AJ279" i="1"/>
  <c r="AI279" i="1"/>
  <c r="AD279" i="1"/>
  <c r="AC279" i="1"/>
  <c r="X279" i="1"/>
  <c r="AV279" i="1" s="1"/>
  <c r="W279" i="1"/>
  <c r="AJ278" i="1"/>
  <c r="AI278" i="1"/>
  <c r="AD278" i="1"/>
  <c r="AC278" i="1"/>
  <c r="X278" i="1"/>
  <c r="W278" i="1"/>
  <c r="AU278" i="1" s="1"/>
  <c r="AJ277" i="1"/>
  <c r="AI277" i="1"/>
  <c r="AD277" i="1"/>
  <c r="AC277" i="1"/>
  <c r="X277" i="1"/>
  <c r="W277" i="1"/>
  <c r="AJ276" i="1"/>
  <c r="AI276" i="1"/>
  <c r="AD276" i="1"/>
  <c r="AC276" i="1"/>
  <c r="X276" i="1"/>
  <c r="W276" i="1"/>
  <c r="AJ275" i="1"/>
  <c r="AI275" i="1"/>
  <c r="AD275" i="1"/>
  <c r="AC275" i="1"/>
  <c r="X275" i="1"/>
  <c r="W275" i="1"/>
  <c r="Z275" i="1" s="1"/>
  <c r="AJ274" i="1"/>
  <c r="AI274" i="1"/>
  <c r="AD274" i="1"/>
  <c r="AC274" i="1"/>
  <c r="X274" i="1"/>
  <c r="W274" i="1"/>
  <c r="Z274" i="1" s="1"/>
  <c r="AJ273" i="1"/>
  <c r="AI273" i="1"/>
  <c r="AD273" i="1"/>
  <c r="AC273" i="1"/>
  <c r="X273" i="1"/>
  <c r="AV273" i="1" s="1"/>
  <c r="W273" i="1"/>
  <c r="Z273" i="1" s="1"/>
  <c r="AJ272" i="1"/>
  <c r="AI272" i="1"/>
  <c r="AD272" i="1"/>
  <c r="AC272" i="1"/>
  <c r="X272" i="1"/>
  <c r="AV272" i="1" s="1"/>
  <c r="W272" i="1"/>
  <c r="Z272" i="1" s="1"/>
  <c r="AJ271" i="1"/>
  <c r="AI271" i="1"/>
  <c r="AD271" i="1"/>
  <c r="AC271" i="1"/>
  <c r="X271" i="1"/>
  <c r="AV271" i="1" s="1"/>
  <c r="W271" i="1"/>
  <c r="Z271" i="1" s="1"/>
  <c r="AJ270" i="1"/>
  <c r="AI270" i="1"/>
  <c r="AD270" i="1"/>
  <c r="AC270" i="1"/>
  <c r="X270" i="1"/>
  <c r="AV270" i="1" s="1"/>
  <c r="W270" i="1"/>
  <c r="AJ269" i="1"/>
  <c r="AI269" i="1"/>
  <c r="AD269" i="1"/>
  <c r="AC269" i="1"/>
  <c r="X269" i="1"/>
  <c r="AV269" i="1" s="1"/>
  <c r="W269" i="1"/>
  <c r="AJ268" i="1"/>
  <c r="AI268" i="1"/>
  <c r="AD268" i="1"/>
  <c r="AC268" i="1"/>
  <c r="X268" i="1"/>
  <c r="AV268" i="1" s="1"/>
  <c r="W268" i="1"/>
  <c r="AJ267" i="1"/>
  <c r="AI267" i="1"/>
  <c r="AD267" i="1"/>
  <c r="AC267" i="1"/>
  <c r="X267" i="1"/>
  <c r="AV267" i="1" s="1"/>
  <c r="W267" i="1"/>
  <c r="AJ266" i="1"/>
  <c r="AI266" i="1"/>
  <c r="AD266" i="1"/>
  <c r="AC266" i="1"/>
  <c r="X266" i="1"/>
  <c r="W266" i="1"/>
  <c r="AJ265" i="1"/>
  <c r="AI265" i="1"/>
  <c r="AD265" i="1"/>
  <c r="AC265" i="1"/>
  <c r="X265" i="1"/>
  <c r="AV265" i="1" s="1"/>
  <c r="W265" i="1"/>
  <c r="AU265" i="1" s="1"/>
  <c r="AJ264" i="1"/>
  <c r="AI264" i="1"/>
  <c r="AD264" i="1"/>
  <c r="AC264" i="1"/>
  <c r="X264" i="1"/>
  <c r="AV264" i="1" s="1"/>
  <c r="W264" i="1"/>
  <c r="AJ263" i="1"/>
  <c r="AI263" i="1"/>
  <c r="AD263" i="1"/>
  <c r="AC263" i="1"/>
  <c r="X263" i="1"/>
  <c r="AV263" i="1" s="1"/>
  <c r="W263" i="1"/>
  <c r="AJ262" i="1"/>
  <c r="AI262" i="1"/>
  <c r="AD262" i="1"/>
  <c r="AC262" i="1"/>
  <c r="X262" i="1"/>
  <c r="AV262" i="1" s="1"/>
  <c r="W262" i="1"/>
  <c r="AJ261" i="1"/>
  <c r="AI261" i="1"/>
  <c r="AD261" i="1"/>
  <c r="AC261" i="1"/>
  <c r="X261" i="1"/>
  <c r="AV261" i="1" s="1"/>
  <c r="W261" i="1"/>
  <c r="AJ260" i="1"/>
  <c r="AI260" i="1"/>
  <c r="AD260" i="1"/>
  <c r="AC260" i="1"/>
  <c r="X260" i="1"/>
  <c r="AV260" i="1" s="1"/>
  <c r="W260" i="1"/>
  <c r="AJ259" i="1"/>
  <c r="AI259" i="1"/>
  <c r="AD259" i="1"/>
  <c r="AC259" i="1"/>
  <c r="X259" i="1"/>
  <c r="AV259" i="1" s="1"/>
  <c r="W259" i="1"/>
  <c r="AJ258" i="1"/>
  <c r="AI258" i="1"/>
  <c r="AD258" i="1"/>
  <c r="AC258" i="1"/>
  <c r="X258" i="1"/>
  <c r="AV258" i="1" s="1"/>
  <c r="W258" i="1"/>
  <c r="AU258" i="1" s="1"/>
  <c r="AJ257" i="1"/>
  <c r="AI257" i="1"/>
  <c r="AD257" i="1"/>
  <c r="AC257" i="1"/>
  <c r="X257" i="1"/>
  <c r="AV257" i="1" s="1"/>
  <c r="W257" i="1"/>
  <c r="AU257" i="1" s="1"/>
  <c r="AJ256" i="1"/>
  <c r="AI256" i="1"/>
  <c r="AD256" i="1"/>
  <c r="AC256" i="1"/>
  <c r="X256" i="1"/>
  <c r="AV256" i="1" s="1"/>
  <c r="W256" i="1"/>
  <c r="AU256" i="1" s="1"/>
  <c r="AJ255" i="1"/>
  <c r="AI255" i="1"/>
  <c r="AD255" i="1"/>
  <c r="AC255" i="1"/>
  <c r="X255" i="1"/>
  <c r="AV255" i="1" s="1"/>
  <c r="W255" i="1"/>
  <c r="AJ254" i="1"/>
  <c r="AI254" i="1"/>
  <c r="AD254" i="1"/>
  <c r="AC254" i="1"/>
  <c r="X254" i="1"/>
  <c r="AV254" i="1" s="1"/>
  <c r="W254" i="1"/>
  <c r="AU254" i="1" s="1"/>
  <c r="AJ253" i="1"/>
  <c r="AI253" i="1"/>
  <c r="AD253" i="1"/>
  <c r="AC253" i="1"/>
  <c r="X253" i="1"/>
  <c r="AV253" i="1" s="1"/>
  <c r="W253" i="1"/>
  <c r="AJ252" i="1"/>
  <c r="AI252" i="1"/>
  <c r="AD252" i="1"/>
  <c r="AC252" i="1"/>
  <c r="X252" i="1"/>
  <c r="AV252" i="1" s="1"/>
  <c r="W252" i="1"/>
  <c r="Z252" i="1" s="1"/>
  <c r="AJ251" i="1"/>
  <c r="AI251" i="1"/>
  <c r="AD251" i="1"/>
  <c r="AC251" i="1"/>
  <c r="X251" i="1"/>
  <c r="AV251" i="1" s="1"/>
  <c r="W251" i="1"/>
  <c r="Z251" i="1" s="1"/>
  <c r="AJ250" i="1"/>
  <c r="AI250" i="1"/>
  <c r="AD250" i="1"/>
  <c r="AC250" i="1"/>
  <c r="X250" i="1"/>
  <c r="W250" i="1"/>
  <c r="AU250" i="1" s="1"/>
  <c r="AJ249" i="1"/>
  <c r="AI249" i="1"/>
  <c r="AD249" i="1"/>
  <c r="AC249" i="1"/>
  <c r="X249" i="1"/>
  <c r="W249" i="1"/>
  <c r="AJ248" i="1"/>
  <c r="AI248" i="1"/>
  <c r="AD248" i="1"/>
  <c r="AC248" i="1"/>
  <c r="X248" i="1"/>
  <c r="W248" i="1"/>
  <c r="AU248" i="1" s="1"/>
  <c r="AJ247" i="1"/>
  <c r="AI247" i="1"/>
  <c r="AD247" i="1"/>
  <c r="AC247" i="1"/>
  <c r="X247" i="1"/>
  <c r="AV247" i="1" s="1"/>
  <c r="W247" i="1"/>
  <c r="AJ246" i="1"/>
  <c r="AI246" i="1"/>
  <c r="AD246" i="1"/>
  <c r="AC246" i="1"/>
  <c r="X246" i="1"/>
  <c r="AV246" i="1" s="1"/>
  <c r="W246" i="1"/>
  <c r="AJ245" i="1"/>
  <c r="AI245" i="1"/>
  <c r="AD245" i="1"/>
  <c r="AC245" i="1"/>
  <c r="X245" i="1"/>
  <c r="AV245" i="1" s="1"/>
  <c r="W245" i="1"/>
  <c r="AJ244" i="1"/>
  <c r="AI244" i="1"/>
  <c r="AD244" i="1"/>
  <c r="AC244" i="1"/>
  <c r="X244" i="1"/>
  <c r="AV244" i="1" s="1"/>
  <c r="W244" i="1"/>
  <c r="AJ243" i="1"/>
  <c r="AI243" i="1"/>
  <c r="AD243" i="1"/>
  <c r="AC243" i="1"/>
  <c r="X243" i="1"/>
  <c r="AV243" i="1" s="1"/>
  <c r="W243" i="1"/>
  <c r="AJ242" i="1"/>
  <c r="AI242" i="1"/>
  <c r="AD242" i="1"/>
  <c r="AC242" i="1"/>
  <c r="X242" i="1"/>
  <c r="AV242" i="1" s="1"/>
  <c r="W242" i="1"/>
  <c r="Z242" i="1" s="1"/>
  <c r="AO242" i="1" s="1"/>
  <c r="AJ241" i="1"/>
  <c r="AI241" i="1"/>
  <c r="AD241" i="1"/>
  <c r="AC241" i="1"/>
  <c r="X241" i="1"/>
  <c r="AV241" i="1" s="1"/>
  <c r="W241" i="1"/>
  <c r="AJ240" i="1"/>
  <c r="AI240" i="1"/>
  <c r="AD240" i="1"/>
  <c r="AC240" i="1"/>
  <c r="X240" i="1"/>
  <c r="AV240" i="1" s="1"/>
  <c r="W240" i="1"/>
  <c r="AJ239" i="1"/>
  <c r="AI239" i="1"/>
  <c r="AD239" i="1"/>
  <c r="AC239" i="1"/>
  <c r="X239" i="1"/>
  <c r="AV239" i="1" s="1"/>
  <c r="W239" i="1"/>
  <c r="Z239" i="1" s="1"/>
  <c r="AJ238" i="1"/>
  <c r="AI238" i="1"/>
  <c r="AD238" i="1"/>
  <c r="AC238" i="1"/>
  <c r="X238" i="1"/>
  <c r="AV238" i="1" s="1"/>
  <c r="W238" i="1"/>
  <c r="AJ237" i="1"/>
  <c r="AI237" i="1"/>
  <c r="AD237" i="1"/>
  <c r="AC237" i="1"/>
  <c r="X237" i="1"/>
  <c r="AV237" i="1" s="1"/>
  <c r="W237" i="1"/>
  <c r="AJ236" i="1"/>
  <c r="AI236" i="1"/>
  <c r="AD236" i="1"/>
  <c r="AC236" i="1"/>
  <c r="X236" i="1"/>
  <c r="AV236" i="1" s="1"/>
  <c r="W236" i="1"/>
  <c r="AJ235" i="1"/>
  <c r="AI235" i="1"/>
  <c r="AD235" i="1"/>
  <c r="AC235" i="1"/>
  <c r="X235" i="1"/>
  <c r="AV235" i="1" s="1"/>
  <c r="W235" i="1"/>
  <c r="AJ234" i="1"/>
  <c r="AI234" i="1"/>
  <c r="AD234" i="1"/>
  <c r="AC234" i="1"/>
  <c r="X234" i="1"/>
  <c r="AV234" i="1" s="1"/>
  <c r="W234" i="1"/>
  <c r="AJ233" i="1"/>
  <c r="AI233" i="1"/>
  <c r="AD233" i="1"/>
  <c r="AC233" i="1"/>
  <c r="X233" i="1"/>
  <c r="AV233" i="1" s="1"/>
  <c r="W233" i="1"/>
  <c r="AJ232" i="1"/>
  <c r="AI232" i="1"/>
  <c r="AD232" i="1"/>
  <c r="AC232" i="1"/>
  <c r="X232" i="1"/>
  <c r="AV232" i="1" s="1"/>
  <c r="W232" i="1"/>
  <c r="Z232" i="1" s="1"/>
  <c r="AJ231" i="1"/>
  <c r="AI231" i="1"/>
  <c r="AD231" i="1"/>
  <c r="AC231" i="1"/>
  <c r="X231" i="1"/>
  <c r="W231" i="1"/>
  <c r="AJ230" i="1"/>
  <c r="AI230" i="1"/>
  <c r="AD230" i="1"/>
  <c r="AC230" i="1"/>
  <c r="X230" i="1"/>
  <c r="W230" i="1"/>
  <c r="AJ229" i="1"/>
  <c r="AI229" i="1"/>
  <c r="AD229" i="1"/>
  <c r="AC229" i="1"/>
  <c r="X229" i="1"/>
  <c r="AV229" i="1" s="1"/>
  <c r="W229" i="1"/>
  <c r="AJ228" i="1"/>
  <c r="AI228" i="1"/>
  <c r="AD228" i="1"/>
  <c r="AC228" i="1"/>
  <c r="X228" i="1"/>
  <c r="W228" i="1"/>
  <c r="AU228" i="1" s="1"/>
  <c r="AJ227" i="1"/>
  <c r="AI227" i="1"/>
  <c r="AD227" i="1"/>
  <c r="AC227" i="1"/>
  <c r="X227" i="1"/>
  <c r="AV227" i="1" s="1"/>
  <c r="W227" i="1"/>
  <c r="AU227" i="1" s="1"/>
  <c r="AJ226" i="1"/>
  <c r="AI226" i="1"/>
  <c r="AD226" i="1"/>
  <c r="AC226" i="1"/>
  <c r="X226" i="1"/>
  <c r="AV226" i="1" s="1"/>
  <c r="W226" i="1"/>
  <c r="AU226" i="1" s="1"/>
  <c r="AJ225" i="1"/>
  <c r="AI225" i="1"/>
  <c r="AD225" i="1"/>
  <c r="AC225" i="1"/>
  <c r="X225" i="1"/>
  <c r="AV225" i="1" s="1"/>
  <c r="W225" i="1"/>
  <c r="Z225" i="1" s="1"/>
  <c r="AJ224" i="1"/>
  <c r="AI224" i="1"/>
  <c r="AD224" i="1"/>
  <c r="AC224" i="1"/>
  <c r="X224" i="1"/>
  <c r="W224" i="1"/>
  <c r="AJ223" i="1"/>
  <c r="AI223" i="1"/>
  <c r="AD223" i="1"/>
  <c r="AC223" i="1"/>
  <c r="X223" i="1"/>
  <c r="AV223" i="1" s="1"/>
  <c r="W223" i="1"/>
  <c r="AJ222" i="1"/>
  <c r="AI222" i="1"/>
  <c r="AD222" i="1"/>
  <c r="AC222" i="1"/>
  <c r="X222" i="1"/>
  <c r="AV222" i="1" s="1"/>
  <c r="W222" i="1"/>
  <c r="AJ221" i="1"/>
  <c r="AI221" i="1"/>
  <c r="AD221" i="1"/>
  <c r="AC221" i="1"/>
  <c r="X221" i="1"/>
  <c r="AV221" i="1" s="1"/>
  <c r="W221" i="1"/>
  <c r="AJ220" i="1"/>
  <c r="AI220" i="1"/>
  <c r="AD220" i="1"/>
  <c r="AC220" i="1"/>
  <c r="X220" i="1"/>
  <c r="AV220" i="1" s="1"/>
  <c r="W220" i="1"/>
  <c r="AU220" i="1" s="1"/>
  <c r="AJ219" i="1"/>
  <c r="AI219" i="1"/>
  <c r="AD219" i="1"/>
  <c r="AC219" i="1"/>
  <c r="X219" i="1"/>
  <c r="AV219" i="1" s="1"/>
  <c r="W219" i="1"/>
  <c r="AJ218" i="1"/>
  <c r="AI218" i="1"/>
  <c r="AD218" i="1"/>
  <c r="AC218" i="1"/>
  <c r="X218" i="1"/>
  <c r="AV218" i="1" s="1"/>
  <c r="W218" i="1"/>
  <c r="AJ217" i="1"/>
  <c r="AI217" i="1"/>
  <c r="AD217" i="1"/>
  <c r="AC217" i="1"/>
  <c r="X217" i="1"/>
  <c r="AV217" i="1" s="1"/>
  <c r="W217" i="1"/>
  <c r="AU217" i="1" s="1"/>
  <c r="AJ216" i="1"/>
  <c r="AI216" i="1"/>
  <c r="AD216" i="1"/>
  <c r="AC216" i="1"/>
  <c r="X216" i="1"/>
  <c r="AV216" i="1" s="1"/>
  <c r="W216" i="1"/>
  <c r="AU216" i="1" s="1"/>
  <c r="AJ215" i="1"/>
  <c r="AI215" i="1"/>
  <c r="AD215" i="1"/>
  <c r="AC215" i="1"/>
  <c r="X215" i="1"/>
  <c r="AV215" i="1" s="1"/>
  <c r="W215" i="1"/>
  <c r="AU215" i="1" s="1"/>
  <c r="AJ214" i="1"/>
  <c r="AI214" i="1"/>
  <c r="AD214" i="1"/>
  <c r="AC214" i="1"/>
  <c r="X214" i="1"/>
  <c r="AV214" i="1" s="1"/>
  <c r="W214" i="1"/>
  <c r="AU214" i="1" s="1"/>
  <c r="AJ213" i="1"/>
  <c r="AI213" i="1"/>
  <c r="AD213" i="1"/>
  <c r="AC213" i="1"/>
  <c r="X213" i="1"/>
  <c r="AV213" i="1" s="1"/>
  <c r="W213" i="1"/>
  <c r="AJ212" i="1"/>
  <c r="AI212" i="1"/>
  <c r="AD212" i="1"/>
  <c r="AC212" i="1"/>
  <c r="X212" i="1"/>
  <c r="W212" i="1"/>
  <c r="Z212" i="1" s="1"/>
  <c r="AR212" i="1" s="1"/>
  <c r="AJ211" i="1"/>
  <c r="AI211" i="1"/>
  <c r="AD211" i="1"/>
  <c r="AC211" i="1"/>
  <c r="X211" i="1"/>
  <c r="AV211" i="1" s="1"/>
  <c r="W211" i="1"/>
  <c r="AJ210" i="1"/>
  <c r="AI210" i="1"/>
  <c r="AD210" i="1"/>
  <c r="AC210" i="1"/>
  <c r="X210" i="1"/>
  <c r="AV210" i="1" s="1"/>
  <c r="W210" i="1"/>
  <c r="Z210" i="1" s="1"/>
  <c r="AO210" i="1" s="1"/>
  <c r="AJ209" i="1"/>
  <c r="AI209" i="1"/>
  <c r="AD209" i="1"/>
  <c r="AC209" i="1"/>
  <c r="X209" i="1"/>
  <c r="AV209" i="1" s="1"/>
  <c r="W209" i="1"/>
  <c r="AU209" i="1" s="1"/>
  <c r="AJ208" i="1"/>
  <c r="AI208" i="1"/>
  <c r="AD208" i="1"/>
  <c r="AC208" i="1"/>
  <c r="X208" i="1"/>
  <c r="AV208" i="1" s="1"/>
  <c r="W208" i="1"/>
  <c r="AU208" i="1" s="1"/>
  <c r="AJ207" i="1"/>
  <c r="AI207" i="1"/>
  <c r="AD207" i="1"/>
  <c r="AC207" i="1"/>
  <c r="X207" i="1"/>
  <c r="AV207" i="1" s="1"/>
  <c r="W207" i="1"/>
  <c r="AJ206" i="1"/>
  <c r="AI206" i="1"/>
  <c r="AD206" i="1"/>
  <c r="AC206" i="1"/>
  <c r="X206" i="1"/>
  <c r="W206" i="1"/>
  <c r="AJ205" i="1"/>
  <c r="AI205" i="1"/>
  <c r="AD205" i="1"/>
  <c r="AC205" i="1"/>
  <c r="X205" i="1"/>
  <c r="W205" i="1"/>
  <c r="AJ204" i="1"/>
  <c r="AI204" i="1"/>
  <c r="AD204" i="1"/>
  <c r="AC204" i="1"/>
  <c r="X204" i="1"/>
  <c r="W204" i="1"/>
  <c r="AJ203" i="1"/>
  <c r="AI203" i="1"/>
  <c r="AD203" i="1"/>
  <c r="AC203" i="1"/>
  <c r="X203" i="1"/>
  <c r="AV203" i="1" s="1"/>
  <c r="W203" i="1"/>
  <c r="AJ202" i="1"/>
  <c r="AI202" i="1"/>
  <c r="AD202" i="1"/>
  <c r="AC202" i="1"/>
  <c r="X202" i="1"/>
  <c r="W202" i="1"/>
  <c r="AJ201" i="1"/>
  <c r="AI201" i="1"/>
  <c r="AD201" i="1"/>
  <c r="AC201" i="1"/>
  <c r="X201" i="1"/>
  <c r="AV201" i="1" s="1"/>
  <c r="W201" i="1"/>
  <c r="Z201" i="1" s="1"/>
  <c r="AR201" i="1" s="1"/>
  <c r="AJ200" i="1"/>
  <c r="AI200" i="1"/>
  <c r="AD200" i="1"/>
  <c r="AC200" i="1"/>
  <c r="X200" i="1"/>
  <c r="AV200" i="1" s="1"/>
  <c r="W200" i="1"/>
  <c r="AJ199" i="1"/>
  <c r="AI199" i="1"/>
  <c r="AD199" i="1"/>
  <c r="AC199" i="1"/>
  <c r="X199" i="1"/>
  <c r="AV199" i="1" s="1"/>
  <c r="W199" i="1"/>
  <c r="AJ198" i="1"/>
  <c r="AI198" i="1"/>
  <c r="AD198" i="1"/>
  <c r="AC198" i="1"/>
  <c r="X198" i="1"/>
  <c r="AV198" i="1" s="1"/>
  <c r="W198" i="1"/>
  <c r="AJ197" i="1"/>
  <c r="AI197" i="1"/>
  <c r="AD197" i="1"/>
  <c r="AC197" i="1"/>
  <c r="X197" i="1"/>
  <c r="AV197" i="1" s="1"/>
  <c r="W197" i="1"/>
  <c r="AJ196" i="1"/>
  <c r="AI196" i="1"/>
  <c r="AD196" i="1"/>
  <c r="AC196" i="1"/>
  <c r="X196" i="1"/>
  <c r="AV196" i="1" s="1"/>
  <c r="W196" i="1"/>
  <c r="AU196" i="1" s="1"/>
  <c r="AJ195" i="1"/>
  <c r="AI195" i="1"/>
  <c r="AD195" i="1"/>
  <c r="AC195" i="1"/>
  <c r="X195" i="1"/>
  <c r="AV195" i="1" s="1"/>
  <c r="W195" i="1"/>
  <c r="AJ194" i="1"/>
  <c r="AI194" i="1"/>
  <c r="AD194" i="1"/>
  <c r="AC194" i="1"/>
  <c r="X194" i="1"/>
  <c r="AV194" i="1" s="1"/>
  <c r="W194" i="1"/>
  <c r="AJ193" i="1"/>
  <c r="AI193" i="1"/>
  <c r="AD193" i="1"/>
  <c r="AC193" i="1"/>
  <c r="X193" i="1"/>
  <c r="AV193" i="1" s="1"/>
  <c r="W193" i="1"/>
  <c r="AJ192" i="1"/>
  <c r="AI192" i="1"/>
  <c r="AD192" i="1"/>
  <c r="AC192" i="1"/>
  <c r="X192" i="1"/>
  <c r="AV192" i="1" s="1"/>
  <c r="W192" i="1"/>
  <c r="AJ191" i="1"/>
  <c r="AI191" i="1"/>
  <c r="AD191" i="1"/>
  <c r="AC191" i="1"/>
  <c r="X191" i="1"/>
  <c r="AV191" i="1" s="1"/>
  <c r="W191" i="1"/>
  <c r="AU191" i="1" s="1"/>
  <c r="AJ190" i="1"/>
  <c r="AI190" i="1"/>
  <c r="AD190" i="1"/>
  <c r="AC190" i="1"/>
  <c r="X190" i="1"/>
  <c r="AV190" i="1" s="1"/>
  <c r="W190" i="1"/>
  <c r="AJ189" i="1"/>
  <c r="AI189" i="1"/>
  <c r="AD189" i="1"/>
  <c r="AC189" i="1"/>
  <c r="X189" i="1"/>
  <c r="AV189" i="1" s="1"/>
  <c r="W189" i="1"/>
  <c r="Z189" i="1" s="1"/>
  <c r="AJ188" i="1"/>
  <c r="AI188" i="1"/>
  <c r="AD188" i="1"/>
  <c r="AC188" i="1"/>
  <c r="X188" i="1"/>
  <c r="AV188" i="1" s="1"/>
  <c r="W188" i="1"/>
  <c r="AJ187" i="1"/>
  <c r="AI187" i="1"/>
  <c r="AD187" i="1"/>
  <c r="AC187" i="1"/>
  <c r="X187" i="1"/>
  <c r="AV187" i="1" s="1"/>
  <c r="W187" i="1"/>
  <c r="Z187" i="1" s="1"/>
  <c r="AO187" i="1" s="1"/>
  <c r="AJ186" i="1"/>
  <c r="AI186" i="1"/>
  <c r="AD186" i="1"/>
  <c r="AC186" i="1"/>
  <c r="X186" i="1"/>
  <c r="AV186" i="1" s="1"/>
  <c r="W186" i="1"/>
  <c r="AJ185" i="1"/>
  <c r="AI185" i="1"/>
  <c r="AD185" i="1"/>
  <c r="AC185" i="1"/>
  <c r="X185" i="1"/>
  <c r="W185" i="1"/>
  <c r="AJ184" i="1"/>
  <c r="AI184" i="1"/>
  <c r="AD184" i="1"/>
  <c r="AC184" i="1"/>
  <c r="X184" i="1"/>
  <c r="AV184" i="1" s="1"/>
  <c r="W184" i="1"/>
  <c r="AJ183" i="1"/>
  <c r="AI183" i="1"/>
  <c r="AD183" i="1"/>
  <c r="AC183" i="1"/>
  <c r="X183" i="1"/>
  <c r="AV183" i="1" s="1"/>
  <c r="W183" i="1"/>
  <c r="AJ182" i="1"/>
  <c r="AI182" i="1"/>
  <c r="AD182" i="1"/>
  <c r="AC182" i="1"/>
  <c r="X182" i="1"/>
  <c r="AV182" i="1" s="1"/>
  <c r="W182" i="1"/>
  <c r="AJ181" i="1"/>
  <c r="AI181" i="1"/>
  <c r="AD181" i="1"/>
  <c r="AC181" i="1"/>
  <c r="X181" i="1"/>
  <c r="AV181" i="1" s="1"/>
  <c r="W181" i="1"/>
  <c r="AJ180" i="1"/>
  <c r="AI180" i="1"/>
  <c r="AD180" i="1"/>
  <c r="AC180" i="1"/>
  <c r="X180" i="1"/>
  <c r="AV180" i="1" s="1"/>
  <c r="W180" i="1"/>
  <c r="Z180" i="1" s="1"/>
  <c r="AJ179" i="1"/>
  <c r="AI179" i="1"/>
  <c r="AD179" i="1"/>
  <c r="AC179" i="1"/>
  <c r="X179" i="1"/>
  <c r="AV179" i="1" s="1"/>
  <c r="W179" i="1"/>
  <c r="Z179" i="1" s="1"/>
  <c r="AJ178" i="1"/>
  <c r="AI178" i="1"/>
  <c r="AD178" i="1"/>
  <c r="AC178" i="1"/>
  <c r="X178" i="1"/>
  <c r="W178" i="1"/>
  <c r="AU178" i="1" s="1"/>
  <c r="AJ177" i="1"/>
  <c r="AI177" i="1"/>
  <c r="AD177" i="1"/>
  <c r="AC177" i="1"/>
  <c r="X177" i="1"/>
  <c r="AV177" i="1" s="1"/>
  <c r="W177" i="1"/>
  <c r="AJ176" i="1"/>
  <c r="AI176" i="1"/>
  <c r="AD176" i="1"/>
  <c r="AC176" i="1"/>
  <c r="X176" i="1"/>
  <c r="W176" i="1"/>
  <c r="AJ175" i="1"/>
  <c r="AI175" i="1"/>
  <c r="AD175" i="1"/>
  <c r="AC175" i="1"/>
  <c r="X175" i="1"/>
  <c r="W175" i="1"/>
  <c r="AU175" i="1" s="1"/>
  <c r="AJ174" i="1"/>
  <c r="AI174" i="1"/>
  <c r="AD174" i="1"/>
  <c r="AC174" i="1"/>
  <c r="X174" i="1"/>
  <c r="AV174" i="1" s="1"/>
  <c r="W174" i="1"/>
  <c r="Z174" i="1" s="1"/>
  <c r="AO174" i="1" s="1"/>
  <c r="AJ173" i="1"/>
  <c r="AI173" i="1"/>
  <c r="AD173" i="1"/>
  <c r="AC173" i="1"/>
  <c r="X173" i="1"/>
  <c r="AV173" i="1" s="1"/>
  <c r="W173" i="1"/>
  <c r="AJ172" i="1"/>
  <c r="AI172" i="1"/>
  <c r="AD172" i="1"/>
  <c r="AC172" i="1"/>
  <c r="X172" i="1"/>
  <c r="AV172" i="1" s="1"/>
  <c r="W172" i="1"/>
  <c r="AJ171" i="1"/>
  <c r="AI171" i="1"/>
  <c r="AD171" i="1"/>
  <c r="AC171" i="1"/>
  <c r="X171" i="1"/>
  <c r="AV171" i="1" s="1"/>
  <c r="W171" i="1"/>
  <c r="AJ170" i="1"/>
  <c r="AI170" i="1"/>
  <c r="AD170" i="1"/>
  <c r="AC170" i="1"/>
  <c r="X170" i="1"/>
  <c r="W170" i="1"/>
  <c r="AJ169" i="1"/>
  <c r="AI169" i="1"/>
  <c r="AD169" i="1"/>
  <c r="AC169" i="1"/>
  <c r="X169" i="1"/>
  <c r="W169" i="1"/>
  <c r="Z169" i="1" s="1"/>
  <c r="AR169" i="1" s="1"/>
  <c r="AJ168" i="1"/>
  <c r="AI168" i="1"/>
  <c r="AD168" i="1"/>
  <c r="AC168" i="1"/>
  <c r="X168" i="1"/>
  <c r="AV168" i="1" s="1"/>
  <c r="W168" i="1"/>
  <c r="AJ167" i="1"/>
  <c r="AI167" i="1"/>
  <c r="AD167" i="1"/>
  <c r="AC167" i="1"/>
  <c r="X167" i="1"/>
  <c r="AV167" i="1" s="1"/>
  <c r="W167" i="1"/>
  <c r="AJ166" i="1"/>
  <c r="AI166" i="1"/>
  <c r="AD166" i="1"/>
  <c r="AC166" i="1"/>
  <c r="X166" i="1"/>
  <c r="AV166" i="1" s="1"/>
  <c r="W166" i="1"/>
  <c r="AU166" i="1" s="1"/>
  <c r="AJ165" i="1"/>
  <c r="AI165" i="1"/>
  <c r="AD165" i="1"/>
  <c r="AC165" i="1"/>
  <c r="X165" i="1"/>
  <c r="AV165" i="1" s="1"/>
  <c r="W165" i="1"/>
  <c r="AU165" i="1" s="1"/>
  <c r="AJ164" i="1"/>
  <c r="AI164" i="1"/>
  <c r="AD164" i="1"/>
  <c r="AC164" i="1"/>
  <c r="X164" i="1"/>
  <c r="AV164" i="1" s="1"/>
  <c r="W164" i="1"/>
  <c r="AJ163" i="1"/>
  <c r="AI163" i="1"/>
  <c r="AD163" i="1"/>
  <c r="AC163" i="1"/>
  <c r="X163" i="1"/>
  <c r="AV163" i="1" s="1"/>
  <c r="W163" i="1"/>
  <c r="AJ162" i="1"/>
  <c r="AI162" i="1"/>
  <c r="AD162" i="1"/>
  <c r="AC162" i="1"/>
  <c r="X162" i="1"/>
  <c r="AV162" i="1" s="1"/>
  <c r="W162" i="1"/>
  <c r="AJ161" i="1"/>
  <c r="AI161" i="1"/>
  <c r="AD161" i="1"/>
  <c r="AC161" i="1"/>
  <c r="X161" i="1"/>
  <c r="W161" i="1"/>
  <c r="Z161" i="1" s="1"/>
  <c r="AO161" i="1" s="1"/>
  <c r="AJ160" i="1"/>
  <c r="AI160" i="1"/>
  <c r="AD160" i="1"/>
  <c r="AC160" i="1"/>
  <c r="X160" i="1"/>
  <c r="AV160" i="1" s="1"/>
  <c r="W160" i="1"/>
  <c r="AJ159" i="1"/>
  <c r="AI159" i="1"/>
  <c r="AD159" i="1"/>
  <c r="AC159" i="1"/>
  <c r="X159" i="1"/>
  <c r="AV159" i="1" s="1"/>
  <c r="W159" i="1"/>
  <c r="AJ158" i="1"/>
  <c r="AI158" i="1"/>
  <c r="AD158" i="1"/>
  <c r="AC158" i="1"/>
  <c r="X158" i="1"/>
  <c r="AV158" i="1" s="1"/>
  <c r="W158" i="1"/>
  <c r="AJ157" i="1"/>
  <c r="AI157" i="1"/>
  <c r="AD157" i="1"/>
  <c r="AC157" i="1"/>
  <c r="X157" i="1"/>
  <c r="AV157" i="1" s="1"/>
  <c r="W157" i="1"/>
  <c r="AJ156" i="1"/>
  <c r="AI156" i="1"/>
  <c r="AD156" i="1"/>
  <c r="AC156" i="1"/>
  <c r="X156" i="1"/>
  <c r="AV156" i="1" s="1"/>
  <c r="W156" i="1"/>
  <c r="Z156" i="1" s="1"/>
  <c r="AJ155" i="1"/>
  <c r="AI155" i="1"/>
  <c r="AD155" i="1"/>
  <c r="AC155" i="1"/>
  <c r="X155" i="1"/>
  <c r="W155" i="1"/>
  <c r="Z155" i="1" s="1"/>
  <c r="AO155" i="1" s="1"/>
  <c r="AJ154" i="1"/>
  <c r="AI154" i="1"/>
  <c r="AD154" i="1"/>
  <c r="AC154" i="1"/>
  <c r="X154" i="1"/>
  <c r="AV154" i="1" s="1"/>
  <c r="W154" i="1"/>
  <c r="AJ153" i="1"/>
  <c r="AI153" i="1"/>
  <c r="AD153" i="1"/>
  <c r="AC153" i="1"/>
  <c r="X153" i="1"/>
  <c r="W153" i="1"/>
  <c r="AJ152" i="1"/>
  <c r="AI152" i="1"/>
  <c r="AD152" i="1"/>
  <c r="AC152" i="1"/>
  <c r="X152" i="1"/>
  <c r="W152" i="1"/>
  <c r="AJ151" i="1"/>
  <c r="AI151" i="1"/>
  <c r="AD151" i="1"/>
  <c r="AC151" i="1"/>
  <c r="X151" i="1"/>
  <c r="AV151" i="1" s="1"/>
  <c r="W151" i="1"/>
  <c r="AJ150" i="1"/>
  <c r="AI150" i="1"/>
  <c r="AD150" i="1"/>
  <c r="AC150" i="1"/>
  <c r="X150" i="1"/>
  <c r="AV150" i="1" s="1"/>
  <c r="W150" i="1"/>
  <c r="Z150" i="1" s="1"/>
  <c r="AO150" i="1" s="1"/>
  <c r="AJ149" i="1"/>
  <c r="AI149" i="1"/>
  <c r="AD149" i="1"/>
  <c r="AC149" i="1"/>
  <c r="X149" i="1"/>
  <c r="AV149" i="1" s="1"/>
  <c r="W149" i="1"/>
  <c r="AJ148" i="1"/>
  <c r="AI148" i="1"/>
  <c r="AD148" i="1"/>
  <c r="AC148" i="1"/>
  <c r="X148" i="1"/>
  <c r="AV148" i="1" s="1"/>
  <c r="W148" i="1"/>
  <c r="AU148" i="1" s="1"/>
  <c r="AJ147" i="1"/>
  <c r="AI147" i="1"/>
  <c r="AD147" i="1"/>
  <c r="AC147" i="1"/>
  <c r="X147" i="1"/>
  <c r="W147" i="1"/>
  <c r="AU147" i="1" s="1"/>
  <c r="AJ146" i="1"/>
  <c r="AI146" i="1"/>
  <c r="AD146" i="1"/>
  <c r="AC146" i="1"/>
  <c r="X146" i="1"/>
  <c r="AV146" i="1" s="1"/>
  <c r="W146" i="1"/>
  <c r="AJ145" i="1"/>
  <c r="AI145" i="1"/>
  <c r="AD145" i="1"/>
  <c r="AC145" i="1"/>
  <c r="X145" i="1"/>
  <c r="AV145" i="1" s="1"/>
  <c r="W145" i="1"/>
  <c r="Z145" i="1" s="1"/>
  <c r="AJ144" i="1"/>
  <c r="AI144" i="1"/>
  <c r="AD144" i="1"/>
  <c r="AC144" i="1"/>
  <c r="X144" i="1"/>
  <c r="AV144" i="1" s="1"/>
  <c r="W144" i="1"/>
  <c r="AJ143" i="1"/>
  <c r="AI143" i="1"/>
  <c r="AD143" i="1"/>
  <c r="AC143" i="1"/>
  <c r="X143" i="1"/>
  <c r="AV143" i="1" s="1"/>
  <c r="W143" i="1"/>
  <c r="AU143" i="1" s="1"/>
  <c r="AJ142" i="1"/>
  <c r="AI142" i="1"/>
  <c r="AD142" i="1"/>
  <c r="AC142" i="1"/>
  <c r="X142" i="1"/>
  <c r="AV142" i="1" s="1"/>
  <c r="W142" i="1"/>
  <c r="AJ141" i="1"/>
  <c r="AI141" i="1"/>
  <c r="AD141" i="1"/>
  <c r="AC141" i="1"/>
  <c r="X141" i="1"/>
  <c r="W141" i="1"/>
  <c r="AU141" i="1" s="1"/>
  <c r="AJ140" i="1"/>
  <c r="AI140" i="1"/>
  <c r="AD140" i="1"/>
  <c r="AC140" i="1"/>
  <c r="X140" i="1"/>
  <c r="AV140" i="1" s="1"/>
  <c r="W140" i="1"/>
  <c r="AU140" i="1" s="1"/>
  <c r="AJ139" i="1"/>
  <c r="AI139" i="1"/>
  <c r="AD139" i="1"/>
  <c r="AC139" i="1"/>
  <c r="X139" i="1"/>
  <c r="W139" i="1"/>
  <c r="Z139" i="1" s="1"/>
  <c r="AJ138" i="1"/>
  <c r="AI138" i="1"/>
  <c r="AD138" i="1"/>
  <c r="AC138" i="1"/>
  <c r="X138" i="1"/>
  <c r="AV138" i="1" s="1"/>
  <c r="W138" i="1"/>
  <c r="AJ137" i="1"/>
  <c r="AI137" i="1"/>
  <c r="AD137" i="1"/>
  <c r="AC137" i="1"/>
  <c r="X137" i="1"/>
  <c r="AV137" i="1" s="1"/>
  <c r="W137" i="1"/>
  <c r="AU137" i="1" s="1"/>
  <c r="AJ136" i="1"/>
  <c r="AI136" i="1"/>
  <c r="AD136" i="1"/>
  <c r="AC136" i="1"/>
  <c r="X136" i="1"/>
  <c r="AV136" i="1" s="1"/>
  <c r="W136" i="1"/>
  <c r="AJ135" i="1"/>
  <c r="AI135" i="1"/>
  <c r="AD135" i="1"/>
  <c r="AC135" i="1"/>
  <c r="X135" i="1"/>
  <c r="AV135" i="1" s="1"/>
  <c r="W135" i="1"/>
  <c r="AJ134" i="1"/>
  <c r="AI134" i="1"/>
  <c r="AD134" i="1"/>
  <c r="AC134" i="1"/>
  <c r="X134" i="1"/>
  <c r="AV134" i="1" s="1"/>
  <c r="W134" i="1"/>
  <c r="AU134" i="1" s="1"/>
  <c r="AJ133" i="1"/>
  <c r="AI133" i="1"/>
  <c r="AD133" i="1"/>
  <c r="AC133" i="1"/>
  <c r="X133" i="1"/>
  <c r="W133" i="1"/>
  <c r="AJ132" i="1"/>
  <c r="AI132" i="1"/>
  <c r="AD132" i="1"/>
  <c r="AC132" i="1"/>
  <c r="X132" i="1"/>
  <c r="AV132" i="1" s="1"/>
  <c r="W132" i="1"/>
  <c r="AU132" i="1" s="1"/>
  <c r="AJ131" i="1"/>
  <c r="AI131" i="1"/>
  <c r="AD131" i="1"/>
  <c r="AC131" i="1"/>
  <c r="X131" i="1"/>
  <c r="AV131" i="1" s="1"/>
  <c r="W131" i="1"/>
  <c r="AJ130" i="1"/>
  <c r="AI130" i="1"/>
  <c r="AD130" i="1"/>
  <c r="AC130" i="1"/>
  <c r="X130" i="1"/>
  <c r="W130" i="1"/>
  <c r="AJ129" i="1"/>
  <c r="AI129" i="1"/>
  <c r="AD129" i="1"/>
  <c r="AC129" i="1"/>
  <c r="X129" i="1"/>
  <c r="W129" i="1"/>
  <c r="AU129" i="1" s="1"/>
  <c r="AJ128" i="1"/>
  <c r="AI128" i="1"/>
  <c r="AD128" i="1"/>
  <c r="AC128" i="1"/>
  <c r="X128" i="1"/>
  <c r="AV128" i="1" s="1"/>
  <c r="W128" i="1"/>
  <c r="AU128" i="1" s="1"/>
  <c r="AJ127" i="1"/>
  <c r="AI127" i="1"/>
  <c r="AD127" i="1"/>
  <c r="AC127" i="1"/>
  <c r="X127" i="1"/>
  <c r="W127" i="1"/>
  <c r="AU127" i="1" s="1"/>
  <c r="AJ126" i="1"/>
  <c r="AI126" i="1"/>
  <c r="AD126" i="1"/>
  <c r="AC126" i="1"/>
  <c r="X126" i="1"/>
  <c r="AV126" i="1" s="1"/>
  <c r="W126" i="1"/>
  <c r="AJ125" i="1"/>
  <c r="AI125" i="1"/>
  <c r="AD125" i="1"/>
  <c r="AC125" i="1"/>
  <c r="X125" i="1"/>
  <c r="AV125" i="1" s="1"/>
  <c r="W125" i="1"/>
  <c r="AJ124" i="1"/>
  <c r="AI124" i="1"/>
  <c r="AD124" i="1"/>
  <c r="AC124" i="1"/>
  <c r="X124" i="1"/>
  <c r="AV124" i="1" s="1"/>
  <c r="W124" i="1"/>
  <c r="AJ123" i="1"/>
  <c r="AI123" i="1"/>
  <c r="AD123" i="1"/>
  <c r="AC123" i="1"/>
  <c r="X123" i="1"/>
  <c r="AV123" i="1" s="1"/>
  <c r="W123" i="1"/>
  <c r="AU123" i="1" s="1"/>
  <c r="AJ122" i="1"/>
  <c r="AI122" i="1"/>
  <c r="AD122" i="1"/>
  <c r="AC122" i="1"/>
  <c r="X122" i="1"/>
  <c r="AV122" i="1" s="1"/>
  <c r="W122" i="1"/>
  <c r="AU122" i="1" s="1"/>
  <c r="AJ121" i="1"/>
  <c r="AI121" i="1"/>
  <c r="AD121" i="1"/>
  <c r="AC121" i="1"/>
  <c r="X121" i="1"/>
  <c r="AV121" i="1" s="1"/>
  <c r="W121" i="1"/>
  <c r="AU121" i="1" s="1"/>
  <c r="AJ120" i="1"/>
  <c r="AI120" i="1"/>
  <c r="AD120" i="1"/>
  <c r="AC120" i="1"/>
  <c r="X120" i="1"/>
  <c r="AV120" i="1" s="1"/>
  <c r="W120" i="1"/>
  <c r="AJ119" i="1"/>
  <c r="AI119" i="1"/>
  <c r="AD119" i="1"/>
  <c r="AC119" i="1"/>
  <c r="X119" i="1"/>
  <c r="AV119" i="1" s="1"/>
  <c r="W119" i="1"/>
  <c r="AU119" i="1" s="1"/>
  <c r="AJ118" i="1"/>
  <c r="AI118" i="1"/>
  <c r="AD118" i="1"/>
  <c r="AC118" i="1"/>
  <c r="X118" i="1"/>
  <c r="AV118" i="1" s="1"/>
  <c r="W118" i="1"/>
  <c r="AJ117" i="1"/>
  <c r="AI117" i="1"/>
  <c r="AD117" i="1"/>
  <c r="AC117" i="1"/>
  <c r="X117" i="1"/>
  <c r="W117" i="1"/>
  <c r="Z117" i="1" s="1"/>
  <c r="AJ116" i="1"/>
  <c r="AI116" i="1"/>
  <c r="AD116" i="1"/>
  <c r="AC116" i="1"/>
  <c r="X116" i="1"/>
  <c r="AV116" i="1" s="1"/>
  <c r="W116" i="1"/>
  <c r="AU116" i="1" s="1"/>
  <c r="AJ115" i="1"/>
  <c r="AI115" i="1"/>
  <c r="AD115" i="1"/>
  <c r="AC115" i="1"/>
  <c r="X115" i="1"/>
  <c r="W115" i="1"/>
  <c r="AJ114" i="1"/>
  <c r="AI114" i="1"/>
  <c r="AD114" i="1"/>
  <c r="AC114" i="1"/>
  <c r="X114" i="1"/>
  <c r="AV114" i="1" s="1"/>
  <c r="W114" i="1"/>
  <c r="AJ113" i="1"/>
  <c r="AI113" i="1"/>
  <c r="AD113" i="1"/>
  <c r="AC113" i="1"/>
  <c r="X113" i="1"/>
  <c r="W113" i="1"/>
  <c r="AJ112" i="1"/>
  <c r="AI112" i="1"/>
  <c r="AD112" i="1"/>
  <c r="AC112" i="1"/>
  <c r="X112" i="1"/>
  <c r="AV112" i="1" s="1"/>
  <c r="W112" i="1"/>
  <c r="AU112" i="1" s="1"/>
  <c r="AJ111" i="1"/>
  <c r="AI111" i="1"/>
  <c r="AD111" i="1"/>
  <c r="AC111" i="1"/>
  <c r="X111" i="1"/>
  <c r="AV111" i="1" s="1"/>
  <c r="W111" i="1"/>
  <c r="AJ110" i="1"/>
  <c r="AI110" i="1"/>
  <c r="AD110" i="1"/>
  <c r="AC110" i="1"/>
  <c r="X110" i="1"/>
  <c r="W110" i="1"/>
  <c r="AU110" i="1" s="1"/>
  <c r="AJ109" i="1"/>
  <c r="AI109" i="1"/>
  <c r="AD109" i="1"/>
  <c r="AC109" i="1"/>
  <c r="X109" i="1"/>
  <c r="W109" i="1"/>
  <c r="AJ108" i="1"/>
  <c r="AI108" i="1"/>
  <c r="AD108" i="1"/>
  <c r="AC108" i="1"/>
  <c r="X108" i="1"/>
  <c r="AV108" i="1" s="1"/>
  <c r="W108" i="1"/>
  <c r="AJ107" i="1"/>
  <c r="AI107" i="1"/>
  <c r="AD107" i="1"/>
  <c r="AC107" i="1"/>
  <c r="X107" i="1"/>
  <c r="W107" i="1"/>
  <c r="Z107" i="1" s="1"/>
  <c r="AJ106" i="1"/>
  <c r="AI106" i="1"/>
  <c r="AD106" i="1"/>
  <c r="AC106" i="1"/>
  <c r="X106" i="1"/>
  <c r="AV106" i="1" s="1"/>
  <c r="W106" i="1"/>
  <c r="AJ105" i="1"/>
  <c r="AI105" i="1"/>
  <c r="AD105" i="1"/>
  <c r="AC105" i="1"/>
  <c r="X105" i="1"/>
  <c r="W105" i="1"/>
  <c r="Z105" i="1" s="1"/>
  <c r="AJ104" i="1"/>
  <c r="AI104" i="1"/>
  <c r="AD104" i="1"/>
  <c r="AC104" i="1"/>
  <c r="X104" i="1"/>
  <c r="AV104" i="1" s="1"/>
  <c r="W104" i="1"/>
  <c r="AJ103" i="1"/>
  <c r="AI103" i="1"/>
  <c r="AD103" i="1"/>
  <c r="AC103" i="1"/>
  <c r="X103" i="1"/>
  <c r="AV103" i="1" s="1"/>
  <c r="W103" i="1"/>
  <c r="AU103" i="1" s="1"/>
  <c r="AJ102" i="1"/>
  <c r="AI102" i="1"/>
  <c r="AD102" i="1"/>
  <c r="AC102" i="1"/>
  <c r="X102" i="1"/>
  <c r="AV102" i="1" s="1"/>
  <c r="W102" i="1"/>
  <c r="AJ101" i="1"/>
  <c r="AI101" i="1"/>
  <c r="AD101" i="1"/>
  <c r="AC101" i="1"/>
  <c r="X101" i="1"/>
  <c r="AV101" i="1" s="1"/>
  <c r="W101" i="1"/>
  <c r="AJ100" i="1"/>
  <c r="AI100" i="1"/>
  <c r="AD100" i="1"/>
  <c r="AC100" i="1"/>
  <c r="X100" i="1"/>
  <c r="AV100" i="1" s="1"/>
  <c r="W100" i="1"/>
  <c r="AJ99" i="1"/>
  <c r="AI99" i="1"/>
  <c r="AD99" i="1"/>
  <c r="AC99" i="1"/>
  <c r="X99" i="1"/>
  <c r="AV99" i="1" s="1"/>
  <c r="W99" i="1"/>
  <c r="Z99" i="1" s="1"/>
  <c r="AJ98" i="1"/>
  <c r="AI98" i="1"/>
  <c r="AD98" i="1"/>
  <c r="AC98" i="1"/>
  <c r="X98" i="1"/>
  <c r="AV98" i="1" s="1"/>
  <c r="W98" i="1"/>
  <c r="AU98" i="1" s="1"/>
  <c r="AJ97" i="1"/>
  <c r="AI97" i="1"/>
  <c r="AD97" i="1"/>
  <c r="AC97" i="1"/>
  <c r="X97" i="1"/>
  <c r="W97" i="1"/>
  <c r="AJ96" i="1"/>
  <c r="AI96" i="1"/>
  <c r="AD96" i="1"/>
  <c r="AC96" i="1"/>
  <c r="X96" i="1"/>
  <c r="AV96" i="1" s="1"/>
  <c r="W96" i="1"/>
  <c r="Z96" i="1" s="1"/>
  <c r="AJ95" i="1"/>
  <c r="AI95" i="1"/>
  <c r="AD95" i="1"/>
  <c r="AC95" i="1"/>
  <c r="X95" i="1"/>
  <c r="W95" i="1"/>
  <c r="AJ94" i="1"/>
  <c r="AI94" i="1"/>
  <c r="AD94" i="1"/>
  <c r="AC94" i="1"/>
  <c r="X94" i="1"/>
  <c r="AV94" i="1" s="1"/>
  <c r="W94" i="1"/>
  <c r="Z94" i="1" s="1"/>
  <c r="AO94" i="1" s="1"/>
  <c r="AJ93" i="1"/>
  <c r="AI93" i="1"/>
  <c r="AD93" i="1"/>
  <c r="AC93" i="1"/>
  <c r="X93" i="1"/>
  <c r="AV93" i="1" s="1"/>
  <c r="W93" i="1"/>
  <c r="Z93" i="1" s="1"/>
  <c r="AR93" i="1" s="1"/>
  <c r="AJ92" i="1"/>
  <c r="AI92" i="1"/>
  <c r="AD92" i="1"/>
  <c r="AC92" i="1"/>
  <c r="X92" i="1"/>
  <c r="AV92" i="1" s="1"/>
  <c r="W92" i="1"/>
  <c r="AJ91" i="1"/>
  <c r="AI91" i="1"/>
  <c r="AD91" i="1"/>
  <c r="AC91" i="1"/>
  <c r="X91" i="1"/>
  <c r="AV91" i="1" s="1"/>
  <c r="W91" i="1"/>
  <c r="AU91" i="1" s="1"/>
  <c r="AJ90" i="1"/>
  <c r="AI90" i="1"/>
  <c r="AD90" i="1"/>
  <c r="AC90" i="1"/>
  <c r="X90" i="1"/>
  <c r="AV90" i="1" s="1"/>
  <c r="W90" i="1"/>
  <c r="Z90" i="1" s="1"/>
  <c r="AR90" i="1" s="1"/>
  <c r="AJ89" i="1"/>
  <c r="AI89" i="1"/>
  <c r="AD89" i="1"/>
  <c r="AC89" i="1"/>
  <c r="X89" i="1"/>
  <c r="W89" i="1"/>
  <c r="AJ88" i="1"/>
  <c r="AI88" i="1"/>
  <c r="AD88" i="1"/>
  <c r="AC88" i="1"/>
  <c r="X88" i="1"/>
  <c r="W88" i="1"/>
  <c r="AJ87" i="1"/>
  <c r="AI87" i="1"/>
  <c r="AD87" i="1"/>
  <c r="AC87" i="1"/>
  <c r="X87" i="1"/>
  <c r="AV87" i="1" s="1"/>
  <c r="W87" i="1"/>
  <c r="AJ86" i="1"/>
  <c r="AI86" i="1"/>
  <c r="AD86" i="1"/>
  <c r="AC86" i="1"/>
  <c r="X86" i="1"/>
  <c r="W86" i="1"/>
  <c r="Z86" i="1" s="1"/>
  <c r="AO86" i="1" s="1"/>
  <c r="AJ85" i="1"/>
  <c r="AI85" i="1"/>
  <c r="AD85" i="1"/>
  <c r="AC85" i="1"/>
  <c r="X85" i="1"/>
  <c r="AV85" i="1" s="1"/>
  <c r="W85" i="1"/>
  <c r="AJ84" i="1"/>
  <c r="AI84" i="1"/>
  <c r="AD84" i="1"/>
  <c r="AC84" i="1"/>
  <c r="X84" i="1"/>
  <c r="AV84" i="1" s="1"/>
  <c r="W84" i="1"/>
  <c r="AJ83" i="1"/>
  <c r="AI83" i="1"/>
  <c r="AD83" i="1"/>
  <c r="AC83" i="1"/>
  <c r="X83" i="1"/>
  <c r="W83" i="1"/>
  <c r="AU83" i="1" s="1"/>
  <c r="AJ82" i="1"/>
  <c r="AI82" i="1"/>
  <c r="AD82" i="1"/>
  <c r="AC82" i="1"/>
  <c r="X82" i="1"/>
  <c r="AV82" i="1" s="1"/>
  <c r="W82" i="1"/>
  <c r="AJ81" i="1"/>
  <c r="AI81" i="1"/>
  <c r="AD81" i="1"/>
  <c r="AC81" i="1"/>
  <c r="X81" i="1"/>
  <c r="AV81" i="1" s="1"/>
  <c r="W81" i="1"/>
  <c r="Z81" i="1" s="1"/>
  <c r="AJ80" i="1"/>
  <c r="AI80" i="1"/>
  <c r="AD80" i="1"/>
  <c r="AC80" i="1"/>
  <c r="X80" i="1"/>
  <c r="AV80" i="1" s="1"/>
  <c r="W80" i="1"/>
  <c r="AJ79" i="1"/>
  <c r="AI79" i="1"/>
  <c r="AD79" i="1"/>
  <c r="AC79" i="1"/>
  <c r="X79" i="1"/>
  <c r="AV79" i="1" s="1"/>
  <c r="W79" i="1"/>
  <c r="AJ78" i="1"/>
  <c r="AI78" i="1"/>
  <c r="AD78" i="1"/>
  <c r="AC78" i="1"/>
  <c r="X78" i="1"/>
  <c r="AV78" i="1" s="1"/>
  <c r="W78" i="1"/>
  <c r="AJ77" i="1"/>
  <c r="AI77" i="1"/>
  <c r="AD77" i="1"/>
  <c r="AC77" i="1"/>
  <c r="X77" i="1"/>
  <c r="AV77" i="1" s="1"/>
  <c r="W77" i="1"/>
  <c r="Z77" i="1" s="1"/>
  <c r="AR77" i="1" s="1"/>
  <c r="AJ76" i="1"/>
  <c r="AI76" i="1"/>
  <c r="AD76" i="1"/>
  <c r="AC76" i="1"/>
  <c r="X76" i="1"/>
  <c r="AV76" i="1" s="1"/>
  <c r="W76" i="1"/>
  <c r="Z76" i="1" s="1"/>
  <c r="AJ75" i="1"/>
  <c r="AI75" i="1"/>
  <c r="AD75" i="1"/>
  <c r="AC75" i="1"/>
  <c r="X75" i="1"/>
  <c r="AV75" i="1" s="1"/>
  <c r="W75" i="1"/>
  <c r="AJ74" i="1"/>
  <c r="AI74" i="1"/>
  <c r="AD74" i="1"/>
  <c r="AC74" i="1"/>
  <c r="X74" i="1"/>
  <c r="W74" i="1"/>
  <c r="AJ73" i="1"/>
  <c r="AI73" i="1"/>
  <c r="AD73" i="1"/>
  <c r="AC73" i="1"/>
  <c r="X73" i="1"/>
  <c r="W73" i="1"/>
  <c r="AJ72" i="1"/>
  <c r="AI72" i="1"/>
  <c r="AD72" i="1"/>
  <c r="AC72" i="1"/>
  <c r="X72" i="1"/>
  <c r="AV72" i="1" s="1"/>
  <c r="W72" i="1"/>
  <c r="Z72" i="1" s="1"/>
  <c r="AJ71" i="1"/>
  <c r="AI71" i="1"/>
  <c r="AD71" i="1"/>
  <c r="AC71" i="1"/>
  <c r="X71" i="1"/>
  <c r="W71" i="1"/>
  <c r="AJ70" i="1"/>
  <c r="AI70" i="1"/>
  <c r="AD70" i="1"/>
  <c r="AC70" i="1"/>
  <c r="X70" i="1"/>
  <c r="W70" i="1"/>
  <c r="AU70" i="1" s="1"/>
  <c r="AJ69" i="1"/>
  <c r="AI69" i="1"/>
  <c r="AD69" i="1"/>
  <c r="AC69" i="1"/>
  <c r="X69" i="1"/>
  <c r="AV69" i="1" s="1"/>
  <c r="W69" i="1"/>
  <c r="AJ68" i="1"/>
  <c r="AI68" i="1"/>
  <c r="AD68" i="1"/>
  <c r="AC68" i="1"/>
  <c r="X68" i="1"/>
  <c r="AV68" i="1" s="1"/>
  <c r="W68" i="1"/>
  <c r="AJ67" i="1"/>
  <c r="AI67" i="1"/>
  <c r="AD67" i="1"/>
  <c r="AC67" i="1"/>
  <c r="X67" i="1"/>
  <c r="W67" i="1"/>
  <c r="Z67" i="1" s="1"/>
  <c r="AO67" i="1" s="1"/>
  <c r="AJ66" i="1"/>
  <c r="AI66" i="1"/>
  <c r="AD66" i="1"/>
  <c r="AC66" i="1"/>
  <c r="X66" i="1"/>
  <c r="AV66" i="1" s="1"/>
  <c r="W66" i="1"/>
  <c r="AU66" i="1" s="1"/>
  <c r="AJ65" i="1"/>
  <c r="AI65" i="1"/>
  <c r="AD65" i="1"/>
  <c r="AC65" i="1"/>
  <c r="X65" i="1"/>
  <c r="W65" i="1"/>
  <c r="AJ64" i="1"/>
  <c r="AI64" i="1"/>
  <c r="AD64" i="1"/>
  <c r="AC64" i="1"/>
  <c r="X64" i="1"/>
  <c r="W64" i="1"/>
  <c r="AJ63" i="1"/>
  <c r="AI63" i="1"/>
  <c r="AD63" i="1"/>
  <c r="AC63" i="1"/>
  <c r="X63" i="1"/>
  <c r="W63" i="1"/>
  <c r="AJ62" i="1"/>
  <c r="AI62" i="1"/>
  <c r="AD62" i="1"/>
  <c r="AC62" i="1"/>
  <c r="X62" i="1"/>
  <c r="W62" i="1"/>
  <c r="AJ61" i="1"/>
  <c r="AI61" i="1"/>
  <c r="AD61" i="1"/>
  <c r="AC61" i="1"/>
  <c r="X61" i="1"/>
  <c r="AV61" i="1" s="1"/>
  <c r="W61" i="1"/>
  <c r="AJ60" i="1"/>
  <c r="AI60" i="1"/>
  <c r="AD60" i="1"/>
  <c r="AC60" i="1"/>
  <c r="X60" i="1"/>
  <c r="AV60" i="1" s="1"/>
  <c r="W60" i="1"/>
  <c r="AJ59" i="1"/>
  <c r="AI59" i="1"/>
  <c r="AD59" i="1"/>
  <c r="AC59" i="1"/>
  <c r="X59" i="1"/>
  <c r="AV59" i="1" s="1"/>
  <c r="W59" i="1"/>
  <c r="AJ58" i="1"/>
  <c r="AI58" i="1"/>
  <c r="AD58" i="1"/>
  <c r="AC58" i="1"/>
  <c r="X58" i="1"/>
  <c r="AV58" i="1" s="1"/>
  <c r="W58" i="1"/>
  <c r="Z58" i="1" s="1"/>
  <c r="AO58" i="1" s="1"/>
  <c r="AJ57" i="1"/>
  <c r="AI57" i="1"/>
  <c r="AD57" i="1"/>
  <c r="AC57" i="1"/>
  <c r="X57" i="1"/>
  <c r="AV57" i="1" s="1"/>
  <c r="W57" i="1"/>
  <c r="AJ56" i="1"/>
  <c r="AI56" i="1"/>
  <c r="AD56" i="1"/>
  <c r="AC56" i="1"/>
  <c r="X56" i="1"/>
  <c r="AV56" i="1" s="1"/>
  <c r="W56" i="1"/>
  <c r="AU56" i="1" s="1"/>
  <c r="AJ55" i="1"/>
  <c r="AI55" i="1"/>
  <c r="AD55" i="1"/>
  <c r="AC55" i="1"/>
  <c r="X55" i="1"/>
  <c r="AV55" i="1" s="1"/>
  <c r="W55" i="1"/>
  <c r="AJ54" i="1"/>
  <c r="AI54" i="1"/>
  <c r="AD54" i="1"/>
  <c r="AC54" i="1"/>
  <c r="X54" i="1"/>
  <c r="AV54" i="1" s="1"/>
  <c r="W54" i="1"/>
  <c r="AJ53" i="1"/>
  <c r="AI53" i="1"/>
  <c r="AD53" i="1"/>
  <c r="AC53" i="1"/>
  <c r="X53" i="1"/>
  <c r="AV53" i="1" s="1"/>
  <c r="W53" i="1"/>
  <c r="AJ52" i="1"/>
  <c r="AI52" i="1"/>
  <c r="AD52" i="1"/>
  <c r="AC52" i="1"/>
  <c r="X52" i="1"/>
  <c r="AV52" i="1" s="1"/>
  <c r="W52" i="1"/>
  <c r="Z52" i="1" s="1"/>
  <c r="AR52" i="1" s="1"/>
  <c r="AJ51" i="1"/>
  <c r="AI51" i="1"/>
  <c r="AD51" i="1"/>
  <c r="AC51" i="1"/>
  <c r="X51" i="1"/>
  <c r="AV51" i="1" s="1"/>
  <c r="W51" i="1"/>
  <c r="AU51" i="1" s="1"/>
  <c r="AJ50" i="1"/>
  <c r="AI50" i="1"/>
  <c r="AD50" i="1"/>
  <c r="AC50" i="1"/>
  <c r="X50" i="1"/>
  <c r="AV50" i="1" s="1"/>
  <c r="W50" i="1"/>
  <c r="AJ49" i="1"/>
  <c r="AI49" i="1"/>
  <c r="AD49" i="1"/>
  <c r="AC49" i="1"/>
  <c r="X49" i="1"/>
  <c r="AV49" i="1" s="1"/>
  <c r="W49" i="1"/>
  <c r="AU49" i="1" s="1"/>
  <c r="AJ48" i="1"/>
  <c r="AI48" i="1"/>
  <c r="AD48" i="1"/>
  <c r="AC48" i="1"/>
  <c r="X48" i="1"/>
  <c r="W48" i="1"/>
  <c r="AJ47" i="1"/>
  <c r="AI47" i="1"/>
  <c r="AD47" i="1"/>
  <c r="AC47" i="1"/>
  <c r="X47" i="1"/>
  <c r="AV47" i="1" s="1"/>
  <c r="W47" i="1"/>
  <c r="AJ46" i="1"/>
  <c r="AI46" i="1"/>
  <c r="AD46" i="1"/>
  <c r="AC46" i="1"/>
  <c r="X46" i="1"/>
  <c r="AV46" i="1" s="1"/>
  <c r="W46" i="1"/>
  <c r="AJ45" i="1"/>
  <c r="AI45" i="1"/>
  <c r="AD45" i="1"/>
  <c r="AC45" i="1"/>
  <c r="X45" i="1"/>
  <c r="AV45" i="1" s="1"/>
  <c r="W45" i="1"/>
  <c r="AU45" i="1" s="1"/>
  <c r="AJ44" i="1"/>
  <c r="AI44" i="1"/>
  <c r="AD44" i="1"/>
  <c r="AC44" i="1"/>
  <c r="X44" i="1"/>
  <c r="AV44" i="1" s="1"/>
  <c r="W44" i="1"/>
  <c r="AJ43" i="1"/>
  <c r="AI43" i="1"/>
  <c r="AD43" i="1"/>
  <c r="AC43" i="1"/>
  <c r="X43" i="1"/>
  <c r="AV43" i="1" s="1"/>
  <c r="W43" i="1"/>
  <c r="AJ42" i="1"/>
  <c r="AI42" i="1"/>
  <c r="AD42" i="1"/>
  <c r="AC42" i="1"/>
  <c r="X42" i="1"/>
  <c r="AV42" i="1" s="1"/>
  <c r="W42" i="1"/>
  <c r="AJ41" i="1"/>
  <c r="AI41" i="1"/>
  <c r="AD41" i="1"/>
  <c r="AC41" i="1"/>
  <c r="X41" i="1"/>
  <c r="AV41" i="1" s="1"/>
  <c r="W41" i="1"/>
  <c r="AJ40" i="1"/>
  <c r="AI40" i="1"/>
  <c r="AD40" i="1"/>
  <c r="AC40" i="1"/>
  <c r="X40" i="1"/>
  <c r="AV40" i="1" s="1"/>
  <c r="W40" i="1"/>
  <c r="AU40" i="1" s="1"/>
  <c r="AJ39" i="1"/>
  <c r="AI39" i="1"/>
  <c r="AD39" i="1"/>
  <c r="AC39" i="1"/>
  <c r="X39" i="1"/>
  <c r="AV39" i="1" s="1"/>
  <c r="W39" i="1"/>
  <c r="AU39" i="1" s="1"/>
  <c r="AJ38" i="1"/>
  <c r="AI38" i="1"/>
  <c r="AD38" i="1"/>
  <c r="AC38" i="1"/>
  <c r="X38" i="1"/>
  <c r="AV38" i="1" s="1"/>
  <c r="W38" i="1"/>
  <c r="AJ37" i="1"/>
  <c r="AI37" i="1"/>
  <c r="AD37" i="1"/>
  <c r="AC37" i="1"/>
  <c r="X37" i="1"/>
  <c r="AV37" i="1" s="1"/>
  <c r="W37" i="1"/>
  <c r="AU37" i="1" s="1"/>
  <c r="AJ36" i="1"/>
  <c r="AI36" i="1"/>
  <c r="AD36" i="1"/>
  <c r="AC36" i="1"/>
  <c r="X36" i="1"/>
  <c r="AV36" i="1" s="1"/>
  <c r="W36" i="1"/>
  <c r="AJ35" i="1"/>
  <c r="AI35" i="1"/>
  <c r="AD35" i="1"/>
  <c r="AC35" i="1"/>
  <c r="X35" i="1"/>
  <c r="AV35" i="1" s="1"/>
  <c r="W35" i="1"/>
  <c r="AJ34" i="1"/>
  <c r="AI34" i="1"/>
  <c r="AD34" i="1"/>
  <c r="AC34" i="1"/>
  <c r="X34" i="1"/>
  <c r="AV34" i="1" s="1"/>
  <c r="W34" i="1"/>
  <c r="Z34" i="1" s="1"/>
  <c r="AO34" i="1" s="1"/>
  <c r="AJ33" i="1"/>
  <c r="AI33" i="1"/>
  <c r="AD33" i="1"/>
  <c r="AC33" i="1"/>
  <c r="X33" i="1"/>
  <c r="AV33" i="1" s="1"/>
  <c r="W33" i="1"/>
  <c r="Z33" i="1" s="1"/>
  <c r="AJ32" i="1"/>
  <c r="AI32" i="1"/>
  <c r="AD32" i="1"/>
  <c r="AC32" i="1"/>
  <c r="X32" i="1"/>
  <c r="AV32" i="1" s="1"/>
  <c r="W32" i="1"/>
  <c r="AJ31" i="1"/>
  <c r="AI31" i="1"/>
  <c r="AD31" i="1"/>
  <c r="AC31" i="1"/>
  <c r="X31" i="1"/>
  <c r="W31" i="1"/>
  <c r="AJ30" i="1"/>
  <c r="AI30" i="1"/>
  <c r="AD30" i="1"/>
  <c r="AC30" i="1"/>
  <c r="X30" i="1"/>
  <c r="AV30" i="1" s="1"/>
  <c r="W30" i="1"/>
  <c r="Z30" i="1" s="1"/>
  <c r="AJ29" i="1"/>
  <c r="AI29" i="1"/>
  <c r="AD29" i="1"/>
  <c r="AC29" i="1"/>
  <c r="X29" i="1"/>
  <c r="AV29" i="1" s="1"/>
  <c r="W29" i="1"/>
  <c r="AU29" i="1" s="1"/>
  <c r="AJ28" i="1"/>
  <c r="AI28" i="1"/>
  <c r="AD28" i="1"/>
  <c r="AC28" i="1"/>
  <c r="X28" i="1"/>
  <c r="W28" i="1"/>
  <c r="AJ27" i="1"/>
  <c r="AI27" i="1"/>
  <c r="AD27" i="1"/>
  <c r="AC27" i="1"/>
  <c r="X27" i="1"/>
  <c r="AV27" i="1" s="1"/>
  <c r="W27" i="1"/>
  <c r="AJ26" i="1"/>
  <c r="AI26" i="1"/>
  <c r="AD26" i="1"/>
  <c r="AC26" i="1"/>
  <c r="X26" i="1"/>
  <c r="AV26" i="1" s="1"/>
  <c r="W26" i="1"/>
  <c r="AJ25" i="1"/>
  <c r="AI25" i="1"/>
  <c r="AD25" i="1"/>
  <c r="AC25" i="1"/>
  <c r="X25" i="1"/>
  <c r="W25" i="1"/>
  <c r="AJ24" i="1"/>
  <c r="AI24" i="1"/>
  <c r="AD24" i="1"/>
  <c r="AC24" i="1"/>
  <c r="X24" i="1"/>
  <c r="W24" i="1"/>
  <c r="AU24" i="1" s="1"/>
  <c r="AJ23" i="1"/>
  <c r="AI23" i="1"/>
  <c r="AD23" i="1"/>
  <c r="AC23" i="1"/>
  <c r="X23" i="1"/>
  <c r="AV23" i="1" s="1"/>
  <c r="W23" i="1"/>
  <c r="AJ22" i="1"/>
  <c r="AI22" i="1"/>
  <c r="AD22" i="1"/>
  <c r="AC22" i="1"/>
  <c r="X22" i="1"/>
  <c r="W22" i="1"/>
  <c r="AJ21" i="1"/>
  <c r="AI21" i="1"/>
  <c r="AD21" i="1"/>
  <c r="AC21" i="1"/>
  <c r="X21" i="1"/>
  <c r="AV21" i="1" s="1"/>
  <c r="W21" i="1"/>
  <c r="AJ20" i="1"/>
  <c r="AI20" i="1"/>
  <c r="AD20" i="1"/>
  <c r="AC20" i="1"/>
  <c r="X20" i="1"/>
  <c r="W20" i="1"/>
  <c r="AJ19" i="1"/>
  <c r="AI19" i="1"/>
  <c r="AD19" i="1"/>
  <c r="AC19" i="1"/>
  <c r="X19" i="1"/>
  <c r="AV19" i="1" s="1"/>
  <c r="W19" i="1"/>
  <c r="AJ18" i="1"/>
  <c r="AI18" i="1"/>
  <c r="AD18" i="1"/>
  <c r="AC18" i="1"/>
  <c r="X18" i="1"/>
  <c r="AV18" i="1" s="1"/>
  <c r="W18" i="1"/>
  <c r="AU18" i="1" s="1"/>
  <c r="AJ17" i="1"/>
  <c r="AI17" i="1"/>
  <c r="AD17" i="1"/>
  <c r="AC17" i="1"/>
  <c r="X17" i="1"/>
  <c r="W17" i="1"/>
  <c r="AU17" i="1" s="1"/>
  <c r="AJ16" i="1"/>
  <c r="AI16" i="1"/>
  <c r="AD16" i="1"/>
  <c r="AC16" i="1"/>
  <c r="X16" i="1"/>
  <c r="AV16" i="1" s="1"/>
  <c r="W16" i="1"/>
  <c r="AU16" i="1" s="1"/>
  <c r="AJ15" i="1"/>
  <c r="AI15" i="1"/>
  <c r="AD15" i="1"/>
  <c r="AC15" i="1"/>
  <c r="X15" i="1"/>
  <c r="AV15" i="1" s="1"/>
  <c r="W15" i="1"/>
  <c r="AJ14" i="1"/>
  <c r="AI14" i="1"/>
  <c r="AD14" i="1"/>
  <c r="AC14" i="1"/>
  <c r="X14" i="1"/>
  <c r="AV14" i="1" s="1"/>
  <c r="W14" i="1"/>
  <c r="AU14" i="1" s="1"/>
  <c r="AJ13" i="1"/>
  <c r="AI13" i="1"/>
  <c r="AD13" i="1"/>
  <c r="AC13" i="1"/>
  <c r="X13" i="1"/>
  <c r="AV13" i="1" s="1"/>
  <c r="W13" i="1"/>
  <c r="AJ12" i="1"/>
  <c r="AI12" i="1"/>
  <c r="AD12" i="1"/>
  <c r="AC12" i="1"/>
  <c r="X12" i="1"/>
  <c r="AV12" i="1" s="1"/>
  <c r="W12" i="1"/>
  <c r="Z12" i="1" s="1"/>
  <c r="AR12" i="1" s="1"/>
  <c r="AJ11" i="1"/>
  <c r="AI11" i="1"/>
  <c r="AD11" i="1"/>
  <c r="AC11" i="1"/>
  <c r="X11" i="1"/>
  <c r="W11" i="1"/>
  <c r="AJ10" i="1"/>
  <c r="AI10" i="1"/>
  <c r="AD10" i="1"/>
  <c r="AC10" i="1"/>
  <c r="X10" i="1"/>
  <c r="AV10" i="1" s="1"/>
  <c r="W10" i="1"/>
  <c r="AJ9" i="1"/>
  <c r="AI9" i="1"/>
  <c r="AD9" i="1"/>
  <c r="AC9" i="1"/>
  <c r="X9" i="1"/>
  <c r="W9" i="1"/>
  <c r="Z9" i="1" s="1"/>
  <c r="AJ8" i="1"/>
  <c r="AI8" i="1"/>
  <c r="AD8" i="1"/>
  <c r="AC8" i="1"/>
  <c r="X8" i="1"/>
  <c r="AV8" i="1" s="1"/>
  <c r="W8" i="1"/>
  <c r="AU8" i="1" s="1"/>
  <c r="AJ7" i="1"/>
  <c r="AI7" i="1"/>
  <c r="AD7" i="1"/>
  <c r="AC7" i="1"/>
  <c r="X7" i="1"/>
  <c r="AV7" i="1" s="1"/>
  <c r="W7" i="1"/>
  <c r="AU7" i="1" s="1"/>
  <c r="AJ6" i="1"/>
  <c r="AI6" i="1"/>
  <c r="AD6" i="1"/>
  <c r="AC6" i="1"/>
  <c r="X6" i="1"/>
  <c r="AV6" i="1" s="1"/>
  <c r="W6" i="1"/>
  <c r="Z6" i="1" s="1"/>
  <c r="AJ5" i="1"/>
  <c r="AI5" i="1"/>
  <c r="AD5" i="1"/>
  <c r="AC5" i="1"/>
  <c r="X5" i="1"/>
  <c r="AV5" i="1" s="1"/>
  <c r="W5" i="1"/>
  <c r="AU5" i="1" s="1"/>
  <c r="AJ4" i="1"/>
  <c r="AI4" i="1"/>
  <c r="AD4" i="1"/>
  <c r="AC4" i="1"/>
  <c r="X4" i="1"/>
  <c r="W4" i="1"/>
  <c r="AJ3" i="1"/>
  <c r="AI3" i="1"/>
  <c r="AD3" i="1"/>
  <c r="AC3" i="1"/>
  <c r="X3" i="1"/>
  <c r="W3" i="1"/>
  <c r="AJ2" i="1"/>
  <c r="AI2" i="1"/>
  <c r="AD2" i="1"/>
  <c r="AC2" i="1"/>
  <c r="X2" i="1"/>
  <c r="AV2" i="1" s="1"/>
  <c r="W2" i="1"/>
  <c r="AK580" i="1" l="1"/>
  <c r="AK574" i="1"/>
  <c r="AK566" i="1"/>
  <c r="AK558" i="1"/>
  <c r="AK550" i="1"/>
  <c r="AK534" i="1"/>
  <c r="AK526" i="1"/>
  <c r="AK518" i="1"/>
  <c r="AK502" i="1"/>
  <c r="AK494" i="1"/>
  <c r="AK486" i="1"/>
  <c r="AK470" i="1"/>
  <c r="AK462" i="1"/>
  <c r="AK454" i="1"/>
  <c r="AK446" i="1"/>
  <c r="AK430" i="1"/>
  <c r="AK422" i="1"/>
  <c r="AK414" i="1"/>
  <c r="AK484" i="1"/>
  <c r="AK444" i="1"/>
  <c r="AK428" i="1"/>
  <c r="AE549" i="1"/>
  <c r="AE477" i="1"/>
  <c r="Z449" i="1"/>
  <c r="AO449" i="1" s="1"/>
  <c r="AA571" i="1"/>
  <c r="AG571" i="1" s="1"/>
  <c r="AA563" i="1"/>
  <c r="AS563" i="1" s="1"/>
  <c r="AE504" i="1"/>
  <c r="AE488" i="1"/>
  <c r="AE440" i="1"/>
  <c r="AK516" i="1"/>
  <c r="AA555" i="1"/>
  <c r="AS555" i="1" s="1"/>
  <c r="AE439" i="1"/>
  <c r="AK581" i="1"/>
  <c r="AK517" i="1"/>
  <c r="AA515" i="1"/>
  <c r="AA507" i="1"/>
  <c r="Z521" i="1"/>
  <c r="AF521" i="1" s="1"/>
  <c r="AA451" i="1"/>
  <c r="AS451" i="1" s="1"/>
  <c r="AK568" i="1"/>
  <c r="AK560" i="1"/>
  <c r="AK552" i="1"/>
  <c r="AK544" i="1"/>
  <c r="AK528" i="1"/>
  <c r="AK520" i="1"/>
  <c r="AK512" i="1"/>
  <c r="AK504" i="1"/>
  <c r="AK496" i="1"/>
  <c r="AK488" i="1"/>
  <c r="AK480" i="1"/>
  <c r="AK464" i="1"/>
  <c r="AK456" i="1"/>
  <c r="AK448" i="1"/>
  <c r="AK440" i="1"/>
  <c r="AK432" i="1"/>
  <c r="AK424" i="1"/>
  <c r="AK416" i="1"/>
  <c r="Z457" i="1"/>
  <c r="AF457" i="1" s="1"/>
  <c r="AE517" i="1"/>
  <c r="AK583" i="1"/>
  <c r="AK575" i="1"/>
  <c r="AK567" i="1"/>
  <c r="AK559" i="1"/>
  <c r="AK543" i="1"/>
  <c r="AK535" i="1"/>
  <c r="AK527" i="1"/>
  <c r="AK519" i="1"/>
  <c r="AK503" i="1"/>
  <c r="AK495" i="1"/>
  <c r="AK487" i="1"/>
  <c r="AK479" i="1"/>
  <c r="AK471" i="1"/>
  <c r="AK463" i="1"/>
  <c r="AK455" i="1"/>
  <c r="AK431" i="1"/>
  <c r="AK423" i="1"/>
  <c r="AK415" i="1"/>
  <c r="Y503" i="1"/>
  <c r="AW503" i="1" s="1"/>
  <c r="Z569" i="1"/>
  <c r="AO569" i="1" s="1"/>
  <c r="Z489" i="1"/>
  <c r="AR489" i="1" s="1"/>
  <c r="Z417" i="1"/>
  <c r="AO417" i="1" s="1"/>
  <c r="AA530" i="1"/>
  <c r="AM530" i="1" s="1"/>
  <c r="AA472" i="1"/>
  <c r="AA419" i="1"/>
  <c r="AE533" i="1"/>
  <c r="AE421" i="1"/>
  <c r="AK572" i="1"/>
  <c r="AK508" i="1"/>
  <c r="AK119" i="1"/>
  <c r="AK319" i="1"/>
  <c r="AE354" i="1"/>
  <c r="AK359" i="1"/>
  <c r="Y479" i="1"/>
  <c r="AW479" i="1" s="1"/>
  <c r="Z553" i="1"/>
  <c r="AR553" i="1" s="1"/>
  <c r="Z481" i="1"/>
  <c r="AO481" i="1" s="1"/>
  <c r="Z414" i="1"/>
  <c r="AL414" i="1" s="1"/>
  <c r="AA528" i="1"/>
  <c r="AS528" i="1" s="1"/>
  <c r="AA471" i="1"/>
  <c r="AP471" i="1" s="1"/>
  <c r="AA415" i="1"/>
  <c r="AK563" i="1"/>
  <c r="Y471" i="1"/>
  <c r="AW471" i="1" s="1"/>
  <c r="Z545" i="1"/>
  <c r="AF545" i="1" s="1"/>
  <c r="Z478" i="1"/>
  <c r="AO478" i="1" s="1"/>
  <c r="AA576" i="1"/>
  <c r="AG576" i="1" s="1"/>
  <c r="AA466" i="1"/>
  <c r="AG466" i="1" s="1"/>
  <c r="AK554" i="1"/>
  <c r="AK490" i="1"/>
  <c r="Y575" i="1"/>
  <c r="AW575" i="1" s="1"/>
  <c r="Y447" i="1"/>
  <c r="AW447" i="1" s="1"/>
  <c r="Z542" i="1"/>
  <c r="AL542" i="1" s="1"/>
  <c r="Z462" i="1"/>
  <c r="AO462" i="1" s="1"/>
  <c r="AA463" i="1"/>
  <c r="AS463" i="1" s="1"/>
  <c r="Y567" i="1"/>
  <c r="AW567" i="1" s="1"/>
  <c r="Y439" i="1"/>
  <c r="AW439" i="1" s="1"/>
  <c r="Z526" i="1"/>
  <c r="AA503" i="1"/>
  <c r="AP503" i="1" s="1"/>
  <c r="AA455" i="1"/>
  <c r="AK434" i="1"/>
  <c r="Y543" i="1"/>
  <c r="AW543" i="1" s="1"/>
  <c r="Y415" i="1"/>
  <c r="AW415" i="1" s="1"/>
  <c r="AA489" i="1"/>
  <c r="AG489" i="1" s="1"/>
  <c r="Y535" i="1"/>
  <c r="AW535" i="1" s="1"/>
  <c r="Z585" i="1"/>
  <c r="AF585" i="1" s="1"/>
  <c r="Z513" i="1"/>
  <c r="AO513" i="1" s="1"/>
  <c r="Z441" i="1"/>
  <c r="AO441" i="1" s="1"/>
  <c r="AA539" i="1"/>
  <c r="AP539" i="1" s="1"/>
  <c r="AA475" i="1"/>
  <c r="AG475" i="1" s="1"/>
  <c r="AA448" i="1"/>
  <c r="AG448" i="1" s="1"/>
  <c r="AE567" i="1"/>
  <c r="AE535" i="1"/>
  <c r="Y511" i="1"/>
  <c r="AW511" i="1" s="1"/>
  <c r="Z577" i="1"/>
  <c r="Z505" i="1"/>
  <c r="AR505" i="1" s="1"/>
  <c r="Z425" i="1"/>
  <c r="AO425" i="1" s="1"/>
  <c r="AA538" i="1"/>
  <c r="AS538" i="1" s="1"/>
  <c r="AA474" i="1"/>
  <c r="AM474" i="1" s="1"/>
  <c r="AA439" i="1"/>
  <c r="AG439" i="1" s="1"/>
  <c r="AE550" i="1"/>
  <c r="AE534" i="1"/>
  <c r="AE486" i="1"/>
  <c r="AE422" i="1"/>
  <c r="AE414" i="1"/>
  <c r="Y584" i="1"/>
  <c r="AW584" i="1" s="1"/>
  <c r="Y552" i="1"/>
  <c r="AW552" i="1" s="1"/>
  <c r="Y520" i="1"/>
  <c r="AW520" i="1" s="1"/>
  <c r="Y488" i="1"/>
  <c r="AW488" i="1" s="1"/>
  <c r="Y456" i="1"/>
  <c r="AW456" i="1" s="1"/>
  <c r="Y424" i="1"/>
  <c r="AW424" i="1" s="1"/>
  <c r="Z554" i="1"/>
  <c r="AF554" i="1" s="1"/>
  <c r="Z534" i="1"/>
  <c r="AO534" i="1" s="1"/>
  <c r="Z490" i="1"/>
  <c r="AF490" i="1" s="1"/>
  <c r="Z470" i="1"/>
  <c r="AR470" i="1" s="1"/>
  <c r="Z426" i="1"/>
  <c r="AO426" i="1" s="1"/>
  <c r="AA584" i="1"/>
  <c r="AG584" i="1" s="1"/>
  <c r="AA480" i="1"/>
  <c r="Y583" i="1"/>
  <c r="AW583" i="1" s="1"/>
  <c r="Y551" i="1"/>
  <c r="AW551" i="1" s="1"/>
  <c r="Y519" i="1"/>
  <c r="AW519" i="1" s="1"/>
  <c r="Y487" i="1"/>
  <c r="AW487" i="1" s="1"/>
  <c r="Y455" i="1"/>
  <c r="AW455" i="1" s="1"/>
  <c r="Y423" i="1"/>
  <c r="AW423" i="1" s="1"/>
  <c r="Z574" i="1"/>
  <c r="AR574" i="1" s="1"/>
  <c r="Z530" i="1"/>
  <c r="AR530" i="1" s="1"/>
  <c r="Z510" i="1"/>
  <c r="Z466" i="1"/>
  <c r="AR466" i="1" s="1"/>
  <c r="Z446" i="1"/>
  <c r="AO446" i="1" s="1"/>
  <c r="AA580" i="1"/>
  <c r="AP580" i="1" s="1"/>
  <c r="AA560" i="1"/>
  <c r="AS560" i="1" s="1"/>
  <c r="AA512" i="1"/>
  <c r="AS512" i="1" s="1"/>
  <c r="AA457" i="1"/>
  <c r="AG457" i="1" s="1"/>
  <c r="AA425" i="1"/>
  <c r="AE490" i="1"/>
  <c r="AE426" i="1"/>
  <c r="AK538" i="1"/>
  <c r="AK506" i="1"/>
  <c r="AK498" i="1"/>
  <c r="AK474" i="1"/>
  <c r="AK442" i="1"/>
  <c r="AK426" i="1"/>
  <c r="Y576" i="1"/>
  <c r="AW576" i="1" s="1"/>
  <c r="Y544" i="1"/>
  <c r="AW544" i="1" s="1"/>
  <c r="Y512" i="1"/>
  <c r="AW512" i="1" s="1"/>
  <c r="Y480" i="1"/>
  <c r="AW480" i="1" s="1"/>
  <c r="Y448" i="1"/>
  <c r="AW448" i="1" s="1"/>
  <c r="Y416" i="1"/>
  <c r="AW416" i="1" s="1"/>
  <c r="Z570" i="1"/>
  <c r="AR570" i="1" s="1"/>
  <c r="Z550" i="1"/>
  <c r="AR550" i="1" s="1"/>
  <c r="Z529" i="1"/>
  <c r="AR529" i="1" s="1"/>
  <c r="Z506" i="1"/>
  <c r="AO506" i="1" s="1"/>
  <c r="Z486" i="1"/>
  <c r="AR486" i="1" s="1"/>
  <c r="Z465" i="1"/>
  <c r="AO465" i="1" s="1"/>
  <c r="Z442" i="1"/>
  <c r="AR442" i="1" s="1"/>
  <c r="Z422" i="1"/>
  <c r="AL422" i="1" s="1"/>
  <c r="AA579" i="1"/>
  <c r="AG579" i="1" s="1"/>
  <c r="AA556" i="1"/>
  <c r="AG556" i="1" s="1"/>
  <c r="AA536" i="1"/>
  <c r="AA511" i="1"/>
  <c r="AS511" i="1" s="1"/>
  <c r="AA456" i="1"/>
  <c r="AG456" i="1" s="1"/>
  <c r="AA424" i="1"/>
  <c r="AG424" i="1" s="1"/>
  <c r="AE545" i="1"/>
  <c r="AE489" i="1"/>
  <c r="AE531" i="1"/>
  <c r="AE443" i="1"/>
  <c r="AK585" i="1"/>
  <c r="AK553" i="1"/>
  <c r="AK505" i="1"/>
  <c r="AK465" i="1"/>
  <c r="Z546" i="1"/>
  <c r="AR546" i="1" s="1"/>
  <c r="Z482" i="1"/>
  <c r="AF482" i="1" s="1"/>
  <c r="Z418" i="1"/>
  <c r="AR418" i="1" s="1"/>
  <c r="Y568" i="1"/>
  <c r="AW568" i="1" s="1"/>
  <c r="Y536" i="1"/>
  <c r="AW536" i="1" s="1"/>
  <c r="Y504" i="1"/>
  <c r="AW504" i="1" s="1"/>
  <c r="Y472" i="1"/>
  <c r="AW472" i="1" s="1"/>
  <c r="Y440" i="1"/>
  <c r="AW440" i="1" s="1"/>
  <c r="Z586" i="1"/>
  <c r="AR586" i="1" s="1"/>
  <c r="Z566" i="1"/>
  <c r="AR566" i="1" s="1"/>
  <c r="Z522" i="1"/>
  <c r="AR522" i="1" s="1"/>
  <c r="Z502" i="1"/>
  <c r="Z458" i="1"/>
  <c r="AR458" i="1" s="1"/>
  <c r="Z438" i="1"/>
  <c r="AA572" i="1"/>
  <c r="AS572" i="1" s="1"/>
  <c r="AA552" i="1"/>
  <c r="AG552" i="1" s="1"/>
  <c r="AA529" i="1"/>
  <c r="AS529" i="1" s="1"/>
  <c r="AA416" i="1"/>
  <c r="AM416" i="1" s="1"/>
  <c r="Z562" i="1"/>
  <c r="AF562" i="1" s="1"/>
  <c r="Z498" i="1"/>
  <c r="Z434" i="1"/>
  <c r="AF434" i="1" s="1"/>
  <c r="AA548" i="1"/>
  <c r="AG548" i="1" s="1"/>
  <c r="AE576" i="1"/>
  <c r="AE560" i="1"/>
  <c r="AE544" i="1"/>
  <c r="AE432" i="1"/>
  <c r="AE416" i="1"/>
  <c r="Y560" i="1"/>
  <c r="AW560" i="1" s="1"/>
  <c r="Y528" i="1"/>
  <c r="AW528" i="1" s="1"/>
  <c r="Y496" i="1"/>
  <c r="AW496" i="1" s="1"/>
  <c r="Y464" i="1"/>
  <c r="AW464" i="1" s="1"/>
  <c r="Y432" i="1"/>
  <c r="AW432" i="1" s="1"/>
  <c r="Z582" i="1"/>
  <c r="AL582" i="1" s="1"/>
  <c r="Z561" i="1"/>
  <c r="AF561" i="1" s="1"/>
  <c r="Z538" i="1"/>
  <c r="AR538" i="1" s="1"/>
  <c r="Z518" i="1"/>
  <c r="Z497" i="1"/>
  <c r="AF497" i="1" s="1"/>
  <c r="Z474" i="1"/>
  <c r="AO474" i="1" s="1"/>
  <c r="Z454" i="1"/>
  <c r="AF454" i="1" s="1"/>
  <c r="Z433" i="1"/>
  <c r="AL433" i="1" s="1"/>
  <c r="Z410" i="1"/>
  <c r="AR410" i="1" s="1"/>
  <c r="AA568" i="1"/>
  <c r="AG568" i="1" s="1"/>
  <c r="AA547" i="1"/>
  <c r="AG547" i="1" s="1"/>
  <c r="AA521" i="1"/>
  <c r="AS521" i="1" s="1"/>
  <c r="AA488" i="1"/>
  <c r="AA465" i="1"/>
  <c r="AG465" i="1" s="1"/>
  <c r="AA447" i="1"/>
  <c r="AS447" i="1" s="1"/>
  <c r="AA411" i="1"/>
  <c r="AS411" i="1" s="1"/>
  <c r="AE581" i="1"/>
  <c r="AE573" i="1"/>
  <c r="AE557" i="1"/>
  <c r="AE525" i="1"/>
  <c r="AE509" i="1"/>
  <c r="AE493" i="1"/>
  <c r="AE485" i="1"/>
  <c r="AE469" i="1"/>
  <c r="AE445" i="1"/>
  <c r="AE429" i="1"/>
  <c r="AE413" i="1"/>
  <c r="AE503" i="1"/>
  <c r="AE487" i="1"/>
  <c r="AE471" i="1"/>
  <c r="AE431" i="1"/>
  <c r="AK557" i="1"/>
  <c r="AK549" i="1"/>
  <c r="AK485" i="1"/>
  <c r="AK453" i="1"/>
  <c r="AK413" i="1"/>
  <c r="Y559" i="1"/>
  <c r="AW559" i="1" s="1"/>
  <c r="Y527" i="1"/>
  <c r="AW527" i="1" s="1"/>
  <c r="Y495" i="1"/>
  <c r="AW495" i="1" s="1"/>
  <c r="Y463" i="1"/>
  <c r="AW463" i="1" s="1"/>
  <c r="Y431" i="1"/>
  <c r="AW431" i="1" s="1"/>
  <c r="Z578" i="1"/>
  <c r="AO578" i="1" s="1"/>
  <c r="Z558" i="1"/>
  <c r="AL558" i="1" s="1"/>
  <c r="Z537" i="1"/>
  <c r="AO537" i="1" s="1"/>
  <c r="Z514" i="1"/>
  <c r="AR514" i="1" s="1"/>
  <c r="Z494" i="1"/>
  <c r="AF494" i="1" s="1"/>
  <c r="Z473" i="1"/>
  <c r="AO473" i="1" s="1"/>
  <c r="Z450" i="1"/>
  <c r="AO450" i="1" s="1"/>
  <c r="Z430" i="1"/>
  <c r="AL430" i="1" s="1"/>
  <c r="AA587" i="1"/>
  <c r="AP587" i="1" s="1"/>
  <c r="AA564" i="1"/>
  <c r="AP564" i="1" s="1"/>
  <c r="AA544" i="1"/>
  <c r="AA520" i="1"/>
  <c r="AP520" i="1" s="1"/>
  <c r="AA483" i="1"/>
  <c r="AS483" i="1" s="1"/>
  <c r="AA464" i="1"/>
  <c r="AS464" i="1" s="1"/>
  <c r="AA443" i="1"/>
  <c r="AG443" i="1" s="1"/>
  <c r="AA410" i="1"/>
  <c r="AS410" i="1" s="1"/>
  <c r="AK556" i="1"/>
  <c r="AK492" i="1"/>
  <c r="AA22" i="1"/>
  <c r="AP22" i="1" s="1"/>
  <c r="AV22" i="1"/>
  <c r="AA62" i="1"/>
  <c r="AP62" i="1" s="1"/>
  <c r="AV62" i="1"/>
  <c r="AA70" i="1"/>
  <c r="AG70" i="1" s="1"/>
  <c r="AV70" i="1"/>
  <c r="AA74" i="1"/>
  <c r="AM74" i="1" s="1"/>
  <c r="AV74" i="1"/>
  <c r="AA86" i="1"/>
  <c r="AV86" i="1"/>
  <c r="AA110" i="1"/>
  <c r="AM110" i="1" s="1"/>
  <c r="AV110" i="1"/>
  <c r="AA230" i="1"/>
  <c r="AS230" i="1" s="1"/>
  <c r="AV230" i="1"/>
  <c r="AA250" i="1"/>
  <c r="AP250" i="1" s="1"/>
  <c r="AV250" i="1"/>
  <c r="AA306" i="1"/>
  <c r="AV306" i="1"/>
  <c r="AA493" i="1"/>
  <c r="AM493" i="1" s="1"/>
  <c r="AA429" i="1"/>
  <c r="AM429" i="1" s="1"/>
  <c r="AE562" i="1"/>
  <c r="AK584" i="1"/>
  <c r="AK576" i="1"/>
  <c r="AA485" i="1"/>
  <c r="AM485" i="1" s="1"/>
  <c r="AA421" i="1"/>
  <c r="AM421" i="1" s="1"/>
  <c r="AA3" i="1"/>
  <c r="AG3" i="1" s="1"/>
  <c r="AV3" i="1"/>
  <c r="AA11" i="1"/>
  <c r="AS11" i="1" s="1"/>
  <c r="AV11" i="1"/>
  <c r="AA31" i="1"/>
  <c r="AM31" i="1" s="1"/>
  <c r="AV31" i="1"/>
  <c r="AA63" i="1"/>
  <c r="AS63" i="1" s="1"/>
  <c r="AV63" i="1"/>
  <c r="AA67" i="1"/>
  <c r="AP67" i="1" s="1"/>
  <c r="AV67" i="1"/>
  <c r="AA71" i="1"/>
  <c r="AP71" i="1" s="1"/>
  <c r="AV71" i="1"/>
  <c r="AA83" i="1"/>
  <c r="AG83" i="1" s="1"/>
  <c r="AV83" i="1"/>
  <c r="AA95" i="1"/>
  <c r="AS95" i="1" s="1"/>
  <c r="AV95" i="1"/>
  <c r="AA107" i="1"/>
  <c r="AP107" i="1" s="1"/>
  <c r="AV107" i="1"/>
  <c r="AA115" i="1"/>
  <c r="AP115" i="1" s="1"/>
  <c r="AV115" i="1"/>
  <c r="AA127" i="1"/>
  <c r="AS127" i="1" s="1"/>
  <c r="AV127" i="1"/>
  <c r="AA139" i="1"/>
  <c r="AS139" i="1" s="1"/>
  <c r="AV139" i="1"/>
  <c r="AA147" i="1"/>
  <c r="AP147" i="1" s="1"/>
  <c r="AV147" i="1"/>
  <c r="AA155" i="1"/>
  <c r="AS155" i="1" s="1"/>
  <c r="AV155" i="1"/>
  <c r="AA175" i="1"/>
  <c r="AS175" i="1" s="1"/>
  <c r="AV175" i="1"/>
  <c r="AA231" i="1"/>
  <c r="AS231" i="1" s="1"/>
  <c r="AV231" i="1"/>
  <c r="AA275" i="1"/>
  <c r="AG275" i="1" s="1"/>
  <c r="AV275" i="1"/>
  <c r="AA403" i="1"/>
  <c r="AP403" i="1" s="1"/>
  <c r="AV403" i="1"/>
  <c r="AU580" i="1"/>
  <c r="Z580" i="1"/>
  <c r="Y580" i="1"/>
  <c r="AW580" i="1" s="1"/>
  <c r="AU572" i="1"/>
  <c r="Z572" i="1"/>
  <c r="Y572" i="1"/>
  <c r="AW572" i="1" s="1"/>
  <c r="AU564" i="1"/>
  <c r="Z564" i="1"/>
  <c r="Y564" i="1"/>
  <c r="AW564" i="1" s="1"/>
  <c r="AU556" i="1"/>
  <c r="Z556" i="1"/>
  <c r="AF556" i="1" s="1"/>
  <c r="Y556" i="1"/>
  <c r="AW556" i="1" s="1"/>
  <c r="AU548" i="1"/>
  <c r="Z548" i="1"/>
  <c r="Y548" i="1"/>
  <c r="AW548" i="1" s="1"/>
  <c r="AU540" i="1"/>
  <c r="Z540" i="1"/>
  <c r="AF540" i="1" s="1"/>
  <c r="Y540" i="1"/>
  <c r="AW540" i="1" s="1"/>
  <c r="AU532" i="1"/>
  <c r="Z532" i="1"/>
  <c r="AF532" i="1" s="1"/>
  <c r="Y532" i="1"/>
  <c r="AW532" i="1" s="1"/>
  <c r="AU524" i="1"/>
  <c r="Z524" i="1"/>
  <c r="AF524" i="1" s="1"/>
  <c r="Y524" i="1"/>
  <c r="AW524" i="1" s="1"/>
  <c r="AU516" i="1"/>
  <c r="Z516" i="1"/>
  <c r="Y516" i="1"/>
  <c r="AW516" i="1" s="1"/>
  <c r="AU508" i="1"/>
  <c r="Z508" i="1"/>
  <c r="Y508" i="1"/>
  <c r="AW508" i="1" s="1"/>
  <c r="AU500" i="1"/>
  <c r="Z500" i="1"/>
  <c r="AL500" i="1" s="1"/>
  <c r="Y500" i="1"/>
  <c r="AW500" i="1" s="1"/>
  <c r="AU492" i="1"/>
  <c r="Z492" i="1"/>
  <c r="Y492" i="1"/>
  <c r="AW492" i="1" s="1"/>
  <c r="AU484" i="1"/>
  <c r="Z484" i="1"/>
  <c r="Y484" i="1"/>
  <c r="AW484" i="1" s="1"/>
  <c r="AU476" i="1"/>
  <c r="Z476" i="1"/>
  <c r="AF476" i="1" s="1"/>
  <c r="Y476" i="1"/>
  <c r="AW476" i="1" s="1"/>
  <c r="AU468" i="1"/>
  <c r="Z468" i="1"/>
  <c r="AF468" i="1" s="1"/>
  <c r="Y468" i="1"/>
  <c r="AW468" i="1" s="1"/>
  <c r="AU460" i="1"/>
  <c r="Z460" i="1"/>
  <c r="AF460" i="1" s="1"/>
  <c r="Y460" i="1"/>
  <c r="AW460" i="1" s="1"/>
  <c r="AU452" i="1"/>
  <c r="Z452" i="1"/>
  <c r="Y452" i="1"/>
  <c r="AW452" i="1" s="1"/>
  <c r="AU444" i="1"/>
  <c r="Z444" i="1"/>
  <c r="Y444" i="1"/>
  <c r="AW444" i="1" s="1"/>
  <c r="AU436" i="1"/>
  <c r="Z436" i="1"/>
  <c r="AL436" i="1" s="1"/>
  <c r="Y436" i="1"/>
  <c r="AW436" i="1" s="1"/>
  <c r="AU428" i="1"/>
  <c r="Z428" i="1"/>
  <c r="Y428" i="1"/>
  <c r="AW428" i="1" s="1"/>
  <c r="AU420" i="1"/>
  <c r="Z420" i="1"/>
  <c r="Y420" i="1"/>
  <c r="AW420" i="1" s="1"/>
  <c r="AU412" i="1"/>
  <c r="Z412" i="1"/>
  <c r="AF412" i="1" s="1"/>
  <c r="Y412" i="1"/>
  <c r="AW412" i="1" s="1"/>
  <c r="AV582" i="1"/>
  <c r="AA582" i="1"/>
  <c r="AG582" i="1" s="1"/>
  <c r="Y582" i="1"/>
  <c r="AW582" i="1" s="1"/>
  <c r="AV574" i="1"/>
  <c r="AA574" i="1"/>
  <c r="AG574" i="1" s="1"/>
  <c r="Y574" i="1"/>
  <c r="AW574" i="1" s="1"/>
  <c r="AV566" i="1"/>
  <c r="AA566" i="1"/>
  <c r="Y566" i="1"/>
  <c r="AW566" i="1" s="1"/>
  <c r="AV558" i="1"/>
  <c r="AA558" i="1"/>
  <c r="Y558" i="1"/>
  <c r="AW558" i="1" s="1"/>
  <c r="AV550" i="1"/>
  <c r="AA550" i="1"/>
  <c r="AM550" i="1" s="1"/>
  <c r="Y550" i="1"/>
  <c r="AW550" i="1" s="1"/>
  <c r="AV542" i="1"/>
  <c r="AA542" i="1"/>
  <c r="Y542" i="1"/>
  <c r="AW542" i="1" s="1"/>
  <c r="AV534" i="1"/>
  <c r="AA534" i="1"/>
  <c r="Y534" i="1"/>
  <c r="AW534" i="1" s="1"/>
  <c r="AV526" i="1"/>
  <c r="AA526" i="1"/>
  <c r="AB526" i="1" s="1"/>
  <c r="Y526" i="1"/>
  <c r="AW526" i="1" s="1"/>
  <c r="AV518" i="1"/>
  <c r="AA518" i="1"/>
  <c r="AG518" i="1" s="1"/>
  <c r="Y518" i="1"/>
  <c r="AW518" i="1" s="1"/>
  <c r="AV510" i="1"/>
  <c r="AA510" i="1"/>
  <c r="AB510" i="1" s="1"/>
  <c r="Y510" i="1"/>
  <c r="AW510" i="1" s="1"/>
  <c r="AV502" i="1"/>
  <c r="Y502" i="1"/>
  <c r="AW502" i="1" s="1"/>
  <c r="AV494" i="1"/>
  <c r="Y494" i="1"/>
  <c r="AW494" i="1" s="1"/>
  <c r="AV486" i="1"/>
  <c r="AA486" i="1"/>
  <c r="Y486" i="1"/>
  <c r="AW486" i="1" s="1"/>
  <c r="AV478" i="1"/>
  <c r="AA478" i="1"/>
  <c r="Y478" i="1"/>
  <c r="AW478" i="1" s="1"/>
  <c r="AV470" i="1"/>
  <c r="AA470" i="1"/>
  <c r="Y470" i="1"/>
  <c r="AW470" i="1" s="1"/>
  <c r="AV462" i="1"/>
  <c r="AA462" i="1"/>
  <c r="Y462" i="1"/>
  <c r="AW462" i="1" s="1"/>
  <c r="AV454" i="1"/>
  <c r="AA454" i="1"/>
  <c r="AG454" i="1" s="1"/>
  <c r="Y454" i="1"/>
  <c r="AW454" i="1" s="1"/>
  <c r="AV446" i="1"/>
  <c r="AA446" i="1"/>
  <c r="AG446" i="1" s="1"/>
  <c r="Y446" i="1"/>
  <c r="AW446" i="1" s="1"/>
  <c r="AV438" i="1"/>
  <c r="Y438" i="1"/>
  <c r="AW438" i="1" s="1"/>
  <c r="AV430" i="1"/>
  <c r="Y430" i="1"/>
  <c r="AW430" i="1" s="1"/>
  <c r="AV422" i="1"/>
  <c r="AA422" i="1"/>
  <c r="AM422" i="1" s="1"/>
  <c r="Y422" i="1"/>
  <c r="AW422" i="1" s="1"/>
  <c r="AV414" i="1"/>
  <c r="AA414" i="1"/>
  <c r="AM414" i="1" s="1"/>
  <c r="Y414" i="1"/>
  <c r="AW414" i="1" s="1"/>
  <c r="AR441" i="1"/>
  <c r="AP555" i="1"/>
  <c r="AS530" i="1"/>
  <c r="AP419" i="1"/>
  <c r="AS419" i="1"/>
  <c r="AE586" i="1"/>
  <c r="AE570" i="1"/>
  <c r="AE554" i="1"/>
  <c r="AE546" i="1"/>
  <c r="AE538" i="1"/>
  <c r="AF530" i="1"/>
  <c r="AE530" i="1"/>
  <c r="AE522" i="1"/>
  <c r="AE514" i="1"/>
  <c r="AF506" i="1"/>
  <c r="AE506" i="1"/>
  <c r="AF498" i="1"/>
  <c r="AE498" i="1"/>
  <c r="AE482" i="1"/>
  <c r="AE474" i="1"/>
  <c r="AE466" i="1"/>
  <c r="AF458" i="1"/>
  <c r="AE450" i="1"/>
  <c r="AE442" i="1"/>
  <c r="AE434" i="1"/>
  <c r="AE418" i="1"/>
  <c r="AE410" i="1"/>
  <c r="AE458" i="1"/>
  <c r="AO577" i="1"/>
  <c r="AR577" i="1"/>
  <c r="AR513" i="1"/>
  <c r="AU587" i="1"/>
  <c r="Z587" i="1"/>
  <c r="AL587" i="1" s="1"/>
  <c r="Y587" i="1"/>
  <c r="AW587" i="1" s="1"/>
  <c r="AU579" i="1"/>
  <c r="Z579" i="1"/>
  <c r="AF579" i="1" s="1"/>
  <c r="Y579" i="1"/>
  <c r="AW579" i="1" s="1"/>
  <c r="AU571" i="1"/>
  <c r="Z571" i="1"/>
  <c r="AL571" i="1" s="1"/>
  <c r="Y571" i="1"/>
  <c r="AW571" i="1" s="1"/>
  <c r="AU563" i="1"/>
  <c r="Z563" i="1"/>
  <c r="AL563" i="1" s="1"/>
  <c r="Y563" i="1"/>
  <c r="AW563" i="1" s="1"/>
  <c r="AU555" i="1"/>
  <c r="Z555" i="1"/>
  <c r="Y555" i="1"/>
  <c r="AW555" i="1" s="1"/>
  <c r="AU547" i="1"/>
  <c r="Z547" i="1"/>
  <c r="AL547" i="1" s="1"/>
  <c r="Y547" i="1"/>
  <c r="AW547" i="1" s="1"/>
  <c r="AU539" i="1"/>
  <c r="Z539" i="1"/>
  <c r="AL539" i="1" s="1"/>
  <c r="Y539" i="1"/>
  <c r="AW539" i="1" s="1"/>
  <c r="AU531" i="1"/>
  <c r="Z531" i="1"/>
  <c r="Y531" i="1"/>
  <c r="AW531" i="1" s="1"/>
  <c r="AU523" i="1"/>
  <c r="Z523" i="1"/>
  <c r="AL523" i="1" s="1"/>
  <c r="Y523" i="1"/>
  <c r="AW523" i="1" s="1"/>
  <c r="AU515" i="1"/>
  <c r="Z515" i="1"/>
  <c r="AL515" i="1" s="1"/>
  <c r="Y515" i="1"/>
  <c r="AW515" i="1" s="1"/>
  <c r="AU507" i="1"/>
  <c r="Z507" i="1"/>
  <c r="AL507" i="1" s="1"/>
  <c r="Y507" i="1"/>
  <c r="AW507" i="1" s="1"/>
  <c r="AU499" i="1"/>
  <c r="Z499" i="1"/>
  <c r="AL499" i="1" s="1"/>
  <c r="Y499" i="1"/>
  <c r="AW499" i="1" s="1"/>
  <c r="AU491" i="1"/>
  <c r="Z491" i="1"/>
  <c r="Y491" i="1"/>
  <c r="AW491" i="1" s="1"/>
  <c r="AU483" i="1"/>
  <c r="Z483" i="1"/>
  <c r="AL483" i="1" s="1"/>
  <c r="Y483" i="1"/>
  <c r="AW483" i="1" s="1"/>
  <c r="AU475" i="1"/>
  <c r="Z475" i="1"/>
  <c r="AL475" i="1" s="1"/>
  <c r="Y475" i="1"/>
  <c r="AW475" i="1" s="1"/>
  <c r="AU467" i="1"/>
  <c r="Z467" i="1"/>
  <c r="AF467" i="1" s="1"/>
  <c r="Y467" i="1"/>
  <c r="AW467" i="1" s="1"/>
  <c r="AU459" i="1"/>
  <c r="Z459" i="1"/>
  <c r="AF459" i="1" s="1"/>
  <c r="Y459" i="1"/>
  <c r="AW459" i="1" s="1"/>
  <c r="AU451" i="1"/>
  <c r="Z451" i="1"/>
  <c r="AF451" i="1" s="1"/>
  <c r="Y451" i="1"/>
  <c r="AW451" i="1" s="1"/>
  <c r="AU443" i="1"/>
  <c r="Z443" i="1"/>
  <c r="AL443" i="1" s="1"/>
  <c r="Y443" i="1"/>
  <c r="AW443" i="1" s="1"/>
  <c r="AU435" i="1"/>
  <c r="Z435" i="1"/>
  <c r="AL435" i="1" s="1"/>
  <c r="Y435" i="1"/>
  <c r="AW435" i="1" s="1"/>
  <c r="AU427" i="1"/>
  <c r="Z427" i="1"/>
  <c r="Y427" i="1"/>
  <c r="AW427" i="1" s="1"/>
  <c r="AU419" i="1"/>
  <c r="Z419" i="1"/>
  <c r="AL419" i="1" s="1"/>
  <c r="Y419" i="1"/>
  <c r="AW419" i="1" s="1"/>
  <c r="AU411" i="1"/>
  <c r="Z411" i="1"/>
  <c r="AL411" i="1" s="1"/>
  <c r="Y411" i="1"/>
  <c r="AW411" i="1" s="1"/>
  <c r="AV581" i="1"/>
  <c r="AA581" i="1"/>
  <c r="AG581" i="1" s="1"/>
  <c r="AV573" i="1"/>
  <c r="AA573" i="1"/>
  <c r="AG573" i="1" s="1"/>
  <c r="AV565" i="1"/>
  <c r="AA565" i="1"/>
  <c r="AM565" i="1" s="1"/>
  <c r="AV557" i="1"/>
  <c r="AA557" i="1"/>
  <c r="AM557" i="1" s="1"/>
  <c r="AV549" i="1"/>
  <c r="AA549" i="1"/>
  <c r="AM549" i="1" s="1"/>
  <c r="AV541" i="1"/>
  <c r="AA541" i="1"/>
  <c r="AM541" i="1" s="1"/>
  <c r="AV533" i="1"/>
  <c r="AA533" i="1"/>
  <c r="AM533" i="1" s="1"/>
  <c r="AV525" i="1"/>
  <c r="AA525" i="1"/>
  <c r="AM525" i="1" s="1"/>
  <c r="AV517" i="1"/>
  <c r="AA517" i="1"/>
  <c r="AM517" i="1" s="1"/>
  <c r="AV509" i="1"/>
  <c r="AA509" i="1"/>
  <c r="AM509" i="1" s="1"/>
  <c r="AV501" i="1"/>
  <c r="AA501" i="1"/>
  <c r="AG501" i="1" s="1"/>
  <c r="AV477" i="1"/>
  <c r="AA477" i="1"/>
  <c r="AM477" i="1" s="1"/>
  <c r="AV469" i="1"/>
  <c r="AA469" i="1"/>
  <c r="AV461" i="1"/>
  <c r="AA461" i="1"/>
  <c r="AM461" i="1" s="1"/>
  <c r="AV453" i="1"/>
  <c r="AA453" i="1"/>
  <c r="AM453" i="1" s="1"/>
  <c r="AV445" i="1"/>
  <c r="AA445" i="1"/>
  <c r="AM445" i="1" s="1"/>
  <c r="AV437" i="1"/>
  <c r="AA437" i="1"/>
  <c r="AG437" i="1" s="1"/>
  <c r="AV413" i="1"/>
  <c r="AA413" i="1"/>
  <c r="AM413" i="1" s="1"/>
  <c r="AO458" i="1"/>
  <c r="AS503" i="1"/>
  <c r="AM503" i="1"/>
  <c r="AG503" i="1"/>
  <c r="AE585" i="1"/>
  <c r="AF577" i="1"/>
  <c r="AE577" i="1"/>
  <c r="AE569" i="1"/>
  <c r="AE561" i="1"/>
  <c r="AE553" i="1"/>
  <c r="AE537" i="1"/>
  <c r="AF529" i="1"/>
  <c r="AE529" i="1"/>
  <c r="AE513" i="1"/>
  <c r="AF505" i="1"/>
  <c r="AE497" i="1"/>
  <c r="AE481" i="1"/>
  <c r="AE473" i="1"/>
  <c r="AE465" i="1"/>
  <c r="AE457" i="1"/>
  <c r="AE449" i="1"/>
  <c r="AF441" i="1"/>
  <c r="AE441" i="1"/>
  <c r="AE433" i="1"/>
  <c r="AE425" i="1"/>
  <c r="AE417" i="1"/>
  <c r="AE587" i="1"/>
  <c r="AE579" i="1"/>
  <c r="AE571" i="1"/>
  <c r="AG563" i="1"/>
  <c r="AE539" i="1"/>
  <c r="AE523" i="1"/>
  <c r="AG515" i="1"/>
  <c r="AE515" i="1"/>
  <c r="AG507" i="1"/>
  <c r="AE507" i="1"/>
  <c r="AE475" i="1"/>
  <c r="AE467" i="1"/>
  <c r="AE521" i="1"/>
  <c r="AP563" i="1"/>
  <c r="AA130" i="1"/>
  <c r="AS130" i="1" s="1"/>
  <c r="AV130" i="1"/>
  <c r="AA170" i="1"/>
  <c r="AP170" i="1" s="1"/>
  <c r="AV170" i="1"/>
  <c r="AA178" i="1"/>
  <c r="AS178" i="1" s="1"/>
  <c r="AV178" i="1"/>
  <c r="AA274" i="1"/>
  <c r="AP274" i="1" s="1"/>
  <c r="AV274" i="1"/>
  <c r="AA278" i="1"/>
  <c r="AP278" i="1" s="1"/>
  <c r="AV278" i="1"/>
  <c r="AA282" i="1"/>
  <c r="AP282" i="1" s="1"/>
  <c r="AV282" i="1"/>
  <c r="AA286" i="1"/>
  <c r="AS286" i="1" s="1"/>
  <c r="AV286" i="1"/>
  <c r="AA298" i="1"/>
  <c r="AP298" i="1" s="1"/>
  <c r="AV298" i="1"/>
  <c r="AA314" i="1"/>
  <c r="AS314" i="1" s="1"/>
  <c r="AV314" i="1"/>
  <c r="AA318" i="1"/>
  <c r="AS318" i="1" s="1"/>
  <c r="AV318" i="1"/>
  <c r="AA326" i="1"/>
  <c r="AG326" i="1" s="1"/>
  <c r="AV326" i="1"/>
  <c r="AA330" i="1"/>
  <c r="AP330" i="1" s="1"/>
  <c r="AV330" i="1"/>
  <c r="AA334" i="1"/>
  <c r="AM334" i="1" s="1"/>
  <c r="AV334" i="1"/>
  <c r="AA338" i="1"/>
  <c r="AP338" i="1" s="1"/>
  <c r="AV338" i="1"/>
  <c r="AA346" i="1"/>
  <c r="AS346" i="1" s="1"/>
  <c r="AV346" i="1"/>
  <c r="AA350" i="1"/>
  <c r="AS350" i="1" s="1"/>
  <c r="AV350" i="1"/>
  <c r="AA354" i="1"/>
  <c r="AS354" i="1" s="1"/>
  <c r="AV354" i="1"/>
  <c r="AA358" i="1"/>
  <c r="AP358" i="1" s="1"/>
  <c r="AV358" i="1"/>
  <c r="AA362" i="1"/>
  <c r="AS362" i="1" s="1"/>
  <c r="AV362" i="1"/>
  <c r="AA366" i="1"/>
  <c r="AP366" i="1" s="1"/>
  <c r="AV366" i="1"/>
  <c r="AA370" i="1"/>
  <c r="AP370" i="1" s="1"/>
  <c r="AV370" i="1"/>
  <c r="AA378" i="1"/>
  <c r="AS378" i="1" s="1"/>
  <c r="AV378" i="1"/>
  <c r="AA382" i="1"/>
  <c r="AP382" i="1" s="1"/>
  <c r="AV382" i="1"/>
  <c r="AA386" i="1"/>
  <c r="AM386" i="1" s="1"/>
  <c r="AV386" i="1"/>
  <c r="AA394" i="1"/>
  <c r="AS394" i="1" s="1"/>
  <c r="AV394" i="1"/>
  <c r="AA398" i="1"/>
  <c r="AM398" i="1" s="1"/>
  <c r="AV398" i="1"/>
  <c r="AR585" i="1"/>
  <c r="AO585" i="1"/>
  <c r="AO562" i="1"/>
  <c r="AR562" i="1"/>
  <c r="AR498" i="1"/>
  <c r="AO498" i="1"/>
  <c r="AO457" i="1"/>
  <c r="AA502" i="1"/>
  <c r="AB502" i="1" s="1"/>
  <c r="AN502" i="1" s="1"/>
  <c r="AA438" i="1"/>
  <c r="AB438" i="1" s="1"/>
  <c r="AL585" i="1"/>
  <c r="AA202" i="1"/>
  <c r="AP202" i="1" s="1"/>
  <c r="AV202" i="1"/>
  <c r="AA206" i="1"/>
  <c r="AS206" i="1" s="1"/>
  <c r="AV206" i="1"/>
  <c r="AA266" i="1"/>
  <c r="AM266" i="1" s="1"/>
  <c r="AV266" i="1"/>
  <c r="AA290" i="1"/>
  <c r="AM290" i="1" s="1"/>
  <c r="AV290" i="1"/>
  <c r="AA294" i="1"/>
  <c r="AG294" i="1" s="1"/>
  <c r="AV294" i="1"/>
  <c r="AA302" i="1"/>
  <c r="AG302" i="1" s="1"/>
  <c r="AV302" i="1"/>
  <c r="AA310" i="1"/>
  <c r="AS310" i="1" s="1"/>
  <c r="AV310" i="1"/>
  <c r="AA322" i="1"/>
  <c r="AG322" i="1" s="1"/>
  <c r="AV322" i="1"/>
  <c r="AO497" i="1"/>
  <c r="AR497" i="1"/>
  <c r="AR474" i="1"/>
  <c r="AP521" i="1"/>
  <c r="AM521" i="1"/>
  <c r="AA494" i="1"/>
  <c r="AA430" i="1"/>
  <c r="AM430" i="1" s="1"/>
  <c r="AE578" i="1"/>
  <c r="AE505" i="1"/>
  <c r="AA406" i="1"/>
  <c r="AS406" i="1" s="1"/>
  <c r="AV406" i="1"/>
  <c r="AV540" i="1"/>
  <c r="AA540" i="1"/>
  <c r="AG540" i="1" s="1"/>
  <c r="AV532" i="1"/>
  <c r="AA532" i="1"/>
  <c r="AG532" i="1" s="1"/>
  <c r="AV524" i="1"/>
  <c r="AA524" i="1"/>
  <c r="AG524" i="1" s="1"/>
  <c r="AV516" i="1"/>
  <c r="AA516" i="1"/>
  <c r="AM516" i="1" s="1"/>
  <c r="AV508" i="1"/>
  <c r="AA508" i="1"/>
  <c r="AM508" i="1" s="1"/>
  <c r="AV500" i="1"/>
  <c r="AA500" i="1"/>
  <c r="AM500" i="1" s="1"/>
  <c r="AV492" i="1"/>
  <c r="AA492" i="1"/>
  <c r="AV484" i="1"/>
  <c r="AA484" i="1"/>
  <c r="AG484" i="1" s="1"/>
  <c r="AV476" i="1"/>
  <c r="AA476" i="1"/>
  <c r="AG476" i="1" s="1"/>
  <c r="AV468" i="1"/>
  <c r="AA468" i="1"/>
  <c r="AG468" i="1" s="1"/>
  <c r="AV460" i="1"/>
  <c r="AA460" i="1"/>
  <c r="AG460" i="1" s="1"/>
  <c r="AV452" i="1"/>
  <c r="AA452" i="1"/>
  <c r="AM452" i="1" s="1"/>
  <c r="AV444" i="1"/>
  <c r="AA444" i="1"/>
  <c r="AM444" i="1" s="1"/>
  <c r="AV436" i="1"/>
  <c r="AA436" i="1"/>
  <c r="AM436" i="1" s="1"/>
  <c r="AV428" i="1"/>
  <c r="AA428" i="1"/>
  <c r="AV420" i="1"/>
  <c r="AA420" i="1"/>
  <c r="AG420" i="1" s="1"/>
  <c r="AV412" i="1"/>
  <c r="AA412" i="1"/>
  <c r="AM412" i="1" s="1"/>
  <c r="Z584" i="1"/>
  <c r="AL584" i="1" s="1"/>
  <c r="Z576" i="1"/>
  <c r="Z568" i="1"/>
  <c r="Z560" i="1"/>
  <c r="Z552" i="1"/>
  <c r="AL552" i="1" s="1"/>
  <c r="Z544" i="1"/>
  <c r="AL544" i="1" s="1"/>
  <c r="Z536" i="1"/>
  <c r="AL536" i="1" s="1"/>
  <c r="Z528" i="1"/>
  <c r="Z520" i="1"/>
  <c r="AL520" i="1" s="1"/>
  <c r="Z512" i="1"/>
  <c r="AL512" i="1" s="1"/>
  <c r="Z504" i="1"/>
  <c r="AL504" i="1" s="1"/>
  <c r="Z496" i="1"/>
  <c r="Z488" i="1"/>
  <c r="AL488" i="1" s="1"/>
  <c r="Z480" i="1"/>
  <c r="AL480" i="1" s="1"/>
  <c r="Z472" i="1"/>
  <c r="AL472" i="1" s="1"/>
  <c r="Z464" i="1"/>
  <c r="Z456" i="1"/>
  <c r="AL456" i="1" s="1"/>
  <c r="Z448" i="1"/>
  <c r="AL448" i="1" s="1"/>
  <c r="Z440" i="1"/>
  <c r="Z432" i="1"/>
  <c r="Z424" i="1"/>
  <c r="AL424" i="1" s="1"/>
  <c r="Z416" i="1"/>
  <c r="AL416" i="1" s="1"/>
  <c r="AA586" i="1"/>
  <c r="AM586" i="1" s="1"/>
  <c r="AA578" i="1"/>
  <c r="AA570" i="1"/>
  <c r="AM570" i="1" s="1"/>
  <c r="AA562" i="1"/>
  <c r="AM562" i="1" s="1"/>
  <c r="AA554" i="1"/>
  <c r="AA546" i="1"/>
  <c r="AA537" i="1"/>
  <c r="AM537" i="1" s="1"/>
  <c r="AA519" i="1"/>
  <c r="AG519" i="1" s="1"/>
  <c r="AA491" i="1"/>
  <c r="AG491" i="1" s="1"/>
  <c r="AA482" i="1"/>
  <c r="AM482" i="1" s="1"/>
  <c r="AA473" i="1"/>
  <c r="AG473" i="1" s="1"/>
  <c r="AS455" i="1"/>
  <c r="AP455" i="1"/>
  <c r="AA427" i="1"/>
  <c r="AM427" i="1" s="1"/>
  <c r="AA418" i="1"/>
  <c r="AE453" i="1"/>
  <c r="AA9" i="1"/>
  <c r="AM9" i="1" s="1"/>
  <c r="AV9" i="1"/>
  <c r="AA17" i="1"/>
  <c r="AP17" i="1" s="1"/>
  <c r="AV17" i="1"/>
  <c r="AA25" i="1"/>
  <c r="AS25" i="1" s="1"/>
  <c r="AV25" i="1"/>
  <c r="AA65" i="1"/>
  <c r="AS65" i="1" s="1"/>
  <c r="AV65" i="1"/>
  <c r="AA73" i="1"/>
  <c r="AM73" i="1" s="1"/>
  <c r="AV73" i="1"/>
  <c r="AA89" i="1"/>
  <c r="AM89" i="1" s="1"/>
  <c r="AV89" i="1"/>
  <c r="AA97" i="1"/>
  <c r="AP97" i="1" s="1"/>
  <c r="AV97" i="1"/>
  <c r="AA105" i="1"/>
  <c r="AM105" i="1" s="1"/>
  <c r="AV105" i="1"/>
  <c r="AA109" i="1"/>
  <c r="AS109" i="1" s="1"/>
  <c r="AV109" i="1"/>
  <c r="AA113" i="1"/>
  <c r="AP113" i="1" s="1"/>
  <c r="AV113" i="1"/>
  <c r="AA117" i="1"/>
  <c r="AS117" i="1" s="1"/>
  <c r="AV117" i="1"/>
  <c r="AA129" i="1"/>
  <c r="AS129" i="1" s="1"/>
  <c r="AV129" i="1"/>
  <c r="AA133" i="1"/>
  <c r="AS133" i="1" s="1"/>
  <c r="AV133" i="1"/>
  <c r="AA141" i="1"/>
  <c r="AS141" i="1" s="1"/>
  <c r="AV141" i="1"/>
  <c r="AA153" i="1"/>
  <c r="AS153" i="1" s="1"/>
  <c r="AV153" i="1"/>
  <c r="AA161" i="1"/>
  <c r="AB161" i="1" s="1"/>
  <c r="AV161" i="1"/>
  <c r="AA169" i="1"/>
  <c r="AS169" i="1" s="1"/>
  <c r="AV169" i="1"/>
  <c r="AA185" i="1"/>
  <c r="AP185" i="1" s="1"/>
  <c r="AV185" i="1"/>
  <c r="AA205" i="1"/>
  <c r="AG205" i="1" s="1"/>
  <c r="AV205" i="1"/>
  <c r="AA249" i="1"/>
  <c r="AP249" i="1" s="1"/>
  <c r="AV249" i="1"/>
  <c r="AA277" i="1"/>
  <c r="AM277" i="1" s="1"/>
  <c r="AV277" i="1"/>
  <c r="AA285" i="1"/>
  <c r="AP285" i="1" s="1"/>
  <c r="AV285" i="1"/>
  <c r="AA289" i="1"/>
  <c r="AS289" i="1" s="1"/>
  <c r="AV289" i="1"/>
  <c r="AA293" i="1"/>
  <c r="AS293" i="1" s="1"/>
  <c r="AV293" i="1"/>
  <c r="AA297" i="1"/>
  <c r="AS297" i="1" s="1"/>
  <c r="AV297" i="1"/>
  <c r="AA305" i="1"/>
  <c r="AP305" i="1" s="1"/>
  <c r="AV305" i="1"/>
  <c r="AA313" i="1"/>
  <c r="AM313" i="1" s="1"/>
  <c r="AV313" i="1"/>
  <c r="AA317" i="1"/>
  <c r="AP317" i="1" s="1"/>
  <c r="AV317" i="1"/>
  <c r="AA321" i="1"/>
  <c r="AS321" i="1" s="1"/>
  <c r="AV321" i="1"/>
  <c r="AA325" i="1"/>
  <c r="AG325" i="1" s="1"/>
  <c r="AV325" i="1"/>
  <c r="AA329" i="1"/>
  <c r="AM329" i="1" s="1"/>
  <c r="AV329" i="1"/>
  <c r="AA333" i="1"/>
  <c r="AM333" i="1" s="1"/>
  <c r="AV333" i="1"/>
  <c r="AA337" i="1"/>
  <c r="AB337" i="1" s="1"/>
  <c r="AV337" i="1"/>
  <c r="AA341" i="1"/>
  <c r="AS341" i="1" s="1"/>
  <c r="AV341" i="1"/>
  <c r="AA345" i="1"/>
  <c r="AS345" i="1" s="1"/>
  <c r="AV345" i="1"/>
  <c r="AA349" i="1"/>
  <c r="AM349" i="1" s="1"/>
  <c r="AV349" i="1"/>
  <c r="AA357" i="1"/>
  <c r="AP357" i="1" s="1"/>
  <c r="AV357" i="1"/>
  <c r="AA361" i="1"/>
  <c r="AS361" i="1" s="1"/>
  <c r="AV361" i="1"/>
  <c r="AA365" i="1"/>
  <c r="AS365" i="1" s="1"/>
  <c r="AV365" i="1"/>
  <c r="AA373" i="1"/>
  <c r="AB373" i="1" s="1"/>
  <c r="AQ373" i="1" s="1"/>
  <c r="AV373" i="1"/>
  <c r="AA377" i="1"/>
  <c r="AM377" i="1" s="1"/>
  <c r="AV377" i="1"/>
  <c r="AA385" i="1"/>
  <c r="AM385" i="1" s="1"/>
  <c r="AV385" i="1"/>
  <c r="AA389" i="1"/>
  <c r="AP389" i="1" s="1"/>
  <c r="AV389" i="1"/>
  <c r="AA393" i="1"/>
  <c r="AS393" i="1" s="1"/>
  <c r="AV393" i="1"/>
  <c r="AA397" i="1"/>
  <c r="AP397" i="1" s="1"/>
  <c r="AV397" i="1"/>
  <c r="Y581" i="1"/>
  <c r="AW581" i="1" s="1"/>
  <c r="Y573" i="1"/>
  <c r="AW573" i="1" s="1"/>
  <c r="Y565" i="1"/>
  <c r="AW565" i="1" s="1"/>
  <c r="Y557" i="1"/>
  <c r="AW557" i="1" s="1"/>
  <c r="Y549" i="1"/>
  <c r="AW549" i="1" s="1"/>
  <c r="Y541" i="1"/>
  <c r="AW541" i="1" s="1"/>
  <c r="Y533" i="1"/>
  <c r="AW533" i="1" s="1"/>
  <c r="Y525" i="1"/>
  <c r="AW525" i="1" s="1"/>
  <c r="Y517" i="1"/>
  <c r="AW517" i="1" s="1"/>
  <c r="Y509" i="1"/>
  <c r="AW509" i="1" s="1"/>
  <c r="Y501" i="1"/>
  <c r="AW501" i="1" s="1"/>
  <c r="Y493" i="1"/>
  <c r="AW493" i="1" s="1"/>
  <c r="Y485" i="1"/>
  <c r="AW485" i="1" s="1"/>
  <c r="Y477" i="1"/>
  <c r="AW477" i="1" s="1"/>
  <c r="Y469" i="1"/>
  <c r="AW469" i="1" s="1"/>
  <c r="Y461" i="1"/>
  <c r="AW461" i="1" s="1"/>
  <c r="Y453" i="1"/>
  <c r="AW453" i="1" s="1"/>
  <c r="Y445" i="1"/>
  <c r="AW445" i="1" s="1"/>
  <c r="Y437" i="1"/>
  <c r="AW437" i="1" s="1"/>
  <c r="Y429" i="1"/>
  <c r="AW429" i="1" s="1"/>
  <c r="Y421" i="1"/>
  <c r="AW421" i="1" s="1"/>
  <c r="Y413" i="1"/>
  <c r="AW413" i="1" s="1"/>
  <c r="Z583" i="1"/>
  <c r="AL583" i="1" s="1"/>
  <c r="Z575" i="1"/>
  <c r="AF575" i="1" s="1"/>
  <c r="Z567" i="1"/>
  <c r="AF567" i="1" s="1"/>
  <c r="Z559" i="1"/>
  <c r="AL559" i="1" s="1"/>
  <c r="Z551" i="1"/>
  <c r="AL551" i="1" s="1"/>
  <c r="Z543" i="1"/>
  <c r="AL543" i="1" s="1"/>
  <c r="Z535" i="1"/>
  <c r="Z527" i="1"/>
  <c r="Z519" i="1"/>
  <c r="AF519" i="1" s="1"/>
  <c r="Z511" i="1"/>
  <c r="AL511" i="1" s="1"/>
  <c r="Z503" i="1"/>
  <c r="AF503" i="1" s="1"/>
  <c r="Z495" i="1"/>
  <c r="AF495" i="1" s="1"/>
  <c r="Z487" i="1"/>
  <c r="AF487" i="1" s="1"/>
  <c r="Z479" i="1"/>
  <c r="AL479" i="1" s="1"/>
  <c r="Z471" i="1"/>
  <c r="Z463" i="1"/>
  <c r="AF463" i="1" s="1"/>
  <c r="Z455" i="1"/>
  <c r="AF455" i="1" s="1"/>
  <c r="Z447" i="1"/>
  <c r="AF447" i="1" s="1"/>
  <c r="Z439" i="1"/>
  <c r="AF439" i="1" s="1"/>
  <c r="Z431" i="1"/>
  <c r="AF431" i="1" s="1"/>
  <c r="Z423" i="1"/>
  <c r="AF423" i="1" s="1"/>
  <c r="Z415" i="1"/>
  <c r="AL415" i="1" s="1"/>
  <c r="AA585" i="1"/>
  <c r="AG585" i="1" s="1"/>
  <c r="AA577" i="1"/>
  <c r="AA569" i="1"/>
  <c r="AM569" i="1" s="1"/>
  <c r="AA561" i="1"/>
  <c r="AG561" i="1" s="1"/>
  <c r="AA553" i="1"/>
  <c r="AB553" i="1" s="1"/>
  <c r="AA545" i="1"/>
  <c r="AS536" i="1"/>
  <c r="AP536" i="1"/>
  <c r="AA527" i="1"/>
  <c r="AM527" i="1" s="1"/>
  <c r="AA499" i="1"/>
  <c r="AA490" i="1"/>
  <c r="AM490" i="1" s="1"/>
  <c r="AA481" i="1"/>
  <c r="AS472" i="1"/>
  <c r="AP472" i="1"/>
  <c r="AA435" i="1"/>
  <c r="AG435" i="1" s="1"/>
  <c r="AA426" i="1"/>
  <c r="AM426" i="1" s="1"/>
  <c r="AA417" i="1"/>
  <c r="AG417" i="1" s="1"/>
  <c r="AE583" i="1"/>
  <c r="AE575" i="1"/>
  <c r="AE527" i="1"/>
  <c r="AE519" i="1"/>
  <c r="AE511" i="1"/>
  <c r="AE463" i="1"/>
  <c r="AE455" i="1"/>
  <c r="AE447" i="1"/>
  <c r="AE415" i="1"/>
  <c r="AG521" i="1"/>
  <c r="AG425" i="1"/>
  <c r="AE559" i="1"/>
  <c r="AE543" i="1"/>
  <c r="AA402" i="1"/>
  <c r="AS402" i="1" s="1"/>
  <c r="AV402" i="1"/>
  <c r="AA401" i="1"/>
  <c r="AM401" i="1" s="1"/>
  <c r="AV401" i="1"/>
  <c r="AA405" i="1"/>
  <c r="AS405" i="1" s="1"/>
  <c r="AV405" i="1"/>
  <c r="AA409" i="1"/>
  <c r="AS409" i="1" s="1"/>
  <c r="AV409" i="1"/>
  <c r="AO574" i="1"/>
  <c r="AR558" i="1"/>
  <c r="AO558" i="1"/>
  <c r="AR542" i="1"/>
  <c r="AO542" i="1"/>
  <c r="AO526" i="1"/>
  <c r="AR526" i="1"/>
  <c r="AL526" i="1"/>
  <c r="AO518" i="1"/>
  <c r="AR518" i="1"/>
  <c r="AO510" i="1"/>
  <c r="AR510" i="1"/>
  <c r="AR502" i="1"/>
  <c r="AO502" i="1"/>
  <c r="AR494" i="1"/>
  <c r="AO494" i="1"/>
  <c r="AR438" i="1"/>
  <c r="AO438" i="1"/>
  <c r="AS584" i="1"/>
  <c r="AS544" i="1"/>
  <c r="AP544" i="1"/>
  <c r="AA535" i="1"/>
  <c r="AM535" i="1" s="1"/>
  <c r="AS507" i="1"/>
  <c r="AP507" i="1"/>
  <c r="AA498" i="1"/>
  <c r="AM498" i="1" s="1"/>
  <c r="AS480" i="1"/>
  <c r="AP480" i="1"/>
  <c r="AS471" i="1"/>
  <c r="AA434" i="1"/>
  <c r="AB434" i="1" s="1"/>
  <c r="AS425" i="1"/>
  <c r="AP425" i="1"/>
  <c r="AE582" i="1"/>
  <c r="AF574" i="1"/>
  <c r="AE574" i="1"/>
  <c r="AE566" i="1"/>
  <c r="AF542" i="1"/>
  <c r="AF526" i="1"/>
  <c r="AF518" i="1"/>
  <c r="AE518" i="1"/>
  <c r="AF510" i="1"/>
  <c r="AE510" i="1"/>
  <c r="AF502" i="1"/>
  <c r="AE502" i="1"/>
  <c r="AF486" i="1"/>
  <c r="AE470" i="1"/>
  <c r="AE454" i="1"/>
  <c r="AE446" i="1"/>
  <c r="AF438" i="1"/>
  <c r="AE438" i="1"/>
  <c r="AE584" i="1"/>
  <c r="AG544" i="1"/>
  <c r="AG536" i="1"/>
  <c r="AE536" i="1"/>
  <c r="AE528" i="1"/>
  <c r="AG520" i="1"/>
  <c r="AE520" i="1"/>
  <c r="AG488" i="1"/>
  <c r="AG480" i="1"/>
  <c r="AG472" i="1"/>
  <c r="AE472" i="1"/>
  <c r="AE464" i="1"/>
  <c r="AE456" i="1"/>
  <c r="AE424" i="1"/>
  <c r="AE558" i="1"/>
  <c r="AE542" i="1"/>
  <c r="AE526" i="1"/>
  <c r="AA204" i="1"/>
  <c r="AM204" i="1" s="1"/>
  <c r="AV204" i="1"/>
  <c r="AA212" i="1"/>
  <c r="AS212" i="1" s="1"/>
  <c r="AV212" i="1"/>
  <c r="AA224" i="1"/>
  <c r="AP224" i="1" s="1"/>
  <c r="AV224" i="1"/>
  <c r="AA228" i="1"/>
  <c r="AP228" i="1" s="1"/>
  <c r="AV228" i="1"/>
  <c r="AA248" i="1"/>
  <c r="AP248" i="1" s="1"/>
  <c r="AV248" i="1"/>
  <c r="AA276" i="1"/>
  <c r="AP276" i="1" s="1"/>
  <c r="AV276" i="1"/>
  <c r="AA280" i="1"/>
  <c r="AM280" i="1" s="1"/>
  <c r="AV280" i="1"/>
  <c r="AA284" i="1"/>
  <c r="AS284" i="1" s="1"/>
  <c r="AV284" i="1"/>
  <c r="AA292" i="1"/>
  <c r="AG292" i="1" s="1"/>
  <c r="AV292" i="1"/>
  <c r="AA300" i="1"/>
  <c r="AS300" i="1" s="1"/>
  <c r="AV300" i="1"/>
  <c r="AA304" i="1"/>
  <c r="AS304" i="1" s="1"/>
  <c r="AV304" i="1"/>
  <c r="AA308" i="1"/>
  <c r="AM308" i="1" s="1"/>
  <c r="AV308" i="1"/>
  <c r="AA320" i="1"/>
  <c r="AS320" i="1" s="1"/>
  <c r="AV320" i="1"/>
  <c r="AA324" i="1"/>
  <c r="AP324" i="1" s="1"/>
  <c r="AV324" i="1"/>
  <c r="AA328" i="1"/>
  <c r="AM328" i="1" s="1"/>
  <c r="AV328" i="1"/>
  <c r="AA332" i="1"/>
  <c r="AP332" i="1" s="1"/>
  <c r="AV332" i="1"/>
  <c r="AA336" i="1"/>
  <c r="AM336" i="1" s="1"/>
  <c r="AV336" i="1"/>
  <c r="AA340" i="1"/>
  <c r="AP340" i="1" s="1"/>
  <c r="AV340" i="1"/>
  <c r="AA344" i="1"/>
  <c r="AG344" i="1" s="1"/>
  <c r="AV344" i="1"/>
  <c r="AA348" i="1"/>
  <c r="AM348" i="1" s="1"/>
  <c r="AV348" i="1"/>
  <c r="AA352" i="1"/>
  <c r="AS352" i="1" s="1"/>
  <c r="AV352" i="1"/>
  <c r="AA356" i="1"/>
  <c r="AG356" i="1" s="1"/>
  <c r="AV356" i="1"/>
  <c r="AA360" i="1"/>
  <c r="AS360" i="1" s="1"/>
  <c r="AV360" i="1"/>
  <c r="AA364" i="1"/>
  <c r="AP364" i="1" s="1"/>
  <c r="AV364" i="1"/>
  <c r="AA368" i="1"/>
  <c r="AS368" i="1" s="1"/>
  <c r="AV368" i="1"/>
  <c r="AA372" i="1"/>
  <c r="AS372" i="1" s="1"/>
  <c r="AV372" i="1"/>
  <c r="AA376" i="1"/>
  <c r="AM376" i="1" s="1"/>
  <c r="AV376" i="1"/>
  <c r="AA380" i="1"/>
  <c r="AP380" i="1" s="1"/>
  <c r="AV380" i="1"/>
  <c r="AA384" i="1"/>
  <c r="AS384" i="1" s="1"/>
  <c r="AV384" i="1"/>
  <c r="AA388" i="1"/>
  <c r="AP388" i="1" s="1"/>
  <c r="AV388" i="1"/>
  <c r="AA392" i="1"/>
  <c r="AG392" i="1" s="1"/>
  <c r="AV392" i="1"/>
  <c r="AA396" i="1"/>
  <c r="AP396" i="1" s="1"/>
  <c r="AV396" i="1"/>
  <c r="AA400" i="1"/>
  <c r="AS400" i="1" s="1"/>
  <c r="AV400" i="1"/>
  <c r="Z581" i="1"/>
  <c r="AL581" i="1" s="1"/>
  <c r="Z573" i="1"/>
  <c r="AL573" i="1" s="1"/>
  <c r="Z565" i="1"/>
  <c r="AF565" i="1" s="1"/>
  <c r="Z557" i="1"/>
  <c r="AF557" i="1" s="1"/>
  <c r="Z549" i="1"/>
  <c r="AF549" i="1" s="1"/>
  <c r="Z541" i="1"/>
  <c r="AL541" i="1" s="1"/>
  <c r="Z533" i="1"/>
  <c r="AF533" i="1" s="1"/>
  <c r="Z525" i="1"/>
  <c r="Z517" i="1"/>
  <c r="AL517" i="1" s="1"/>
  <c r="Z509" i="1"/>
  <c r="AF509" i="1" s="1"/>
  <c r="Z501" i="1"/>
  <c r="AL501" i="1" s="1"/>
  <c r="Z493" i="1"/>
  <c r="AL493" i="1" s="1"/>
  <c r="Z485" i="1"/>
  <c r="AF485" i="1" s="1"/>
  <c r="Z477" i="1"/>
  <c r="AF477" i="1" s="1"/>
  <c r="Z469" i="1"/>
  <c r="AF469" i="1" s="1"/>
  <c r="Z461" i="1"/>
  <c r="AL461" i="1" s="1"/>
  <c r="Z453" i="1"/>
  <c r="Z445" i="1"/>
  <c r="AL445" i="1" s="1"/>
  <c r="Z437" i="1"/>
  <c r="AF437" i="1" s="1"/>
  <c r="Z429" i="1"/>
  <c r="AL429" i="1" s="1"/>
  <c r="Z421" i="1"/>
  <c r="AF421" i="1" s="1"/>
  <c r="Z413" i="1"/>
  <c r="AF413" i="1" s="1"/>
  <c r="AA583" i="1"/>
  <c r="AG583" i="1" s="1"/>
  <c r="AA575" i="1"/>
  <c r="AM575" i="1" s="1"/>
  <c r="AA567" i="1"/>
  <c r="AA559" i="1"/>
  <c r="AA551" i="1"/>
  <c r="AM551" i="1" s="1"/>
  <c r="AA543" i="1"/>
  <c r="AG543" i="1" s="1"/>
  <c r="AP515" i="1"/>
  <c r="AS515" i="1"/>
  <c r="AA506" i="1"/>
  <c r="AB506" i="1" s="1"/>
  <c r="AA497" i="1"/>
  <c r="AM497" i="1" s="1"/>
  <c r="AS488" i="1"/>
  <c r="AP488" i="1"/>
  <c r="AA479" i="1"/>
  <c r="AA442" i="1"/>
  <c r="AM442" i="1" s="1"/>
  <c r="AA433" i="1"/>
  <c r="AG433" i="1" s="1"/>
  <c r="AS415" i="1"/>
  <c r="AP415" i="1"/>
  <c r="AE565" i="1"/>
  <c r="AE501" i="1"/>
  <c r="AE461" i="1"/>
  <c r="AE437" i="1"/>
  <c r="AG511" i="1"/>
  <c r="AG471" i="1"/>
  <c r="AG455" i="1"/>
  <c r="AG415" i="1"/>
  <c r="AE541" i="1"/>
  <c r="AE512" i="1"/>
  <c r="AE496" i="1"/>
  <c r="AE480" i="1"/>
  <c r="AE448" i="1"/>
  <c r="AE430" i="1"/>
  <c r="AE411" i="1"/>
  <c r="AK587" i="1"/>
  <c r="AK579" i="1"/>
  <c r="AK571" i="1"/>
  <c r="AK555" i="1"/>
  <c r="AK547" i="1"/>
  <c r="AK539" i="1"/>
  <c r="AK531" i="1"/>
  <c r="AK523" i="1"/>
  <c r="AK515" i="1"/>
  <c r="AK507" i="1"/>
  <c r="AK499" i="1"/>
  <c r="AK491" i="1"/>
  <c r="AK483" i="1"/>
  <c r="AK475" i="1"/>
  <c r="AK467" i="1"/>
  <c r="AK459" i="1"/>
  <c r="AK451" i="1"/>
  <c r="AK435" i="1"/>
  <c r="AK427" i="1"/>
  <c r="AK419" i="1"/>
  <c r="AK411" i="1"/>
  <c r="AK443" i="1"/>
  <c r="AE451" i="1"/>
  <c r="AG419" i="1"/>
  <c r="AA4" i="1"/>
  <c r="AP4" i="1" s="1"/>
  <c r="AV4" i="1"/>
  <c r="AA20" i="1"/>
  <c r="AM20" i="1" s="1"/>
  <c r="AV20" i="1"/>
  <c r="AA24" i="1"/>
  <c r="AM24" i="1" s="1"/>
  <c r="AV24" i="1"/>
  <c r="AA28" i="1"/>
  <c r="AP28" i="1" s="1"/>
  <c r="AV28" i="1"/>
  <c r="AA48" i="1"/>
  <c r="AP48" i="1" s="1"/>
  <c r="AV48" i="1"/>
  <c r="AA64" i="1"/>
  <c r="AG64" i="1" s="1"/>
  <c r="AV64" i="1"/>
  <c r="AA88" i="1"/>
  <c r="AS88" i="1" s="1"/>
  <c r="AV88" i="1"/>
  <c r="AA152" i="1"/>
  <c r="AS152" i="1" s="1"/>
  <c r="AV152" i="1"/>
  <c r="AA176" i="1"/>
  <c r="AM176" i="1" s="1"/>
  <c r="AV176" i="1"/>
  <c r="AE16" i="1"/>
  <c r="AK21" i="1"/>
  <c r="AK49" i="1"/>
  <c r="AK97" i="1"/>
  <c r="AE100" i="1"/>
  <c r="AK121" i="1"/>
  <c r="AE168" i="1"/>
  <c r="AE176" i="1"/>
  <c r="AK181" i="1"/>
  <c r="AE204" i="1"/>
  <c r="AE208" i="1"/>
  <c r="AK209" i="1"/>
  <c r="Y243" i="1"/>
  <c r="AW243" i="1" s="1"/>
  <c r="AK321" i="1"/>
  <c r="AE324" i="1"/>
  <c r="AE340" i="1"/>
  <c r="AE344" i="1"/>
  <c r="AA404" i="1"/>
  <c r="AG404" i="1" s="1"/>
  <c r="AV404" i="1"/>
  <c r="AA408" i="1"/>
  <c r="AP408" i="1" s="1"/>
  <c r="AV408" i="1"/>
  <c r="Y586" i="1"/>
  <c r="AW586" i="1" s="1"/>
  <c r="Y578" i="1"/>
  <c r="AW578" i="1" s="1"/>
  <c r="Y570" i="1"/>
  <c r="AW570" i="1" s="1"/>
  <c r="Y562" i="1"/>
  <c r="AW562" i="1" s="1"/>
  <c r="Y554" i="1"/>
  <c r="AW554" i="1" s="1"/>
  <c r="Y546" i="1"/>
  <c r="AW546" i="1" s="1"/>
  <c r="Y538" i="1"/>
  <c r="AW538" i="1" s="1"/>
  <c r="Y530" i="1"/>
  <c r="AW530" i="1" s="1"/>
  <c r="Y522" i="1"/>
  <c r="AW522" i="1" s="1"/>
  <c r="Y514" i="1"/>
  <c r="AW514" i="1" s="1"/>
  <c r="Y506" i="1"/>
  <c r="AW506" i="1" s="1"/>
  <c r="Y498" i="1"/>
  <c r="AW498" i="1" s="1"/>
  <c r="Y490" i="1"/>
  <c r="AW490" i="1" s="1"/>
  <c r="Y482" i="1"/>
  <c r="AW482" i="1" s="1"/>
  <c r="Y474" i="1"/>
  <c r="AW474" i="1" s="1"/>
  <c r="Y466" i="1"/>
  <c r="AW466" i="1" s="1"/>
  <c r="Y458" i="1"/>
  <c r="AW458" i="1" s="1"/>
  <c r="Y450" i="1"/>
  <c r="AW450" i="1" s="1"/>
  <c r="Y442" i="1"/>
  <c r="AW442" i="1" s="1"/>
  <c r="Y434" i="1"/>
  <c r="AW434" i="1" s="1"/>
  <c r="Y426" i="1"/>
  <c r="AW426" i="1" s="1"/>
  <c r="Y418" i="1"/>
  <c r="AW418" i="1" s="1"/>
  <c r="Y410" i="1"/>
  <c r="AW410" i="1" s="1"/>
  <c r="AA523" i="1"/>
  <c r="AM523" i="1" s="1"/>
  <c r="AA514" i="1"/>
  <c r="AM514" i="1" s="1"/>
  <c r="AA505" i="1"/>
  <c r="AA496" i="1"/>
  <c r="AG496" i="1" s="1"/>
  <c r="AA487" i="1"/>
  <c r="AA459" i="1"/>
  <c r="AM459" i="1" s="1"/>
  <c r="AA450" i="1"/>
  <c r="AA441" i="1"/>
  <c r="AG441" i="1" s="1"/>
  <c r="AA432" i="1"/>
  <c r="AA423" i="1"/>
  <c r="AG423" i="1" s="1"/>
  <c r="AE568" i="1"/>
  <c r="AE552" i="1"/>
  <c r="AE495" i="1"/>
  <c r="AE479" i="1"/>
  <c r="AE462" i="1"/>
  <c r="AA283" i="1"/>
  <c r="AP283" i="1" s="1"/>
  <c r="AV283" i="1"/>
  <c r="AA287" i="1"/>
  <c r="AS287" i="1" s="1"/>
  <c r="AV287" i="1"/>
  <c r="AA291" i="1"/>
  <c r="AS291" i="1" s="1"/>
  <c r="AV291" i="1"/>
  <c r="AA295" i="1"/>
  <c r="AP295" i="1" s="1"/>
  <c r="AV295" i="1"/>
  <c r="AA303" i="1"/>
  <c r="AS303" i="1" s="1"/>
  <c r="AV303" i="1"/>
  <c r="AA307" i="1"/>
  <c r="AM307" i="1" s="1"/>
  <c r="AV307" i="1"/>
  <c r="AA311" i="1"/>
  <c r="AM311" i="1" s="1"/>
  <c r="AV311" i="1"/>
  <c r="AA315" i="1"/>
  <c r="AS315" i="1" s="1"/>
  <c r="AV315" i="1"/>
  <c r="AA319" i="1"/>
  <c r="AM319" i="1" s="1"/>
  <c r="AV319" i="1"/>
  <c r="AA323" i="1"/>
  <c r="AG323" i="1" s="1"/>
  <c r="AV323" i="1"/>
  <c r="AA327" i="1"/>
  <c r="AM327" i="1" s="1"/>
  <c r="AV327" i="1"/>
  <c r="AA331" i="1"/>
  <c r="AS331" i="1" s="1"/>
  <c r="AV331" i="1"/>
  <c r="AA335" i="1"/>
  <c r="AS335" i="1" s="1"/>
  <c r="AV335" i="1"/>
  <c r="AA339" i="1"/>
  <c r="AG339" i="1" s="1"/>
  <c r="AV339" i="1"/>
  <c r="AA343" i="1"/>
  <c r="AP343" i="1" s="1"/>
  <c r="AV343" i="1"/>
  <c r="AA347" i="1"/>
  <c r="AS347" i="1" s="1"/>
  <c r="AV347" i="1"/>
  <c r="AA351" i="1"/>
  <c r="AM351" i="1" s="1"/>
  <c r="AV351" i="1"/>
  <c r="AA355" i="1"/>
  <c r="AG355" i="1" s="1"/>
  <c r="AV355" i="1"/>
  <c r="AA359" i="1"/>
  <c r="AP359" i="1" s="1"/>
  <c r="AV359" i="1"/>
  <c r="AA363" i="1"/>
  <c r="AS363" i="1" s="1"/>
  <c r="AV363" i="1"/>
  <c r="AA367" i="1"/>
  <c r="AP367" i="1" s="1"/>
  <c r="AV367" i="1"/>
  <c r="AA371" i="1"/>
  <c r="AG371" i="1" s="1"/>
  <c r="AV371" i="1"/>
  <c r="AA379" i="1"/>
  <c r="AG379" i="1" s="1"/>
  <c r="AV379" i="1"/>
  <c r="AA387" i="1"/>
  <c r="AS387" i="1" s="1"/>
  <c r="AV387" i="1"/>
  <c r="AA391" i="1"/>
  <c r="AM391" i="1" s="1"/>
  <c r="AV391" i="1"/>
  <c r="AA395" i="1"/>
  <c r="AM395" i="1" s="1"/>
  <c r="AV395" i="1"/>
  <c r="AA399" i="1"/>
  <c r="AM399" i="1" s="1"/>
  <c r="AV399" i="1"/>
  <c r="Y585" i="1"/>
  <c r="AW585" i="1" s="1"/>
  <c r="Y577" i="1"/>
  <c r="AW577" i="1" s="1"/>
  <c r="Y569" i="1"/>
  <c r="AW569" i="1" s="1"/>
  <c r="Y561" i="1"/>
  <c r="AW561" i="1" s="1"/>
  <c r="Y553" i="1"/>
  <c r="AW553" i="1" s="1"/>
  <c r="Y545" i="1"/>
  <c r="AW545" i="1" s="1"/>
  <c r="Y537" i="1"/>
  <c r="AW537" i="1" s="1"/>
  <c r="Y529" i="1"/>
  <c r="AW529" i="1" s="1"/>
  <c r="Y521" i="1"/>
  <c r="AW521" i="1" s="1"/>
  <c r="Y513" i="1"/>
  <c r="AW513" i="1" s="1"/>
  <c r="Y505" i="1"/>
  <c r="AW505" i="1" s="1"/>
  <c r="Y497" i="1"/>
  <c r="AW497" i="1" s="1"/>
  <c r="Y489" i="1"/>
  <c r="AW489" i="1" s="1"/>
  <c r="Y481" i="1"/>
  <c r="AW481" i="1" s="1"/>
  <c r="Y473" i="1"/>
  <c r="AW473" i="1" s="1"/>
  <c r="Y465" i="1"/>
  <c r="AW465" i="1" s="1"/>
  <c r="Y457" i="1"/>
  <c r="AW457" i="1" s="1"/>
  <c r="Y449" i="1"/>
  <c r="AW449" i="1" s="1"/>
  <c r="Y441" i="1"/>
  <c r="AW441" i="1" s="1"/>
  <c r="Y433" i="1"/>
  <c r="AW433" i="1" s="1"/>
  <c r="Y425" i="1"/>
  <c r="AW425" i="1" s="1"/>
  <c r="Y417" i="1"/>
  <c r="AW417" i="1" s="1"/>
  <c r="AA531" i="1"/>
  <c r="AG531" i="1" s="1"/>
  <c r="AA522" i="1"/>
  <c r="AA513" i="1"/>
  <c r="AA504" i="1"/>
  <c r="AM504" i="1" s="1"/>
  <c r="AA495" i="1"/>
  <c r="AG495" i="1" s="1"/>
  <c r="AA467" i="1"/>
  <c r="AG467" i="1" s="1"/>
  <c r="AA458" i="1"/>
  <c r="AB458" i="1" s="1"/>
  <c r="AA449" i="1"/>
  <c r="AA440" i="1"/>
  <c r="AG440" i="1" s="1"/>
  <c r="AA431" i="1"/>
  <c r="AE563" i="1"/>
  <c r="AE555" i="1"/>
  <c r="AE547" i="1"/>
  <c r="AE499" i="1"/>
  <c r="AE491" i="1"/>
  <c r="AE483" i="1"/>
  <c r="AE435" i="1"/>
  <c r="AE427" i="1"/>
  <c r="AE419" i="1"/>
  <c r="AE551" i="1"/>
  <c r="AE494" i="1"/>
  <c r="AE478" i="1"/>
  <c r="AE459" i="1"/>
  <c r="AE423" i="1"/>
  <c r="AK577" i="1"/>
  <c r="AL577" i="1"/>
  <c r="AK569" i="1"/>
  <c r="AK561" i="1"/>
  <c r="AK545" i="1"/>
  <c r="AK537" i="1"/>
  <c r="AL537" i="1"/>
  <c r="AK529" i="1"/>
  <c r="AL529" i="1"/>
  <c r="AK521" i="1"/>
  <c r="AK513" i="1"/>
  <c r="AL513" i="1"/>
  <c r="AK497" i="1"/>
  <c r="AL497" i="1"/>
  <c r="AK489" i="1"/>
  <c r="AL473" i="1"/>
  <c r="AK473" i="1"/>
  <c r="AL457" i="1"/>
  <c r="AK457" i="1"/>
  <c r="AK449" i="1"/>
  <c r="AK441" i="1"/>
  <c r="AL441" i="1"/>
  <c r="AK433" i="1"/>
  <c r="AL425" i="1"/>
  <c r="AK425" i="1"/>
  <c r="AK417" i="1"/>
  <c r="AM579" i="1"/>
  <c r="AM571" i="1"/>
  <c r="AM563" i="1"/>
  <c r="AM515" i="1"/>
  <c r="AM507" i="1"/>
  <c r="AM483" i="1"/>
  <c r="AM419" i="1"/>
  <c r="AK481" i="1"/>
  <c r="AM465" i="1"/>
  <c r="AM457" i="1"/>
  <c r="AL538" i="1"/>
  <c r="AE580" i="1"/>
  <c r="AE572" i="1"/>
  <c r="AE564" i="1"/>
  <c r="AE556" i="1"/>
  <c r="AE548" i="1"/>
  <c r="AE540" i="1"/>
  <c r="AE532" i="1"/>
  <c r="AE524" i="1"/>
  <c r="AE516" i="1"/>
  <c r="AE508" i="1"/>
  <c r="AE500" i="1"/>
  <c r="AE492" i="1"/>
  <c r="AE484" i="1"/>
  <c r="AE476" i="1"/>
  <c r="AE468" i="1"/>
  <c r="AE460" i="1"/>
  <c r="AE452" i="1"/>
  <c r="AE444" i="1"/>
  <c r="AE436" i="1"/>
  <c r="AE428" i="1"/>
  <c r="AE420" i="1"/>
  <c r="AE412" i="1"/>
  <c r="AL510" i="1"/>
  <c r="AL438" i="1"/>
  <c r="AM584" i="1"/>
  <c r="AM520" i="1"/>
  <c r="AK573" i="1"/>
  <c r="AK565" i="1"/>
  <c r="AK541" i="1"/>
  <c r="AK533" i="1"/>
  <c r="AK509" i="1"/>
  <c r="AK501" i="1"/>
  <c r="AK493" i="1"/>
  <c r="AK477" i="1"/>
  <c r="AK469" i="1"/>
  <c r="AK445" i="1"/>
  <c r="AK437" i="1"/>
  <c r="AK429" i="1"/>
  <c r="AK421" i="1"/>
  <c r="AM511" i="1"/>
  <c r="AM455" i="1"/>
  <c r="AK461" i="1"/>
  <c r="AK586" i="1"/>
  <c r="AK578" i="1"/>
  <c r="AK570" i="1"/>
  <c r="AL562" i="1"/>
  <c r="AK546" i="1"/>
  <c r="AL530" i="1"/>
  <c r="AK530" i="1"/>
  <c r="AL522" i="1"/>
  <c r="AK522" i="1"/>
  <c r="AK514" i="1"/>
  <c r="AL514" i="1"/>
  <c r="AL498" i="1"/>
  <c r="AK482" i="1"/>
  <c r="AK466" i="1"/>
  <c r="AL458" i="1"/>
  <c r="AK458" i="1"/>
  <c r="AK450" i="1"/>
  <c r="AL434" i="1"/>
  <c r="AL418" i="1"/>
  <c r="AK418" i="1"/>
  <c r="AK410" i="1"/>
  <c r="AM564" i="1"/>
  <c r="AK564" i="1"/>
  <c r="AM548" i="1"/>
  <c r="AK548" i="1"/>
  <c r="AK540" i="1"/>
  <c r="AK532" i="1"/>
  <c r="AK524" i="1"/>
  <c r="AK500" i="1"/>
  <c r="AK476" i="1"/>
  <c r="AK468" i="1"/>
  <c r="AK460" i="1"/>
  <c r="AK436" i="1"/>
  <c r="AK420" i="1"/>
  <c r="AK412" i="1"/>
  <c r="AK562" i="1"/>
  <c r="AK525" i="1"/>
  <c r="AK452" i="1"/>
  <c r="AL474" i="1"/>
  <c r="AK582" i="1"/>
  <c r="AK536" i="1"/>
  <c r="AK472" i="1"/>
  <c r="AK551" i="1"/>
  <c r="AK542" i="1"/>
  <c r="AK478" i="1"/>
  <c r="AL574" i="1"/>
  <c r="AL494" i="1"/>
  <c r="AM425" i="1"/>
  <c r="AL518" i="1"/>
  <c r="AM544" i="1"/>
  <c r="AM536" i="1"/>
  <c r="AM488" i="1"/>
  <c r="AM480" i="1"/>
  <c r="AM472" i="1"/>
  <c r="AK439" i="1"/>
  <c r="AL502" i="1"/>
  <c r="AM471" i="1"/>
  <c r="AM415" i="1"/>
  <c r="AK511" i="1"/>
  <c r="AK447" i="1"/>
  <c r="AK438" i="1"/>
  <c r="AK510" i="1"/>
  <c r="AK354" i="1"/>
  <c r="AK358" i="1"/>
  <c r="AK382" i="1"/>
  <c r="AE397" i="1"/>
  <c r="AK398" i="1"/>
  <c r="Y400" i="1"/>
  <c r="AW400" i="1" s="1"/>
  <c r="AK371" i="1"/>
  <c r="AK159" i="1"/>
  <c r="AE348" i="1"/>
  <c r="AE384" i="1"/>
  <c r="AE158" i="1"/>
  <c r="AE392" i="1"/>
  <c r="AE32" i="1"/>
  <c r="AK33" i="1"/>
  <c r="AK57" i="1"/>
  <c r="Y195" i="1"/>
  <c r="AW195" i="1" s="1"/>
  <c r="AF323" i="1"/>
  <c r="AE276" i="1"/>
  <c r="AE361" i="1"/>
  <c r="AE365" i="1"/>
  <c r="Y401" i="1"/>
  <c r="AW401" i="1" s="1"/>
  <c r="AE402" i="1"/>
  <c r="AE406" i="1"/>
  <c r="AG11" i="1"/>
  <c r="AE19" i="1"/>
  <c r="AE23" i="1"/>
  <c r="AE27" i="1"/>
  <c r="AE91" i="1"/>
  <c r="AK92" i="1"/>
  <c r="AK96" i="1"/>
  <c r="AK108" i="1"/>
  <c r="AE143" i="1"/>
  <c r="AE271" i="1"/>
  <c r="AE178" i="1"/>
  <c r="AE194" i="1"/>
  <c r="AK247" i="1"/>
  <c r="AE250" i="1"/>
  <c r="AK267" i="1"/>
  <c r="AU296" i="1"/>
  <c r="AK22" i="1"/>
  <c r="AE33" i="1"/>
  <c r="AL275" i="1"/>
  <c r="AR86" i="1"/>
  <c r="AK299" i="1"/>
  <c r="AE302" i="1"/>
  <c r="AE34" i="1"/>
  <c r="AU72" i="1"/>
  <c r="Y74" i="1"/>
  <c r="AW74" i="1" s="1"/>
  <c r="AK76" i="1"/>
  <c r="AU77" i="1"/>
  <c r="AE88" i="1"/>
  <c r="AO90" i="1"/>
  <c r="AK166" i="1"/>
  <c r="AE177" i="1"/>
  <c r="AE189" i="1"/>
  <c r="AE193" i="1"/>
  <c r="AK202" i="1"/>
  <c r="AE209" i="1"/>
  <c r="AL210" i="1"/>
  <c r="AE217" i="1"/>
  <c r="AE225" i="1"/>
  <c r="AE237" i="1"/>
  <c r="Z45" i="1"/>
  <c r="AO45" i="1" s="1"/>
  <c r="AF77" i="1"/>
  <c r="AU161" i="1"/>
  <c r="AU274" i="1"/>
  <c r="AE277" i="1"/>
  <c r="AK290" i="1"/>
  <c r="Y330" i="1"/>
  <c r="AW330" i="1" s="1"/>
  <c r="AK344" i="1"/>
  <c r="AE375" i="1"/>
  <c r="Y378" i="1"/>
  <c r="AW378" i="1" s="1"/>
  <c r="AE404" i="1"/>
  <c r="AE408" i="1"/>
  <c r="AK77" i="1"/>
  <c r="AK172" i="1"/>
  <c r="AK184" i="1"/>
  <c r="AE223" i="1"/>
  <c r="AE248" i="1"/>
  <c r="AE374" i="1"/>
  <c r="Z40" i="1"/>
  <c r="AO40" i="1" s="1"/>
  <c r="Y2" i="1"/>
  <c r="AW2" i="1" s="1"/>
  <c r="AE69" i="1"/>
  <c r="AU90" i="1"/>
  <c r="AE137" i="1"/>
  <c r="AU139" i="1"/>
  <c r="AE163" i="1"/>
  <c r="AK164" i="1"/>
  <c r="AK223" i="1"/>
  <c r="AK264" i="1"/>
  <c r="AK370" i="1"/>
  <c r="AK352" i="1"/>
  <c r="AE409" i="1"/>
  <c r="AL242" i="1"/>
  <c r="AL321" i="1"/>
  <c r="Z293" i="1"/>
  <c r="AO293" i="1" s="1"/>
  <c r="Z254" i="1"/>
  <c r="AO254" i="1" s="1"/>
  <c r="Y215" i="1"/>
  <c r="AW215" i="1" s="1"/>
  <c r="AE77" i="1"/>
  <c r="AG86" i="1"/>
  <c r="AU212" i="1"/>
  <c r="Z215" i="1"/>
  <c r="AL215" i="1" s="1"/>
  <c r="Z121" i="1"/>
  <c r="AO121" i="1" s="1"/>
  <c r="AK6" i="1"/>
  <c r="AK10" i="1"/>
  <c r="Z17" i="1"/>
  <c r="AR17" i="1" s="1"/>
  <c r="AE51" i="1"/>
  <c r="AE55" i="1"/>
  <c r="Y126" i="1"/>
  <c r="AW126" i="1" s="1"/>
  <c r="AE148" i="1"/>
  <c r="Z165" i="1"/>
  <c r="AR165" i="1" s="1"/>
  <c r="AA215" i="1"/>
  <c r="AP215" i="1" s="1"/>
  <c r="AK233" i="1"/>
  <c r="AE236" i="1"/>
  <c r="AR242" i="1"/>
  <c r="AE321" i="1"/>
  <c r="Y365" i="1"/>
  <c r="AW365" i="1" s="1"/>
  <c r="AE170" i="1"/>
  <c r="AK175" i="1"/>
  <c r="AK187" i="1"/>
  <c r="Y103" i="1"/>
  <c r="AW103" i="1" s="1"/>
  <c r="Z258" i="1"/>
  <c r="AO258" i="1" s="1"/>
  <c r="Z325" i="1"/>
  <c r="AL325" i="1" s="1"/>
  <c r="Y21" i="1"/>
  <c r="AW21" i="1" s="1"/>
  <c r="Z103" i="1"/>
  <c r="AF103" i="1" s="1"/>
  <c r="Z56" i="1"/>
  <c r="AR56" i="1" s="1"/>
  <c r="Z309" i="1"/>
  <c r="AO309" i="1" s="1"/>
  <c r="Y17" i="1"/>
  <c r="AW17" i="1" s="1"/>
  <c r="AA158" i="1"/>
  <c r="AG158" i="1" s="1"/>
  <c r="Z310" i="1"/>
  <c r="AR310" i="1" s="1"/>
  <c r="AA56" i="1"/>
  <c r="AP56" i="1" s="1"/>
  <c r="AE145" i="1"/>
  <c r="AO12" i="1"/>
  <c r="Z24" i="1"/>
  <c r="AR24" i="1" s="1"/>
  <c r="AR58" i="1"/>
  <c r="AK99" i="1"/>
  <c r="AE199" i="1"/>
  <c r="AU201" i="1"/>
  <c r="AA247" i="1"/>
  <c r="AP247" i="1" s="1"/>
  <c r="AU271" i="1"/>
  <c r="AE11" i="1"/>
  <c r="AG22" i="1"/>
  <c r="AK41" i="1"/>
  <c r="AA98" i="1"/>
  <c r="AP98" i="1" s="1"/>
  <c r="Z311" i="1"/>
  <c r="AO311" i="1" s="1"/>
  <c r="Z29" i="1"/>
  <c r="AR29" i="1" s="1"/>
  <c r="AK25" i="1"/>
  <c r="AE28" i="1"/>
  <c r="AE68" i="1"/>
  <c r="AA96" i="1"/>
  <c r="AB96" i="1" s="1"/>
  <c r="AE122" i="1"/>
  <c r="AK131" i="1"/>
  <c r="Z143" i="1"/>
  <c r="AR143" i="1" s="1"/>
  <c r="AE166" i="1"/>
  <c r="AK208" i="1"/>
  <c r="Z217" i="1"/>
  <c r="AO217" i="1" s="1"/>
  <c r="AK248" i="1"/>
  <c r="AE273" i="1"/>
  <c r="AK279" i="1"/>
  <c r="AE286" i="1"/>
  <c r="AE303" i="1"/>
  <c r="AE387" i="1"/>
  <c r="Y3" i="1"/>
  <c r="AW3" i="1" s="1"/>
  <c r="AK17" i="1"/>
  <c r="AE40" i="1"/>
  <c r="AU58" i="1"/>
  <c r="AU101" i="1"/>
  <c r="Z101" i="1"/>
  <c r="AF101" i="1" s="1"/>
  <c r="AA102" i="1"/>
  <c r="AM102" i="1" s="1"/>
  <c r="AU167" i="1"/>
  <c r="Z167" i="1"/>
  <c r="AR167" i="1" s="1"/>
  <c r="AA177" i="1"/>
  <c r="AM177" i="1" s="1"/>
  <c r="AK206" i="1"/>
  <c r="Y261" i="1"/>
  <c r="AW261" i="1" s="1"/>
  <c r="AU276" i="1"/>
  <c r="Y276" i="1"/>
  <c r="AW276" i="1" s="1"/>
  <c r="Z276" i="1"/>
  <c r="AK305" i="1"/>
  <c r="AK350" i="1"/>
  <c r="AK365" i="1"/>
  <c r="Z255" i="1"/>
  <c r="AO255" i="1" s="1"/>
  <c r="AU255" i="1"/>
  <c r="Z398" i="1"/>
  <c r="AA42" i="1"/>
  <c r="AS42" i="1" s="1"/>
  <c r="AE327" i="1"/>
  <c r="AK328" i="1"/>
  <c r="Z360" i="1"/>
  <c r="AU120" i="1"/>
  <c r="Z120" i="1"/>
  <c r="AO120" i="1" s="1"/>
  <c r="Y45" i="1"/>
  <c r="AW45" i="1" s="1"/>
  <c r="AA46" i="1"/>
  <c r="AA61" i="1"/>
  <c r="AM61" i="1" s="1"/>
  <c r="AE83" i="1"/>
  <c r="AA214" i="1"/>
  <c r="AG214" i="1" s="1"/>
  <c r="AA232" i="1"/>
  <c r="AA45" i="1"/>
  <c r="AU59" i="1"/>
  <c r="Z59" i="1"/>
  <c r="AO59" i="1" s="1"/>
  <c r="AU80" i="1"/>
  <c r="Z80" i="1"/>
  <c r="AO80" i="1" s="1"/>
  <c r="AA101" i="1"/>
  <c r="AS101" i="1" s="1"/>
  <c r="AU211" i="1"/>
  <c r="Z211" i="1"/>
  <c r="AR211" i="1" s="1"/>
  <c r="AU318" i="1"/>
  <c r="Z318" i="1"/>
  <c r="AF318" i="1" s="1"/>
  <c r="Z27" i="1"/>
  <c r="AO27" i="1" s="1"/>
  <c r="AU27" i="1"/>
  <c r="AA38" i="1"/>
  <c r="AA68" i="1"/>
  <c r="AS68" i="1" s="1"/>
  <c r="Y101" i="1"/>
  <c r="AW101" i="1" s="1"/>
  <c r="AA124" i="1"/>
  <c r="AS124" i="1" s="1"/>
  <c r="AA171" i="1"/>
  <c r="AA211" i="1"/>
  <c r="AS211" i="1" s="1"/>
  <c r="AA256" i="1"/>
  <c r="AS256" i="1" s="1"/>
  <c r="Y274" i="1"/>
  <c r="AW274" i="1" s="1"/>
  <c r="AK304" i="1"/>
  <c r="AU376" i="1"/>
  <c r="Z376" i="1"/>
  <c r="Z37" i="1"/>
  <c r="AF37" i="1" s="1"/>
  <c r="AU42" i="1"/>
  <c r="Z42" i="1"/>
  <c r="AL42" i="1" s="1"/>
  <c r="AS67" i="1"/>
  <c r="AU79" i="1"/>
  <c r="Y79" i="1"/>
  <c r="AW79" i="1" s="1"/>
  <c r="Z79" i="1"/>
  <c r="AR79" i="1" s="1"/>
  <c r="Z137" i="1"/>
  <c r="AF137" i="1" s="1"/>
  <c r="Z147" i="1"/>
  <c r="AR147" i="1" s="1"/>
  <c r="Z175" i="1"/>
  <c r="AF175" i="1" s="1"/>
  <c r="Y211" i="1"/>
  <c r="AW211" i="1" s="1"/>
  <c r="AA37" i="1"/>
  <c r="Y122" i="1"/>
  <c r="AW122" i="1" s="1"/>
  <c r="Z128" i="1"/>
  <c r="AL128" i="1" s="1"/>
  <c r="AK134" i="1"/>
  <c r="AE171" i="1"/>
  <c r="AK195" i="1"/>
  <c r="AU225" i="1"/>
  <c r="AU281" i="1"/>
  <c r="AK7" i="1"/>
  <c r="AE12" i="1"/>
  <c r="AK13" i="1"/>
  <c r="AE18" i="1"/>
  <c r="AE22" i="1"/>
  <c r="AK23" i="1"/>
  <c r="AE57" i="1"/>
  <c r="AK58" i="1"/>
  <c r="AA66" i="1"/>
  <c r="AP66" i="1" s="1"/>
  <c r="AA84" i="1"/>
  <c r="AE85" i="1"/>
  <c r="AE113" i="1"/>
  <c r="AA121" i="1"/>
  <c r="AS121" i="1" s="1"/>
  <c r="Z122" i="1"/>
  <c r="AF122" i="1" s="1"/>
  <c r="Z127" i="1"/>
  <c r="AF127" i="1" s="1"/>
  <c r="AK157" i="1"/>
  <c r="AE179" i="1"/>
  <c r="AA183" i="1"/>
  <c r="AP183" i="1" s="1"/>
  <c r="AA201" i="1"/>
  <c r="AG201" i="1" s="1"/>
  <c r="Z221" i="1"/>
  <c r="AO221" i="1" s="1"/>
  <c r="AU221" i="1"/>
  <c r="Y254" i="1"/>
  <c r="AW254" i="1" s="1"/>
  <c r="AK327" i="1"/>
  <c r="Z359" i="1"/>
  <c r="Y388" i="1"/>
  <c r="AW388" i="1" s="1"/>
  <c r="AK394" i="1"/>
  <c r="AK406" i="1"/>
  <c r="AE358" i="1"/>
  <c r="Y53" i="1"/>
  <c r="AW53" i="1" s="1"/>
  <c r="AE81" i="1"/>
  <c r="AE141" i="1"/>
  <c r="AA145" i="1"/>
  <c r="AP145" i="1" s="1"/>
  <c r="AA181" i="1"/>
  <c r="AF210" i="1"/>
  <c r="AE212" i="1"/>
  <c r="AE220" i="1"/>
  <c r="AK237" i="1"/>
  <c r="AL252" i="1"/>
  <c r="AE269" i="1"/>
  <c r="Y151" i="1"/>
  <c r="AW151" i="1" s="1"/>
  <c r="AF232" i="1"/>
  <c r="AE7" i="1"/>
  <c r="AE30" i="1"/>
  <c r="AE35" i="1"/>
  <c r="Y40" i="1"/>
  <c r="AW40" i="1" s="1"/>
  <c r="AK50" i="1"/>
  <c r="AK54" i="1"/>
  <c r="AE60" i="1"/>
  <c r="Z98" i="1"/>
  <c r="AE101" i="1"/>
  <c r="AE106" i="1"/>
  <c r="AE110" i="1"/>
  <c r="AE114" i="1"/>
  <c r="AK127" i="1"/>
  <c r="AK152" i="1"/>
  <c r="AE162" i="1"/>
  <c r="AK176" i="1"/>
  <c r="AA180" i="1"/>
  <c r="AM180" i="1" s="1"/>
  <c r="AE186" i="1"/>
  <c r="AE201" i="1"/>
  <c r="AK220" i="1"/>
  <c r="AK232" i="1"/>
  <c r="AE235" i="1"/>
  <c r="Z316" i="1"/>
  <c r="AO316" i="1" s="1"/>
  <c r="AF317" i="1"/>
  <c r="AE328" i="1"/>
  <c r="AF329" i="1"/>
  <c r="Y333" i="1"/>
  <c r="AW333" i="1" s="1"/>
  <c r="AK335" i="1"/>
  <c r="AE346" i="1"/>
  <c r="AK357" i="1"/>
  <c r="AK387" i="1"/>
  <c r="AK392" i="1"/>
  <c r="Z84" i="1"/>
  <c r="AU84" i="1"/>
  <c r="AA137" i="1"/>
  <c r="AP137" i="1" s="1"/>
  <c r="AU192" i="1"/>
  <c r="Z192" i="1"/>
  <c r="AF192" i="1" s="1"/>
  <c r="AA223" i="1"/>
  <c r="AS223" i="1" s="1"/>
  <c r="Z336" i="1"/>
  <c r="AF336" i="1" s="1"/>
  <c r="Y336" i="1"/>
  <c r="AW336" i="1" s="1"/>
  <c r="AA23" i="1"/>
  <c r="AP23" i="1" s="1"/>
  <c r="AA273" i="1"/>
  <c r="AP273" i="1" s="1"/>
  <c r="AE284" i="1"/>
  <c r="Z16" i="1"/>
  <c r="AL16" i="1" s="1"/>
  <c r="Y27" i="1"/>
  <c r="AW27" i="1" s="1"/>
  <c r="AU32" i="1"/>
  <c r="Z32" i="1"/>
  <c r="AO32" i="1" s="1"/>
  <c r="Z118" i="1"/>
  <c r="AU118" i="1"/>
  <c r="Z119" i="1"/>
  <c r="AR119" i="1" s="1"/>
  <c r="AA164" i="1"/>
  <c r="Y341" i="1"/>
  <c r="AW341" i="1" s="1"/>
  <c r="AE342" i="1"/>
  <c r="AE8" i="1"/>
  <c r="AK9" i="1"/>
  <c r="AU63" i="1"/>
  <c r="Z63" i="1"/>
  <c r="AL63" i="1" s="1"/>
  <c r="AU111" i="1"/>
  <c r="Z111" i="1"/>
  <c r="AL111" i="1" s="1"/>
  <c r="AA150" i="1"/>
  <c r="AP150" i="1" s="1"/>
  <c r="Y175" i="1"/>
  <c r="AW175" i="1" s="1"/>
  <c r="AE181" i="1"/>
  <c r="AA203" i="1"/>
  <c r="AM203" i="1" s="1"/>
  <c r="Z109" i="1"/>
  <c r="AU109" i="1"/>
  <c r="AA165" i="1"/>
  <c r="AS165" i="1" s="1"/>
  <c r="AK36" i="1"/>
  <c r="AK78" i="1"/>
  <c r="Y119" i="1"/>
  <c r="AW119" i="1" s="1"/>
  <c r="AA126" i="1"/>
  <c r="AM126" i="1" s="1"/>
  <c r="AA136" i="1"/>
  <c r="AS136" i="1" s="1"/>
  <c r="AA188" i="1"/>
  <c r="AP188" i="1" s="1"/>
  <c r="AU222" i="1"/>
  <c r="Z222" i="1"/>
  <c r="AL222" i="1" s="1"/>
  <c r="Y283" i="1"/>
  <c r="AW283" i="1" s="1"/>
  <c r="AK254" i="1"/>
  <c r="AA263" i="1"/>
  <c r="AM263" i="1" s="1"/>
  <c r="AK265" i="1"/>
  <c r="Z396" i="1"/>
  <c r="AU396" i="1"/>
  <c r="AK160" i="1"/>
  <c r="AU163" i="1"/>
  <c r="Z163" i="1"/>
  <c r="AR163" i="1" s="1"/>
  <c r="AA186" i="1"/>
  <c r="AM186" i="1" s="1"/>
  <c r="AK199" i="1"/>
  <c r="AU207" i="1"/>
  <c r="Z207" i="1"/>
  <c r="AR207" i="1" s="1"/>
  <c r="Y246" i="1"/>
  <c r="AW246" i="1" s="1"/>
  <c r="AE268" i="1"/>
  <c r="AA271" i="1"/>
  <c r="AS271" i="1" s="1"/>
  <c r="AE82" i="1"/>
  <c r="AU87" i="1"/>
  <c r="Z87" i="1"/>
  <c r="AF87" i="1" s="1"/>
  <c r="AA93" i="1"/>
  <c r="AA116" i="1"/>
  <c r="Y147" i="1"/>
  <c r="AW147" i="1" s="1"/>
  <c r="AF150" i="1"/>
  <c r="AE150" i="1"/>
  <c r="AA156" i="1"/>
  <c r="AG156" i="1" s="1"/>
  <c r="AE157" i="1"/>
  <c r="AK171" i="1"/>
  <c r="AA245" i="1"/>
  <c r="AG245" i="1" s="1"/>
  <c r="AE3" i="1"/>
  <c r="AK32" i="1"/>
  <c r="AK38" i="1"/>
  <c r="Y41" i="1"/>
  <c r="AW41" i="1" s="1"/>
  <c r="AK46" i="1"/>
  <c r="Y49" i="1"/>
  <c r="AW49" i="1" s="1"/>
  <c r="Z49" i="1"/>
  <c r="AF49" i="1" s="1"/>
  <c r="AA55" i="1"/>
  <c r="AP55" i="1" s="1"/>
  <c r="AK59" i="1"/>
  <c r="AA80" i="1"/>
  <c r="AP80" i="1" s="1"/>
  <c r="AK83" i="1"/>
  <c r="Z116" i="1"/>
  <c r="AO116" i="1" s="1"/>
  <c r="Z141" i="1"/>
  <c r="AF141" i="1" s="1"/>
  <c r="AU173" i="1"/>
  <c r="Z173" i="1"/>
  <c r="AR173" i="1" s="1"/>
  <c r="AE233" i="1"/>
  <c r="AA240" i="1"/>
  <c r="AM240" i="1" s="1"/>
  <c r="AU288" i="1"/>
  <c r="AE311" i="1"/>
  <c r="AU336" i="1"/>
  <c r="AE359" i="1"/>
  <c r="AK374" i="1"/>
  <c r="AU383" i="1"/>
  <c r="Z383" i="1"/>
  <c r="AR383" i="1" s="1"/>
  <c r="Y387" i="1"/>
  <c r="AW387" i="1" s="1"/>
  <c r="Z387" i="1"/>
  <c r="AL387" i="1" s="1"/>
  <c r="AA53" i="1"/>
  <c r="AS53" i="1" s="1"/>
  <c r="Z75" i="1"/>
  <c r="AU75" i="1"/>
  <c r="AE43" i="1"/>
  <c r="AU48" i="1"/>
  <c r="Z48" i="1"/>
  <c r="AL48" i="1" s="1"/>
  <c r="AU53" i="1"/>
  <c r="Z53" i="1"/>
  <c r="AU61" i="1"/>
  <c r="Y61" i="1"/>
  <c r="AW61" i="1" s="1"/>
  <c r="Z61" i="1"/>
  <c r="AL61" i="1" s="1"/>
  <c r="AE79" i="1"/>
  <c r="AE102" i="1"/>
  <c r="AK112" i="1"/>
  <c r="AE133" i="1"/>
  <c r="Y136" i="1"/>
  <c r="AW136" i="1" s="1"/>
  <c r="AK142" i="1"/>
  <c r="AK168" i="1"/>
  <c r="Y188" i="1"/>
  <c r="AW188" i="1" s="1"/>
  <c r="AA193" i="1"/>
  <c r="AM193" i="1" s="1"/>
  <c r="AK213" i="1"/>
  <c r="Z332" i="1"/>
  <c r="AF332" i="1" s="1"/>
  <c r="Y332" i="1"/>
  <c r="AW332" i="1" s="1"/>
  <c r="AK362" i="1"/>
  <c r="Z375" i="1"/>
  <c r="AF375" i="1" s="1"/>
  <c r="AU375" i="1"/>
  <c r="AU99" i="1"/>
  <c r="AU107" i="1"/>
  <c r="AA160" i="1"/>
  <c r="AS160" i="1" s="1"/>
  <c r="Y162" i="1"/>
  <c r="AW162" i="1" s="1"/>
  <c r="AE165" i="1"/>
  <c r="AA196" i="1"/>
  <c r="AM196" i="1" s="1"/>
  <c r="AU198" i="1"/>
  <c r="Z198" i="1"/>
  <c r="AO198" i="1" s="1"/>
  <c r="AA239" i="1"/>
  <c r="AP239" i="1" s="1"/>
  <c r="Z253" i="1"/>
  <c r="AF253" i="1" s="1"/>
  <c r="AU253" i="1"/>
  <c r="AA261" i="1"/>
  <c r="AS261" i="1" s="1"/>
  <c r="AE283" i="1"/>
  <c r="AU317" i="1"/>
  <c r="AU321" i="1"/>
  <c r="AU407" i="1"/>
  <c r="Z407" i="1"/>
  <c r="AF407" i="1" s="1"/>
  <c r="AK151" i="1"/>
  <c r="Z160" i="1"/>
  <c r="AU160" i="1"/>
  <c r="Y160" i="1"/>
  <c r="AW160" i="1" s="1"/>
  <c r="AU199" i="1"/>
  <c r="Z199" i="1"/>
  <c r="AL199" i="1" s="1"/>
  <c r="AA200" i="1"/>
  <c r="AS200" i="1" s="1"/>
  <c r="AO337" i="1"/>
  <c r="AR337" i="1"/>
  <c r="AE2" i="1"/>
  <c r="AA6" i="1"/>
  <c r="AS6" i="1" s="1"/>
  <c r="AK39" i="1"/>
  <c r="AK56" i="1"/>
  <c r="AK63" i="1"/>
  <c r="AK72" i="1"/>
  <c r="Z78" i="1"/>
  <c r="AF78" i="1" s="1"/>
  <c r="AU78" i="1"/>
  <c r="AK87" i="1"/>
  <c r="AK88" i="1"/>
  <c r="AE93" i="1"/>
  <c r="AL94" i="1"/>
  <c r="Y102" i="1"/>
  <c r="AW102" i="1" s="1"/>
  <c r="AK110" i="1"/>
  <c r="AE124" i="1"/>
  <c r="AE131" i="1"/>
  <c r="AR150" i="1"/>
  <c r="AE153" i="1"/>
  <c r="AK192" i="1"/>
  <c r="Y196" i="1"/>
  <c r="AW196" i="1" s="1"/>
  <c r="AE239" i="1"/>
  <c r="AA260" i="1"/>
  <c r="AM260" i="1" s="1"/>
  <c r="AK271" i="1"/>
  <c r="Y317" i="1"/>
  <c r="AW317" i="1" s="1"/>
  <c r="Y359" i="1"/>
  <c r="AW359" i="1" s="1"/>
  <c r="Y65" i="1"/>
  <c r="AW65" i="1" s="1"/>
  <c r="AE67" i="1"/>
  <c r="Y96" i="1"/>
  <c r="AW96" i="1" s="1"/>
  <c r="AU96" i="1"/>
  <c r="Z97" i="1"/>
  <c r="AR97" i="1" s="1"/>
  <c r="AU97" i="1"/>
  <c r="AE104" i="1"/>
  <c r="AE123" i="1"/>
  <c r="AU151" i="1"/>
  <c r="Z151" i="1"/>
  <c r="AR151" i="1" s="1"/>
  <c r="AE190" i="1"/>
  <c r="AK191" i="1"/>
  <c r="Z196" i="1"/>
  <c r="AO196" i="1" s="1"/>
  <c r="AE234" i="1"/>
  <c r="AK250" i="1"/>
  <c r="AL281" i="1"/>
  <c r="Y360" i="1"/>
  <c r="AW360" i="1" s="1"/>
  <c r="AE146" i="1"/>
  <c r="AE154" i="1"/>
  <c r="AL174" i="1"/>
  <c r="AR210" i="1"/>
  <c r="AE216" i="1"/>
  <c r="AU275" i="1"/>
  <c r="AK312" i="1"/>
  <c r="AU401" i="1"/>
  <c r="AL52" i="1"/>
  <c r="AL67" i="1"/>
  <c r="AK80" i="1"/>
  <c r="AK98" i="1"/>
  <c r="AF105" i="1"/>
  <c r="AE117" i="1"/>
  <c r="AE136" i="1"/>
  <c r="AE138" i="1"/>
  <c r="AE149" i="1"/>
  <c r="AE173" i="1"/>
  <c r="Y214" i="1"/>
  <c r="AW214" i="1" s="1"/>
  <c r="AU232" i="1"/>
  <c r="AA279" i="1"/>
  <c r="AM279" i="1" s="1"/>
  <c r="AK367" i="1"/>
  <c r="AK18" i="1"/>
  <c r="AE48" i="1"/>
  <c r="AE50" i="1"/>
  <c r="AA60" i="1"/>
  <c r="AK65" i="1"/>
  <c r="AK66" i="1"/>
  <c r="AK69" i="1"/>
  <c r="AK89" i="1"/>
  <c r="AA112" i="1"/>
  <c r="AS112" i="1" s="1"/>
  <c r="AA134" i="1"/>
  <c r="AM134" i="1" s="1"/>
  <c r="AK136" i="1"/>
  <c r="AK138" i="1"/>
  <c r="AK174" i="1"/>
  <c r="Z191" i="1"/>
  <c r="AR191" i="1" s="1"/>
  <c r="AA199" i="1"/>
  <c r="AS199" i="1" s="1"/>
  <c r="AK207" i="1"/>
  <c r="Y210" i="1"/>
  <c r="AW210" i="1" s="1"/>
  <c r="Z214" i="1"/>
  <c r="AL214" i="1" s="1"/>
  <c r="AA235" i="1"/>
  <c r="AM235" i="1" s="1"/>
  <c r="Y258" i="1"/>
  <c r="AW258" i="1" s="1"/>
  <c r="AL274" i="1"/>
  <c r="Y275" i="1"/>
  <c r="AW275" i="1" s="1"/>
  <c r="AK320" i="1"/>
  <c r="AK349" i="1"/>
  <c r="Z378" i="1"/>
  <c r="AK386" i="1"/>
  <c r="AE394" i="1"/>
  <c r="Z401" i="1"/>
  <c r="AK408" i="1"/>
  <c r="AU30" i="1"/>
  <c r="AU38" i="1"/>
  <c r="Z38" i="1"/>
  <c r="AR38" i="1" s="1"/>
  <c r="Y38" i="1"/>
  <c r="AW38" i="1" s="1"/>
  <c r="AA82" i="1"/>
  <c r="Z85" i="1"/>
  <c r="AR85" i="1" s="1"/>
  <c r="AU85" i="1"/>
  <c r="Y85" i="1"/>
  <c r="AW85" i="1" s="1"/>
  <c r="AU183" i="1"/>
  <c r="Z183" i="1"/>
  <c r="AO183" i="1" s="1"/>
  <c r="Y183" i="1"/>
  <c r="AW183" i="1" s="1"/>
  <c r="Y270" i="1"/>
  <c r="AW270" i="1" s="1"/>
  <c r="AA270" i="1"/>
  <c r="AG270" i="1" s="1"/>
  <c r="AA5" i="1"/>
  <c r="AM5" i="1" s="1"/>
  <c r="AA26" i="1"/>
  <c r="Y28" i="1"/>
  <c r="AW28" i="1" s="1"/>
  <c r="AA35" i="1"/>
  <c r="AG35" i="1" s="1"/>
  <c r="AA13" i="1"/>
  <c r="AP13" i="1" s="1"/>
  <c r="Z182" i="1"/>
  <c r="AF182" i="1" s="1"/>
  <c r="AU182" i="1"/>
  <c r="AA184" i="1"/>
  <c r="AG184" i="1" s="1"/>
  <c r="AA7" i="1"/>
  <c r="AM7" i="1" s="1"/>
  <c r="Y13" i="1"/>
  <c r="AW13" i="1" s="1"/>
  <c r="Y24" i="1"/>
  <c r="AW24" i="1" s="1"/>
  <c r="AA41" i="1"/>
  <c r="AU76" i="1"/>
  <c r="AA81" i="1"/>
  <c r="AM81" i="1" s="1"/>
  <c r="AA104" i="1"/>
  <c r="AU159" i="1"/>
  <c r="Z159" i="1"/>
  <c r="AL159" i="1" s="1"/>
  <c r="Y192" i="1"/>
  <c r="AW192" i="1" s="1"/>
  <c r="AA233" i="1"/>
  <c r="AG233" i="1" s="1"/>
  <c r="AE309" i="1"/>
  <c r="AU9" i="1"/>
  <c r="AA14" i="1"/>
  <c r="AM14" i="1" s="1"/>
  <c r="AK52" i="1"/>
  <c r="AA2" i="1"/>
  <c r="AG2" i="1" s="1"/>
  <c r="Z5" i="1"/>
  <c r="Z8" i="1"/>
  <c r="AR8" i="1" s="1"/>
  <c r="AE15" i="1"/>
  <c r="Z41" i="1"/>
  <c r="AL41" i="1" s="1"/>
  <c r="AA50" i="1"/>
  <c r="AE54" i="1"/>
  <c r="Y73" i="1"/>
  <c r="AW73" i="1" s="1"/>
  <c r="AU73" i="1"/>
  <c r="Z73" i="1"/>
  <c r="AL73" i="1" s="1"/>
  <c r="AK74" i="1"/>
  <c r="AA76" i="1"/>
  <c r="AP76" i="1" s="1"/>
  <c r="AE80" i="1"/>
  <c r="Z108" i="1"/>
  <c r="AL108" i="1" s="1"/>
  <c r="AU108" i="1"/>
  <c r="Y159" i="1"/>
  <c r="AW159" i="1" s="1"/>
  <c r="AL161" i="1"/>
  <c r="AK161" i="1"/>
  <c r="AA192" i="1"/>
  <c r="AM192" i="1" s="1"/>
  <c r="Y10" i="1"/>
  <c r="AW10" i="1" s="1"/>
  <c r="AU10" i="1"/>
  <c r="Z10" i="1"/>
  <c r="AL10" i="1" s="1"/>
  <c r="AU41" i="1"/>
  <c r="Z51" i="1"/>
  <c r="AO51" i="1" s="1"/>
  <c r="AO52" i="1"/>
  <c r="Z65" i="1"/>
  <c r="Y78" i="1"/>
  <c r="AW78" i="1" s="1"/>
  <c r="AK86" i="1"/>
  <c r="AL86" i="1"/>
  <c r="AK94" i="1"/>
  <c r="AE109" i="1"/>
  <c r="AA128" i="1"/>
  <c r="AG128" i="1" s="1"/>
  <c r="Y128" i="1"/>
  <c r="AW128" i="1" s="1"/>
  <c r="AK140" i="1"/>
  <c r="AU230" i="1"/>
  <c r="Z230" i="1"/>
  <c r="AL230" i="1" s="1"/>
  <c r="Y230" i="1"/>
  <c r="AW230" i="1" s="1"/>
  <c r="AR296" i="1"/>
  <c r="AO296" i="1"/>
  <c r="AE349" i="1"/>
  <c r="AA10" i="1"/>
  <c r="AG10" i="1" s="1"/>
  <c r="AK29" i="1"/>
  <c r="AL34" i="1"/>
  <c r="AA51" i="1"/>
  <c r="AS51" i="1" s="1"/>
  <c r="AU52" i="1"/>
  <c r="AK67" i="1"/>
  <c r="AA78" i="1"/>
  <c r="AU95" i="1"/>
  <c r="Z95" i="1"/>
  <c r="AK116" i="1"/>
  <c r="AL145" i="1"/>
  <c r="AK145" i="1"/>
  <c r="AK150" i="1"/>
  <c r="AL150" i="1"/>
  <c r="AR155" i="1"/>
  <c r="AL155" i="1"/>
  <c r="AA157" i="1"/>
  <c r="AP157" i="1" s="1"/>
  <c r="AK253" i="1"/>
  <c r="AO272" i="1"/>
  <c r="AR272" i="1"/>
  <c r="Z2" i="1"/>
  <c r="AO2" i="1" s="1"/>
  <c r="Y5" i="1"/>
  <c r="AW5" i="1" s="1"/>
  <c r="AA34" i="1"/>
  <c r="AA39" i="1"/>
  <c r="AM39" i="1" s="1"/>
  <c r="Y63" i="1"/>
  <c r="AW63" i="1" s="1"/>
  <c r="AA72" i="1"/>
  <c r="AM72" i="1" s="1"/>
  <c r="Y76" i="1"/>
  <c r="AW76" i="1" s="1"/>
  <c r="Y117" i="1"/>
  <c r="AW117" i="1" s="1"/>
  <c r="AU130" i="1"/>
  <c r="Z130" i="1"/>
  <c r="Y130" i="1"/>
  <c r="AW130" i="1" s="1"/>
  <c r="AA132" i="1"/>
  <c r="AP132" i="1" s="1"/>
  <c r="AA148" i="1"/>
  <c r="AP148" i="1" s="1"/>
  <c r="Y182" i="1"/>
  <c r="AW182" i="1" s="1"/>
  <c r="Y223" i="1"/>
  <c r="AW223" i="1" s="1"/>
  <c r="Z223" i="1"/>
  <c r="AL223" i="1" s="1"/>
  <c r="AU223" i="1"/>
  <c r="AK301" i="1"/>
  <c r="Y6" i="1"/>
  <c r="AW6" i="1" s="1"/>
  <c r="AU6" i="1"/>
  <c r="AU12" i="1"/>
  <c r="AU21" i="1"/>
  <c r="Z21" i="1"/>
  <c r="AA29" i="1"/>
  <c r="AS29" i="1" s="1"/>
  <c r="Z66" i="1"/>
  <c r="AR66" i="1" s="1"/>
  <c r="AU71" i="1"/>
  <c r="Z71" i="1"/>
  <c r="AF71" i="1" s="1"/>
  <c r="Z74" i="1"/>
  <c r="Y92" i="1"/>
  <c r="AW92" i="1" s="1"/>
  <c r="AU92" i="1"/>
  <c r="Z92" i="1"/>
  <c r="AO92" i="1" s="1"/>
  <c r="AU135" i="1"/>
  <c r="Z135" i="1"/>
  <c r="AR135" i="1" s="1"/>
  <c r="Z229" i="1"/>
  <c r="AF229" i="1" s="1"/>
  <c r="AU229" i="1"/>
  <c r="Y229" i="1"/>
  <c r="AW229" i="1" s="1"/>
  <c r="AK4" i="1"/>
  <c r="AU13" i="1"/>
  <c r="Z13" i="1"/>
  <c r="AR13" i="1" s="1"/>
  <c r="AA18" i="1"/>
  <c r="AM18" i="1" s="1"/>
  <c r="AA19" i="1"/>
  <c r="AM19" i="1" s="1"/>
  <c r="AA21" i="1"/>
  <c r="AP21" i="1" s="1"/>
  <c r="Z28" i="1"/>
  <c r="AU28" i="1"/>
  <c r="Y29" i="1"/>
  <c r="AW29" i="1" s="1"/>
  <c r="Y34" i="1"/>
  <c r="AW34" i="1" s="1"/>
  <c r="Y37" i="1"/>
  <c r="AW37" i="1" s="1"/>
  <c r="AE44" i="1"/>
  <c r="AA49" i="1"/>
  <c r="AP49" i="1" s="1"/>
  <c r="AE58" i="1"/>
  <c r="Y59" i="1"/>
  <c r="AW59" i="1" s="1"/>
  <c r="Y71" i="1"/>
  <c r="AW71" i="1" s="1"/>
  <c r="AL72" i="1"/>
  <c r="AA75" i="1"/>
  <c r="AG75" i="1" s="1"/>
  <c r="Y75" i="1"/>
  <c r="AW75" i="1" s="1"/>
  <c r="Z88" i="1"/>
  <c r="AR88" i="1" s="1"/>
  <c r="AU88" i="1"/>
  <c r="AA90" i="1"/>
  <c r="AB90" i="1" s="1"/>
  <c r="Y90" i="1"/>
  <c r="AW90" i="1" s="1"/>
  <c r="AA94" i="1"/>
  <c r="AS94" i="1" s="1"/>
  <c r="Y95" i="1"/>
  <c r="AW95" i="1" s="1"/>
  <c r="AU117" i="1"/>
  <c r="AK130" i="1"/>
  <c r="AA140" i="1"/>
  <c r="AS140" i="1" s="1"/>
  <c r="Z164" i="1"/>
  <c r="AF164" i="1" s="1"/>
  <c r="AU164" i="1"/>
  <c r="Y164" i="1"/>
  <c r="AW164" i="1" s="1"/>
  <c r="AK179" i="1"/>
  <c r="AU185" i="1"/>
  <c r="Z185" i="1"/>
  <c r="Z234" i="1"/>
  <c r="AO234" i="1" s="1"/>
  <c r="AU234" i="1"/>
  <c r="AA312" i="1"/>
  <c r="AM312" i="1" s="1"/>
  <c r="AU327" i="1"/>
  <c r="Z327" i="1"/>
  <c r="AK368" i="1"/>
  <c r="AK405" i="1"/>
  <c r="AK85" i="1"/>
  <c r="AK114" i="1"/>
  <c r="AE126" i="1"/>
  <c r="AE139" i="1"/>
  <c r="AK144" i="1"/>
  <c r="AK149" i="1"/>
  <c r="Y163" i="1"/>
  <c r="AW163" i="1" s="1"/>
  <c r="AU187" i="1"/>
  <c r="AA210" i="1"/>
  <c r="AG210" i="1" s="1"/>
  <c r="Z213" i="1"/>
  <c r="AF213" i="1" s="1"/>
  <c r="AU213" i="1"/>
  <c r="AK225" i="1"/>
  <c r="AA229" i="1"/>
  <c r="AS229" i="1" s="1"/>
  <c r="Y234" i="1"/>
  <c r="AW234" i="1" s="1"/>
  <c r="AU246" i="1"/>
  <c r="Z246" i="1"/>
  <c r="AF246" i="1" s="1"/>
  <c r="Z247" i="1"/>
  <c r="AR247" i="1" s="1"/>
  <c r="AU247" i="1"/>
  <c r="Y247" i="1"/>
  <c r="AW247" i="1" s="1"/>
  <c r="AU251" i="1"/>
  <c r="AK258" i="1"/>
  <c r="Z267" i="1"/>
  <c r="AF267" i="1" s="1"/>
  <c r="Y267" i="1"/>
  <c r="AW267" i="1" s="1"/>
  <c r="AU267" i="1"/>
  <c r="AA272" i="1"/>
  <c r="AK282" i="1"/>
  <c r="Z285" i="1"/>
  <c r="AL285" i="1" s="1"/>
  <c r="AU285" i="1"/>
  <c r="AE300" i="1"/>
  <c r="Y324" i="1"/>
  <c r="AW324" i="1" s="1"/>
  <c r="AU324" i="1"/>
  <c r="AU339" i="1"/>
  <c r="Z339" i="1"/>
  <c r="AU206" i="1"/>
  <c r="Z206" i="1"/>
  <c r="AA213" i="1"/>
  <c r="AM213" i="1" s="1"/>
  <c r="Y217" i="1"/>
  <c r="AW217" i="1" s="1"/>
  <c r="AR252" i="1"/>
  <c r="AA267" i="1"/>
  <c r="AA288" i="1"/>
  <c r="Y288" i="1"/>
  <c r="AW288" i="1" s="1"/>
  <c r="AF321" i="1"/>
  <c r="Z356" i="1"/>
  <c r="AO356" i="1" s="1"/>
  <c r="Y356" i="1"/>
  <c r="AW356" i="1" s="1"/>
  <c r="Y357" i="1"/>
  <c r="AW357" i="1" s="1"/>
  <c r="Z357" i="1"/>
  <c r="AF357" i="1" s="1"/>
  <c r="Y94" i="1"/>
  <c r="AW94" i="1" s="1"/>
  <c r="Y99" i="1"/>
  <c r="AW99" i="1" s="1"/>
  <c r="Z123" i="1"/>
  <c r="AL123" i="1" s="1"/>
  <c r="Y135" i="1"/>
  <c r="AW135" i="1" s="1"/>
  <c r="Y140" i="1"/>
  <c r="AW140" i="1" s="1"/>
  <c r="Y148" i="1"/>
  <c r="AW148" i="1" s="1"/>
  <c r="Y213" i="1"/>
  <c r="AW213" i="1" s="1"/>
  <c r="AU219" i="1"/>
  <c r="Z219" i="1"/>
  <c r="AO219" i="1" s="1"/>
  <c r="AA221" i="1"/>
  <c r="AP221" i="1" s="1"/>
  <c r="Z226" i="1"/>
  <c r="AF226" i="1" s="1"/>
  <c r="Y226" i="1"/>
  <c r="AW226" i="1" s="1"/>
  <c r="AU231" i="1"/>
  <c r="Y231" i="1"/>
  <c r="AW231" i="1" s="1"/>
  <c r="Z231" i="1"/>
  <c r="AF231" i="1" s="1"/>
  <c r="Y242" i="1"/>
  <c r="AW242" i="1" s="1"/>
  <c r="AA252" i="1"/>
  <c r="AG252" i="1" s="1"/>
  <c r="AU252" i="1"/>
  <c r="Z257" i="1"/>
  <c r="AR257" i="1" s="1"/>
  <c r="Y257" i="1"/>
  <c r="AW257" i="1" s="1"/>
  <c r="Z265" i="1"/>
  <c r="AF265" i="1" s="1"/>
  <c r="Y265" i="1"/>
  <c r="AW265" i="1" s="1"/>
  <c r="AA268" i="1"/>
  <c r="AS268" i="1" s="1"/>
  <c r="Z287" i="1"/>
  <c r="AL308" i="1"/>
  <c r="AK308" i="1"/>
  <c r="Z324" i="1"/>
  <c r="AO324" i="1" s="1"/>
  <c r="Z352" i="1"/>
  <c r="AL352" i="1" s="1"/>
  <c r="Y352" i="1"/>
  <c r="AW352" i="1" s="1"/>
  <c r="AU353" i="1"/>
  <c r="Z353" i="1"/>
  <c r="AL353" i="1" s="1"/>
  <c r="AG63" i="1"/>
  <c r="AO77" i="1"/>
  <c r="AK84" i="1"/>
  <c r="AR94" i="1"/>
  <c r="AE107" i="1"/>
  <c r="AA108" i="1"/>
  <c r="AM108" i="1" s="1"/>
  <c r="AA125" i="1"/>
  <c r="AA138" i="1"/>
  <c r="Z140" i="1"/>
  <c r="Z148" i="1"/>
  <c r="AL148" i="1" s="1"/>
  <c r="AA159" i="1"/>
  <c r="AM159" i="1" s="1"/>
  <c r="AR174" i="1"/>
  <c r="AU179" i="1"/>
  <c r="AK180" i="1"/>
  <c r="AF212" i="1"/>
  <c r="AA217" i="1"/>
  <c r="AP217" i="1" s="1"/>
  <c r="AA219" i="1"/>
  <c r="AM219" i="1" s="1"/>
  <c r="AL232" i="1"/>
  <c r="AE249" i="1"/>
  <c r="AA251" i="1"/>
  <c r="AB251" i="1" s="1"/>
  <c r="Y252" i="1"/>
  <c r="AW252" i="1" s="1"/>
  <c r="AA259" i="1"/>
  <c r="AG259" i="1" s="1"/>
  <c r="AA265" i="1"/>
  <c r="AM265" i="1" s="1"/>
  <c r="AE285" i="1"/>
  <c r="AF288" i="1"/>
  <c r="AE288" i="1"/>
  <c r="AK291" i="1"/>
  <c r="AK292" i="1"/>
  <c r="AE320" i="1"/>
  <c r="Y344" i="1"/>
  <c r="AW344" i="1" s="1"/>
  <c r="AE378" i="1"/>
  <c r="AU391" i="1"/>
  <c r="Z391" i="1"/>
  <c r="AE393" i="1"/>
  <c r="AU399" i="1"/>
  <c r="Z399" i="1"/>
  <c r="AF399" i="1" s="1"/>
  <c r="AA92" i="1"/>
  <c r="AP92" i="1" s="1"/>
  <c r="AU94" i="1"/>
  <c r="Y98" i="1"/>
  <c r="AW98" i="1" s="1"/>
  <c r="AA100" i="1"/>
  <c r="AP100" i="1" s="1"/>
  <c r="AE105" i="1"/>
  <c r="Y116" i="1"/>
  <c r="AW116" i="1" s="1"/>
  <c r="Y121" i="1"/>
  <c r="AW121" i="1" s="1"/>
  <c r="AK128" i="1"/>
  <c r="AA135" i="1"/>
  <c r="AM135" i="1" s="1"/>
  <c r="Y156" i="1"/>
  <c r="AW156" i="1" s="1"/>
  <c r="AU156" i="1"/>
  <c r="AE159" i="1"/>
  <c r="AA162" i="1"/>
  <c r="Y165" i="1"/>
  <c r="AW165" i="1" s="1"/>
  <c r="AA172" i="1"/>
  <c r="AU174" i="1"/>
  <c r="AK177" i="1"/>
  <c r="Y180" i="1"/>
  <c r="AW180" i="1" s="1"/>
  <c r="AU180" i="1"/>
  <c r="AE182" i="1"/>
  <c r="Z188" i="1"/>
  <c r="AF188" i="1" s="1"/>
  <c r="AK189" i="1"/>
  <c r="AK190" i="1"/>
  <c r="AA194" i="1"/>
  <c r="AM194" i="1" s="1"/>
  <c r="AK212" i="1"/>
  <c r="AL212" i="1"/>
  <c r="Y219" i="1"/>
  <c r="AW219" i="1" s="1"/>
  <c r="AK229" i="1"/>
  <c r="AO232" i="1"/>
  <c r="AR232" i="1"/>
  <c r="AA264" i="1"/>
  <c r="AP264" i="1" s="1"/>
  <c r="AK270" i="1"/>
  <c r="Y314" i="1"/>
  <c r="AW314" i="1" s="1"/>
  <c r="Z314" i="1"/>
  <c r="AF314" i="1" s="1"/>
  <c r="Y351" i="1"/>
  <c r="AW351" i="1" s="1"/>
  <c r="Z351" i="1"/>
  <c r="AL351" i="1" s="1"/>
  <c r="Y398" i="1"/>
  <c r="AW398" i="1" s="1"/>
  <c r="AK42" i="1"/>
  <c r="AE64" i="1"/>
  <c r="Z203" i="1"/>
  <c r="AF203" i="1" s="1"/>
  <c r="Y203" i="1"/>
  <c r="AW203" i="1" s="1"/>
  <c r="AU238" i="1"/>
  <c r="Z238" i="1"/>
  <c r="Y238" i="1"/>
  <c r="AW238" i="1" s="1"/>
  <c r="AU343" i="1"/>
  <c r="Z343" i="1"/>
  <c r="AO343" i="1" s="1"/>
  <c r="AO361" i="1"/>
  <c r="AR361" i="1"/>
  <c r="AR373" i="1"/>
  <c r="AE6" i="1"/>
  <c r="AK20" i="1"/>
  <c r="Y42" i="1"/>
  <c r="AW42" i="1" s="1"/>
  <c r="Y72" i="1"/>
  <c r="AW72" i="1" s="1"/>
  <c r="Y84" i="1"/>
  <c r="AW84" i="1" s="1"/>
  <c r="Y86" i="1"/>
  <c r="AW86" i="1" s="1"/>
  <c r="AK90" i="1"/>
  <c r="AK107" i="1"/>
  <c r="AE125" i="1"/>
  <c r="AK132" i="1"/>
  <c r="Y137" i="1"/>
  <c r="AW137" i="1" s="1"/>
  <c r="Y139" i="1"/>
  <c r="AW139" i="1" s="1"/>
  <c r="AR161" i="1"/>
  <c r="AK163" i="1"/>
  <c r="AK178" i="1"/>
  <c r="AU188" i="1"/>
  <c r="AE196" i="1"/>
  <c r="AA208" i="1"/>
  <c r="AO212" i="1"/>
  <c r="AK231" i="1"/>
  <c r="AL251" i="1"/>
  <c r="AE253" i="1"/>
  <c r="AU262" i="1"/>
  <c r="Z262" i="1"/>
  <c r="AL262" i="1" s="1"/>
  <c r="AK266" i="1"/>
  <c r="Z294" i="1"/>
  <c r="AO294" i="1" s="1"/>
  <c r="Y294" i="1"/>
  <c r="AW294" i="1" s="1"/>
  <c r="Y312" i="1"/>
  <c r="AW312" i="1" s="1"/>
  <c r="AU361" i="1"/>
  <c r="AK363" i="1"/>
  <c r="AA390" i="1"/>
  <c r="Y390" i="1"/>
  <c r="AW390" i="1" s="1"/>
  <c r="AE333" i="1"/>
  <c r="Z342" i="1"/>
  <c r="AO342" i="1" s="1"/>
  <c r="AU342" i="1"/>
  <c r="AU364" i="1"/>
  <c r="Z364" i="1"/>
  <c r="AR364" i="1" s="1"/>
  <c r="AU370" i="1"/>
  <c r="Z370" i="1"/>
  <c r="AL370" i="1" s="1"/>
  <c r="Y370" i="1"/>
  <c r="AW370" i="1" s="1"/>
  <c r="AA374" i="1"/>
  <c r="AP374" i="1" s="1"/>
  <c r="AU382" i="1"/>
  <c r="Z382" i="1"/>
  <c r="AE197" i="1"/>
  <c r="AF242" i="1"/>
  <c r="Y325" i="1"/>
  <c r="AW325" i="1" s="1"/>
  <c r="AF337" i="1"/>
  <c r="AU341" i="1"/>
  <c r="Z341" i="1"/>
  <c r="AL341" i="1" s="1"/>
  <c r="Y342" i="1"/>
  <c r="AW342" i="1" s="1"/>
  <c r="AE356" i="1"/>
  <c r="AU365" i="1"/>
  <c r="AA190" i="1"/>
  <c r="AG190" i="1" s="1"/>
  <c r="AE213" i="1"/>
  <c r="AA227" i="1"/>
  <c r="AG227" i="1" s="1"/>
  <c r="AA236" i="1"/>
  <c r="AE241" i="1"/>
  <c r="AA243" i="1"/>
  <c r="AE257" i="1"/>
  <c r="AE263" i="1"/>
  <c r="AU270" i="1"/>
  <c r="Z270" i="1"/>
  <c r="AL270" i="1" s="1"/>
  <c r="Y286" i="1"/>
  <c r="AW286" i="1" s="1"/>
  <c r="Z291" i="1"/>
  <c r="AF291" i="1" s="1"/>
  <c r="Y291" i="1"/>
  <c r="AW291" i="1" s="1"/>
  <c r="Y296" i="1"/>
  <c r="AW296" i="1" s="1"/>
  <c r="AE297" i="1"/>
  <c r="AE298" i="1"/>
  <c r="AK322" i="1"/>
  <c r="AK323" i="1"/>
  <c r="AU331" i="1"/>
  <c r="Z331" i="1"/>
  <c r="AF331" i="1" s="1"/>
  <c r="AE339" i="1"/>
  <c r="AA342" i="1"/>
  <c r="AP342" i="1" s="1"/>
  <c r="Z365" i="1"/>
  <c r="AU366" i="1"/>
  <c r="Y366" i="1"/>
  <c r="AW366" i="1" s="1"/>
  <c r="AU367" i="1"/>
  <c r="Z367" i="1"/>
  <c r="AO367" i="1" s="1"/>
  <c r="AU378" i="1"/>
  <c r="Y382" i="1"/>
  <c r="AW382" i="1" s="1"/>
  <c r="AE400" i="1"/>
  <c r="AU304" i="1"/>
  <c r="AK314" i="1"/>
  <c r="Z322" i="1"/>
  <c r="AL322" i="1" s="1"/>
  <c r="Y322" i="1"/>
  <c r="AW322" i="1" s="1"/>
  <c r="AU322" i="1"/>
  <c r="Y349" i="1"/>
  <c r="AW349" i="1" s="1"/>
  <c r="Z349" i="1"/>
  <c r="AF349" i="1" s="1"/>
  <c r="AU377" i="1"/>
  <c r="Z377" i="1"/>
  <c r="AK389" i="1"/>
  <c r="AL389" i="1"/>
  <c r="AK215" i="1"/>
  <c r="AK235" i="1"/>
  <c r="AK242" i="1"/>
  <c r="AK245" i="1"/>
  <c r="AE247" i="1"/>
  <c r="Z250" i="1"/>
  <c r="AL250" i="1" s="1"/>
  <c r="AE261" i="1"/>
  <c r="AK272" i="1"/>
  <c r="AK281" i="1"/>
  <c r="Z286" i="1"/>
  <c r="AR286" i="1" s="1"/>
  <c r="Z292" i="1"/>
  <c r="AO292" i="1" s="1"/>
  <c r="Y292" i="1"/>
  <c r="AW292" i="1" s="1"/>
  <c r="AA296" i="1"/>
  <c r="AB296" i="1" s="1"/>
  <c r="AK297" i="1"/>
  <c r="AK298" i="1"/>
  <c r="AU301" i="1"/>
  <c r="Z301" i="1"/>
  <c r="AL301" i="1" s="1"/>
  <c r="Y318" i="1"/>
  <c r="AW318" i="1" s="1"/>
  <c r="AL323" i="1"/>
  <c r="Y331" i="1"/>
  <c r="AW331" i="1" s="1"/>
  <c r="AK355" i="1"/>
  <c r="AL361" i="1"/>
  <c r="AK361" i="1"/>
  <c r="Z366" i="1"/>
  <c r="AO366" i="1" s="1"/>
  <c r="Y367" i="1"/>
  <c r="AW367" i="1" s="1"/>
  <c r="AE369" i="1"/>
  <c r="AE380" i="1"/>
  <c r="AE296" i="1"/>
  <c r="AF296" i="1"/>
  <c r="AU315" i="1"/>
  <c r="Z315" i="1"/>
  <c r="Z320" i="1"/>
  <c r="AO320" i="1" s="1"/>
  <c r="AU320" i="1"/>
  <c r="Y320" i="1"/>
  <c r="AW320" i="1" s="1"/>
  <c r="AU332" i="1"/>
  <c r="Z334" i="1"/>
  <c r="AL334" i="1" s="1"/>
  <c r="Y334" i="1"/>
  <c r="AW334" i="1" s="1"/>
  <c r="AK336" i="1"/>
  <c r="AK353" i="1"/>
  <c r="AU369" i="1"/>
  <c r="Z369" i="1"/>
  <c r="AF369" i="1" s="1"/>
  <c r="AU389" i="1"/>
  <c r="AK219" i="1"/>
  <c r="AE226" i="1"/>
  <c r="Y271" i="1"/>
  <c r="AW271" i="1" s="1"/>
  <c r="AK275" i="1"/>
  <c r="AK295" i="1"/>
  <c r="AE308" i="1"/>
  <c r="Y310" i="1"/>
  <c r="AW310" i="1" s="1"/>
  <c r="Y315" i="1"/>
  <c r="AW315" i="1" s="1"/>
  <c r="AO317" i="1"/>
  <c r="AE331" i="1"/>
  <c r="Y346" i="1"/>
  <c r="AW346" i="1" s="1"/>
  <c r="AF361" i="1"/>
  <c r="AU368" i="1"/>
  <c r="Z368" i="1"/>
  <c r="AF368" i="1" s="1"/>
  <c r="Y368" i="1"/>
  <c r="AW368" i="1" s="1"/>
  <c r="AE370" i="1"/>
  <c r="AK377" i="1"/>
  <c r="AK396" i="1"/>
  <c r="AE264" i="1"/>
  <c r="AF281" i="1"/>
  <c r="AR281" i="1"/>
  <c r="AU295" i="1"/>
  <c r="Y295" i="1"/>
  <c r="AW295" i="1" s="1"/>
  <c r="AE355" i="1"/>
  <c r="AE364" i="1"/>
  <c r="AE373" i="1"/>
  <c r="AF373" i="1"/>
  <c r="AE383" i="1"/>
  <c r="AK393" i="1"/>
  <c r="Z400" i="1"/>
  <c r="AR400" i="1" s="1"/>
  <c r="AU400" i="1"/>
  <c r="AE405" i="1"/>
  <c r="Y399" i="1"/>
  <c r="AW399" i="1" s="1"/>
  <c r="Y361" i="1"/>
  <c r="AW361" i="1" s="1"/>
  <c r="Y364" i="1"/>
  <c r="AW364" i="1" s="1"/>
  <c r="AK375" i="1"/>
  <c r="Y377" i="1"/>
  <c r="AW377" i="1" s="1"/>
  <c r="Y391" i="1"/>
  <c r="AW391" i="1" s="1"/>
  <c r="AE290" i="1"/>
  <c r="Y339" i="1"/>
  <c r="AW339" i="1" s="1"/>
  <c r="AK339" i="1"/>
  <c r="AK379" i="1"/>
  <c r="AK409" i="1"/>
  <c r="AR33" i="1"/>
  <c r="AL33" i="1"/>
  <c r="AF33" i="1"/>
  <c r="AO33" i="1"/>
  <c r="AA191" i="1"/>
  <c r="AM191" i="1" s="1"/>
  <c r="Y191" i="1"/>
  <c r="AW191" i="1" s="1"/>
  <c r="AK3" i="1"/>
  <c r="AE10" i="1"/>
  <c r="Y26" i="1"/>
  <c r="AW26" i="1" s="1"/>
  <c r="AU26" i="1"/>
  <c r="Z26" i="1"/>
  <c r="AF26" i="1" s="1"/>
  <c r="Z31" i="1"/>
  <c r="AF31" i="1" s="1"/>
  <c r="Y31" i="1"/>
  <c r="AW31" i="1" s="1"/>
  <c r="Y32" i="1"/>
  <c r="AW32" i="1" s="1"/>
  <c r="AA33" i="1"/>
  <c r="AE49" i="1"/>
  <c r="AA106" i="1"/>
  <c r="AE108" i="1"/>
  <c r="Z142" i="1"/>
  <c r="AU142" i="1"/>
  <c r="Y142" i="1"/>
  <c r="AW142" i="1" s="1"/>
  <c r="AA146" i="1"/>
  <c r="AM146" i="1" s="1"/>
  <c r="AK154" i="1"/>
  <c r="AK156" i="1"/>
  <c r="AK170" i="1"/>
  <c r="AU181" i="1"/>
  <c r="Z181" i="1"/>
  <c r="AK240" i="1"/>
  <c r="AK259" i="1"/>
  <c r="AE282" i="1"/>
  <c r="AK313" i="1"/>
  <c r="AK404" i="1"/>
  <c r="AK2" i="1"/>
  <c r="Z3" i="1"/>
  <c r="AL3" i="1" s="1"/>
  <c r="AK5" i="1"/>
  <c r="AE14" i="1"/>
  <c r="AE21" i="1"/>
  <c r="AK24" i="1"/>
  <c r="AA27" i="1"/>
  <c r="AM27" i="1" s="1"/>
  <c r="AE29" i="1"/>
  <c r="AR30" i="1"/>
  <c r="AK30" i="1"/>
  <c r="AL30" i="1"/>
  <c r="AE41" i="1"/>
  <c r="Z44" i="1"/>
  <c r="Y44" i="1"/>
  <c r="AW44" i="1" s="1"/>
  <c r="AK44" i="1"/>
  <c r="AU54" i="1"/>
  <c r="Z54" i="1"/>
  <c r="AL54" i="1" s="1"/>
  <c r="Y54" i="1"/>
  <c r="AW54" i="1" s="1"/>
  <c r="AE56" i="1"/>
  <c r="AU64" i="1"/>
  <c r="Y64" i="1"/>
  <c r="AW64" i="1" s="1"/>
  <c r="AK68" i="1"/>
  <c r="AR72" i="1"/>
  <c r="AO72" i="1"/>
  <c r="AK75" i="1"/>
  <c r="AU2" i="1"/>
  <c r="AF9" i="1"/>
  <c r="AE9" i="1"/>
  <c r="AE17" i="1"/>
  <c r="AF30" i="1"/>
  <c r="AU44" i="1"/>
  <c r="AK55" i="1"/>
  <c r="AA59" i="1"/>
  <c r="AM59" i="1" s="1"/>
  <c r="AE61" i="1"/>
  <c r="AF67" i="1"/>
  <c r="AE75" i="1"/>
  <c r="Y81" i="1"/>
  <c r="AW81" i="1" s="1"/>
  <c r="AU81" i="1"/>
  <c r="AO99" i="1"/>
  <c r="AL99" i="1"/>
  <c r="AR99" i="1"/>
  <c r="AU104" i="1"/>
  <c r="Y104" i="1"/>
  <c r="AW104" i="1" s="1"/>
  <c r="Z104" i="1"/>
  <c r="AL104" i="1" s="1"/>
  <c r="AO107" i="1"/>
  <c r="AF107" i="1"/>
  <c r="AR107" i="1"/>
  <c r="AK111" i="1"/>
  <c r="AK117" i="1"/>
  <c r="AL117" i="1"/>
  <c r="Z133" i="1"/>
  <c r="Y133" i="1"/>
  <c r="AW133" i="1" s="1"/>
  <c r="AU133" i="1"/>
  <c r="AK135" i="1"/>
  <c r="AA144" i="1"/>
  <c r="AE147" i="1"/>
  <c r="AA149" i="1"/>
  <c r="AL156" i="1"/>
  <c r="AU162" i="1"/>
  <c r="Z162" i="1"/>
  <c r="AK162" i="1"/>
  <c r="AL169" i="1"/>
  <c r="AK169" i="1"/>
  <c r="AA174" i="1"/>
  <c r="Y174" i="1"/>
  <c r="AW174" i="1" s="1"/>
  <c r="AK185" i="1"/>
  <c r="AE192" i="1"/>
  <c r="AE221" i="1"/>
  <c r="AE279" i="1"/>
  <c r="AA299" i="1"/>
  <c r="Y299" i="1"/>
  <c r="AW299" i="1" s="1"/>
  <c r="Z25" i="1"/>
  <c r="AF25" i="1" s="1"/>
  <c r="Y25" i="1"/>
  <c r="AW25" i="1" s="1"/>
  <c r="AK26" i="1"/>
  <c r="AE20" i="1"/>
  <c r="AU33" i="1"/>
  <c r="Y33" i="1"/>
  <c r="AW33" i="1" s="1"/>
  <c r="Y35" i="1"/>
  <c r="AW35" i="1" s="1"/>
  <c r="Z35" i="1"/>
  <c r="AL35" i="1" s="1"/>
  <c r="AA36" i="1"/>
  <c r="AG36" i="1" s="1"/>
  <c r="Z47" i="1"/>
  <c r="AL47" i="1" s="1"/>
  <c r="Y47" i="1"/>
  <c r="AW47" i="1" s="1"/>
  <c r="AU47" i="1"/>
  <c r="AF52" i="1"/>
  <c r="AE52" i="1"/>
  <c r="Z55" i="1"/>
  <c r="Y55" i="1"/>
  <c r="AW55" i="1" s="1"/>
  <c r="Z62" i="1"/>
  <c r="AL62" i="1" s="1"/>
  <c r="AU62" i="1"/>
  <c r="Y62" i="1"/>
  <c r="AW62" i="1" s="1"/>
  <c r="AE70" i="1"/>
  <c r="AK71" i="1"/>
  <c r="AA77" i="1"/>
  <c r="AO93" i="1"/>
  <c r="AF93" i="1"/>
  <c r="AF96" i="1"/>
  <c r="AE96" i="1"/>
  <c r="AK101" i="1"/>
  <c r="AU106" i="1"/>
  <c r="Z106" i="1"/>
  <c r="Y106" i="1"/>
  <c r="AW106" i="1" s="1"/>
  <c r="AK120" i="1"/>
  <c r="AE132" i="1"/>
  <c r="AO139" i="1"/>
  <c r="AR139" i="1"/>
  <c r="AE144" i="1"/>
  <c r="AU146" i="1"/>
  <c r="Z146" i="1"/>
  <c r="AL146" i="1" s="1"/>
  <c r="Y146" i="1"/>
  <c r="AW146" i="1" s="1"/>
  <c r="AF155" i="1"/>
  <c r="AE155" i="1"/>
  <c r="AA166" i="1"/>
  <c r="AM166" i="1" s="1"/>
  <c r="AR180" i="1"/>
  <c r="AO180" i="1"/>
  <c r="AK197" i="1"/>
  <c r="AK216" i="1"/>
  <c r="AE251" i="1"/>
  <c r="AA254" i="1"/>
  <c r="AK274" i="1"/>
  <c r="AE306" i="1"/>
  <c r="Z4" i="1"/>
  <c r="AU4" i="1"/>
  <c r="Y4" i="1"/>
  <c r="AW4" i="1" s="1"/>
  <c r="AK27" i="1"/>
  <c r="Y30" i="1"/>
  <c r="AW30" i="1" s="1"/>
  <c r="AK31" i="1"/>
  <c r="Y46" i="1"/>
  <c r="AW46" i="1" s="1"/>
  <c r="Z46" i="1"/>
  <c r="Y58" i="1"/>
  <c r="AW58" i="1" s="1"/>
  <c r="AA58" i="1"/>
  <c r="AK61" i="1"/>
  <c r="AK64" i="1"/>
  <c r="Z68" i="1"/>
  <c r="Y68" i="1"/>
  <c r="AW68" i="1" s="1"/>
  <c r="Y77" i="1"/>
  <c r="AW77" i="1" s="1"/>
  <c r="AO81" i="1"/>
  <c r="AF86" i="1"/>
  <c r="AE86" i="1"/>
  <c r="AF94" i="1"/>
  <c r="AE94" i="1"/>
  <c r="Y152" i="1"/>
  <c r="AW152" i="1" s="1"/>
  <c r="Z152" i="1"/>
  <c r="Z158" i="1"/>
  <c r="Y158" i="1"/>
  <c r="AW158" i="1" s="1"/>
  <c r="AU158" i="1"/>
  <c r="AA220" i="1"/>
  <c r="AE224" i="1"/>
  <c r="AU100" i="1"/>
  <c r="Y100" i="1"/>
  <c r="AW100" i="1" s="1"/>
  <c r="Z100" i="1"/>
  <c r="AE112" i="1"/>
  <c r="AK118" i="1"/>
  <c r="AA119" i="1"/>
  <c r="AM119" i="1" s="1"/>
  <c r="AU125" i="1"/>
  <c r="Y125" i="1"/>
  <c r="AW125" i="1" s="1"/>
  <c r="Z125" i="1"/>
  <c r="AE130" i="1"/>
  <c r="AK137" i="1"/>
  <c r="AK143" i="1"/>
  <c r="AU154" i="1"/>
  <c r="Y154" i="1"/>
  <c r="AW154" i="1" s="1"/>
  <c r="Z154" i="1"/>
  <c r="AL154" i="1" s="1"/>
  <c r="AA167" i="1"/>
  <c r="Y167" i="1"/>
  <c r="AW167" i="1" s="1"/>
  <c r="AE172" i="1"/>
  <c r="Z176" i="1"/>
  <c r="AF176" i="1" s="1"/>
  <c r="Y176" i="1"/>
  <c r="AW176" i="1" s="1"/>
  <c r="AR179" i="1"/>
  <c r="AO179" i="1"/>
  <c r="AL179" i="1"/>
  <c r="AK205" i="1"/>
  <c r="AK218" i="1"/>
  <c r="AK238" i="1"/>
  <c r="AF272" i="1"/>
  <c r="AE272" i="1"/>
  <c r="AE318" i="1"/>
  <c r="AS3" i="1"/>
  <c r="AU11" i="1"/>
  <c r="Z11" i="1"/>
  <c r="AL11" i="1" s="1"/>
  <c r="AK15" i="1"/>
  <c r="Y16" i="1"/>
  <c r="AW16" i="1" s="1"/>
  <c r="AA30" i="1"/>
  <c r="AA32" i="1"/>
  <c r="AK34" i="1"/>
  <c r="AE36" i="1"/>
  <c r="AE42" i="1"/>
  <c r="AA44" i="1"/>
  <c r="AK45" i="1"/>
  <c r="AA54" i="1"/>
  <c r="AE59" i="1"/>
  <c r="AL76" i="1"/>
  <c r="AE78" i="1"/>
  <c r="AR81" i="1"/>
  <c r="Y83" i="1"/>
  <c r="AW83" i="1" s="1"/>
  <c r="AA87" i="1"/>
  <c r="AM87" i="1" s="1"/>
  <c r="Y87" i="1"/>
  <c r="AW87" i="1" s="1"/>
  <c r="AE98" i="1"/>
  <c r="AK100" i="1"/>
  <c r="Y113" i="1"/>
  <c r="AW113" i="1" s="1"/>
  <c r="Z113" i="1"/>
  <c r="AK113" i="1"/>
  <c r="AE121" i="1"/>
  <c r="AE128" i="1"/>
  <c r="AE142" i="1"/>
  <c r="AA143" i="1"/>
  <c r="AU152" i="1"/>
  <c r="AR156" i="1"/>
  <c r="AO156" i="1"/>
  <c r="Z178" i="1"/>
  <c r="Y178" i="1"/>
  <c r="AW178" i="1" s="1"/>
  <c r="Y181" i="1"/>
  <c r="AW181" i="1" s="1"/>
  <c r="AA195" i="1"/>
  <c r="AM195" i="1" s="1"/>
  <c r="Z205" i="1"/>
  <c r="Y205" i="1"/>
  <c r="AW205" i="1" s="1"/>
  <c r="AU205" i="1"/>
  <c r="AE252" i="1"/>
  <c r="Z284" i="1"/>
  <c r="Y284" i="1"/>
  <c r="AW284" i="1" s="1"/>
  <c r="AU284" i="1"/>
  <c r="AK293" i="1"/>
  <c r="AK330" i="1"/>
  <c r="AR9" i="1"/>
  <c r="AL9" i="1"/>
  <c r="AL12" i="1"/>
  <c r="AF12" i="1"/>
  <c r="AK14" i="1"/>
  <c r="AU19" i="1"/>
  <c r="Y19" i="1"/>
  <c r="AW19" i="1" s="1"/>
  <c r="Z20" i="1"/>
  <c r="AF20" i="1" s="1"/>
  <c r="AU20" i="1"/>
  <c r="AU22" i="1"/>
  <c r="Z22" i="1"/>
  <c r="AE25" i="1"/>
  <c r="AK28" i="1"/>
  <c r="AU35" i="1"/>
  <c r="AE38" i="1"/>
  <c r="AE39" i="1"/>
  <c r="AU43" i="1"/>
  <c r="Z43" i="1"/>
  <c r="Y43" i="1"/>
  <c r="AW43" i="1" s="1"/>
  <c r="AE47" i="1"/>
  <c r="Y50" i="1"/>
  <c r="AW50" i="1" s="1"/>
  <c r="Z50" i="1"/>
  <c r="AF50" i="1" s="1"/>
  <c r="AU50" i="1"/>
  <c r="AU55" i="1"/>
  <c r="Y57" i="1"/>
  <c r="AW57" i="1" s="1"/>
  <c r="AU57" i="1"/>
  <c r="Z57" i="1"/>
  <c r="AF57" i="1" s="1"/>
  <c r="AE62" i="1"/>
  <c r="Z64" i="1"/>
  <c r="AE65" i="1"/>
  <c r="Z70" i="1"/>
  <c r="AF70" i="1" s="1"/>
  <c r="Y70" i="1"/>
  <c r="AW70" i="1" s="1"/>
  <c r="AK70" i="1"/>
  <c r="AF72" i="1"/>
  <c r="AE72" i="1"/>
  <c r="AE73" i="1"/>
  <c r="AO76" i="1"/>
  <c r="AR76" i="1"/>
  <c r="AK82" i="1"/>
  <c r="Z83" i="1"/>
  <c r="AF90" i="1"/>
  <c r="AE90" i="1"/>
  <c r="AK91" i="1"/>
  <c r="Y115" i="1"/>
  <c r="AW115" i="1" s="1"/>
  <c r="AU115" i="1"/>
  <c r="AK115" i="1"/>
  <c r="Y120" i="1"/>
  <c r="AW120" i="1" s="1"/>
  <c r="AA120" i="1"/>
  <c r="AG120" i="1" s="1"/>
  <c r="Y143" i="1"/>
  <c r="AW143" i="1" s="1"/>
  <c r="AK147" i="1"/>
  <c r="AK155" i="1"/>
  <c r="AU176" i="1"/>
  <c r="AK183" i="1"/>
  <c r="AE188" i="1"/>
  <c r="Z195" i="1"/>
  <c r="AU195" i="1"/>
  <c r="Y198" i="1"/>
  <c r="AW198" i="1" s="1"/>
  <c r="AA198" i="1"/>
  <c r="AM198" i="1" s="1"/>
  <c r="Z202" i="1"/>
  <c r="Y202" i="1"/>
  <c r="AW202" i="1" s="1"/>
  <c r="AU202" i="1"/>
  <c r="AA209" i="1"/>
  <c r="AM209" i="1" s="1"/>
  <c r="AK222" i="1"/>
  <c r="AE231" i="1"/>
  <c r="AU235" i="1"/>
  <c r="Z235" i="1"/>
  <c r="AF235" i="1" s="1"/>
  <c r="Y235" i="1"/>
  <c r="AW235" i="1" s="1"/>
  <c r="AK346" i="1"/>
  <c r="Y403" i="1"/>
  <c r="AW403" i="1" s="1"/>
  <c r="Z403" i="1"/>
  <c r="AF403" i="1" s="1"/>
  <c r="AU403" i="1"/>
  <c r="AE4" i="1"/>
  <c r="AR6" i="1"/>
  <c r="AO6" i="1"/>
  <c r="AF6" i="1"/>
  <c r="AL6" i="1"/>
  <c r="AA8" i="1"/>
  <c r="AK8" i="1"/>
  <c r="Y11" i="1"/>
  <c r="AW11" i="1" s="1"/>
  <c r="AA12" i="1"/>
  <c r="Y14" i="1"/>
  <c r="AW14" i="1" s="1"/>
  <c r="Z14" i="1"/>
  <c r="AL14" i="1" s="1"/>
  <c r="AA16" i="1"/>
  <c r="AK16" i="1"/>
  <c r="Y18" i="1"/>
  <c r="AW18" i="1" s="1"/>
  <c r="Z18" i="1"/>
  <c r="AK19" i="1"/>
  <c r="AS22" i="1"/>
  <c r="AM22" i="1"/>
  <c r="AE24" i="1"/>
  <c r="AO30" i="1"/>
  <c r="AR34" i="1"/>
  <c r="AA43" i="1"/>
  <c r="AU46" i="1"/>
  <c r="AK48" i="1"/>
  <c r="AA52" i="1"/>
  <c r="AK53" i="1"/>
  <c r="AF58" i="1"/>
  <c r="AU68" i="1"/>
  <c r="AK73" i="1"/>
  <c r="AK79" i="1"/>
  <c r="AU82" i="1"/>
  <c r="Y82" i="1"/>
  <c r="AW82" i="1" s="1"/>
  <c r="Z82" i="1"/>
  <c r="AL82" i="1" s="1"/>
  <c r="AE84" i="1"/>
  <c r="Y88" i="1"/>
  <c r="AW88" i="1" s="1"/>
  <c r="AE89" i="1"/>
  <c r="Z91" i="1"/>
  <c r="Y91" i="1"/>
  <c r="AW91" i="1" s="1"/>
  <c r="AE92" i="1"/>
  <c r="AK95" i="1"/>
  <c r="AK102" i="1"/>
  <c r="AO105" i="1"/>
  <c r="AS107" i="1"/>
  <c r="Y109" i="1"/>
  <c r="AW109" i="1" s="1"/>
  <c r="AU124" i="1"/>
  <c r="Z124" i="1"/>
  <c r="AF124" i="1" s="1"/>
  <c r="Y124" i="1"/>
  <c r="AW124" i="1" s="1"/>
  <c r="AE129" i="1"/>
  <c r="AK133" i="1"/>
  <c r="AK139" i="1"/>
  <c r="Y141" i="1"/>
  <c r="AW141" i="1" s="1"/>
  <c r="AK153" i="1"/>
  <c r="AU171" i="1"/>
  <c r="Z171" i="1"/>
  <c r="Y171" i="1"/>
  <c r="AW171" i="1" s="1"/>
  <c r="AU186" i="1"/>
  <c r="Z186" i="1"/>
  <c r="AL186" i="1" s="1"/>
  <c r="Y186" i="1"/>
  <c r="AW186" i="1" s="1"/>
  <c r="AK196" i="1"/>
  <c r="AA197" i="1"/>
  <c r="AE207" i="1"/>
  <c r="AF275" i="1"/>
  <c r="AE275" i="1"/>
  <c r="Y280" i="1"/>
  <c r="AW280" i="1" s="1"/>
  <c r="AU280" i="1"/>
  <c r="Z280" i="1"/>
  <c r="AL280" i="1" s="1"/>
  <c r="Y281" i="1"/>
  <c r="AW281" i="1" s="1"/>
  <c r="AA281" i="1"/>
  <c r="AE352" i="1"/>
  <c r="AA353" i="1"/>
  <c r="AM353" i="1" s="1"/>
  <c r="Y353" i="1"/>
  <c r="AW353" i="1" s="1"/>
  <c r="AU3" i="1"/>
  <c r="AE5" i="1"/>
  <c r="Y8" i="1"/>
  <c r="AW8" i="1" s="1"/>
  <c r="Y9" i="1"/>
  <c r="AW9" i="1" s="1"/>
  <c r="AO9" i="1"/>
  <c r="Y12" i="1"/>
  <c r="AW12" i="1" s="1"/>
  <c r="AK12" i="1"/>
  <c r="AA15" i="1"/>
  <c r="AM15" i="1" s="1"/>
  <c r="Z19" i="1"/>
  <c r="Y20" i="1"/>
  <c r="AW20" i="1" s="1"/>
  <c r="Y22" i="1"/>
  <c r="AW22" i="1" s="1"/>
  <c r="Z23" i="1"/>
  <c r="Y23" i="1"/>
  <c r="AW23" i="1" s="1"/>
  <c r="AU23" i="1"/>
  <c r="AU25" i="1"/>
  <c r="AE26" i="1"/>
  <c r="AU31" i="1"/>
  <c r="AE46" i="1"/>
  <c r="AK47" i="1"/>
  <c r="Y48" i="1"/>
  <c r="AW48" i="1" s="1"/>
  <c r="Y51" i="1"/>
  <c r="AW51" i="1" s="1"/>
  <c r="AK51" i="1"/>
  <c r="Y52" i="1"/>
  <c r="AW52" i="1" s="1"/>
  <c r="AA57" i="1"/>
  <c r="AM57" i="1" s="1"/>
  <c r="AK62" i="1"/>
  <c r="Y66" i="1"/>
  <c r="AW66" i="1" s="1"/>
  <c r="AE71" i="1"/>
  <c r="AA79" i="1"/>
  <c r="AF81" i="1"/>
  <c r="AA91" i="1"/>
  <c r="AM91" i="1" s="1"/>
  <c r="Y93" i="1"/>
  <c r="AW93" i="1" s="1"/>
  <c r="AU93" i="1"/>
  <c r="AK93" i="1"/>
  <c r="AL93" i="1"/>
  <c r="AR96" i="1"/>
  <c r="AO96" i="1"/>
  <c r="AL96" i="1"/>
  <c r="AR105" i="1"/>
  <c r="Y107" i="1"/>
  <c r="AW107" i="1" s="1"/>
  <c r="AL107" i="1"/>
  <c r="AU113" i="1"/>
  <c r="Z115" i="1"/>
  <c r="AF115" i="1" s="1"/>
  <c r="AE116" i="1"/>
  <c r="AE120" i="1"/>
  <c r="Z126" i="1"/>
  <c r="AL126" i="1" s="1"/>
  <c r="AU126" i="1"/>
  <c r="AK126" i="1"/>
  <c r="AE127" i="1"/>
  <c r="AE134" i="1"/>
  <c r="AL139" i="1"/>
  <c r="AU149" i="1"/>
  <c r="Z149" i="1"/>
  <c r="Y149" i="1"/>
  <c r="AW149" i="1" s="1"/>
  <c r="AU168" i="1"/>
  <c r="Y168" i="1"/>
  <c r="AW168" i="1" s="1"/>
  <c r="Z168" i="1"/>
  <c r="AL168" i="1" s="1"/>
  <c r="AE169" i="1"/>
  <c r="AL180" i="1"/>
  <c r="AE195" i="1"/>
  <c r="AE200" i="1"/>
  <c r="AR239" i="1"/>
  <c r="AO239" i="1"/>
  <c r="AF239" i="1"/>
  <c r="AA242" i="1"/>
  <c r="Z249" i="1"/>
  <c r="AL249" i="1" s="1"/>
  <c r="Y249" i="1"/>
  <c r="AW249" i="1" s="1"/>
  <c r="AU249" i="1"/>
  <c r="AF273" i="1"/>
  <c r="AR273" i="1"/>
  <c r="AO273" i="1"/>
  <c r="AA316" i="1"/>
  <c r="Y316" i="1"/>
  <c r="AW316" i="1" s="1"/>
  <c r="AK351" i="1"/>
  <c r="AE389" i="1"/>
  <c r="AF389" i="1"/>
  <c r="AE66" i="1"/>
  <c r="AA85" i="1"/>
  <c r="AP86" i="1"/>
  <c r="AS86" i="1"/>
  <c r="AM86" i="1"/>
  <c r="Y89" i="1"/>
  <c r="AW89" i="1" s="1"/>
  <c r="Z89" i="1"/>
  <c r="AU89" i="1"/>
  <c r="AE95" i="1"/>
  <c r="AA99" i="1"/>
  <c r="Y105" i="1"/>
  <c r="AW105" i="1" s="1"/>
  <c r="AU105" i="1"/>
  <c r="AL105" i="1"/>
  <c r="AK105" i="1"/>
  <c r="AK141" i="1"/>
  <c r="AK148" i="1"/>
  <c r="AE151" i="1"/>
  <c r="Y153" i="1"/>
  <c r="AW153" i="1" s="1"/>
  <c r="AU153" i="1"/>
  <c r="Z153" i="1"/>
  <c r="AL153" i="1" s="1"/>
  <c r="AK158" i="1"/>
  <c r="Z166" i="1"/>
  <c r="Y166" i="1"/>
  <c r="AW166" i="1" s="1"/>
  <c r="Y184" i="1"/>
  <c r="AW184" i="1" s="1"/>
  <c r="AU184" i="1"/>
  <c r="Z184" i="1"/>
  <c r="AU194" i="1"/>
  <c r="Y194" i="1"/>
  <c r="AW194" i="1" s="1"/>
  <c r="Z194" i="1"/>
  <c r="AU197" i="1"/>
  <c r="Z197" i="1"/>
  <c r="Y197" i="1"/>
  <c r="AW197" i="1" s="1"/>
  <c r="AE210" i="1"/>
  <c r="AE214" i="1"/>
  <c r="AK227" i="1"/>
  <c r="AE229" i="1"/>
  <c r="AR271" i="1"/>
  <c r="AO271" i="1"/>
  <c r="AL271" i="1"/>
  <c r="AF271" i="1"/>
  <c r="AE115" i="1"/>
  <c r="AO117" i="1"/>
  <c r="AF117" i="1"/>
  <c r="AE118" i="1"/>
  <c r="AK124" i="1"/>
  <c r="AK129" i="1"/>
  <c r="Z131" i="1"/>
  <c r="AU131" i="1"/>
  <c r="Y131" i="1"/>
  <c r="AW131" i="1" s="1"/>
  <c r="Z132" i="1"/>
  <c r="AF132" i="1" s="1"/>
  <c r="Y132" i="1"/>
  <c r="AW132" i="1" s="1"/>
  <c r="AE140" i="1"/>
  <c r="AF161" i="1"/>
  <c r="AE161" i="1"/>
  <c r="AK165" i="1"/>
  <c r="AA168" i="1"/>
  <c r="AU170" i="1"/>
  <c r="Z170" i="1"/>
  <c r="Y170" i="1"/>
  <c r="AW170" i="1" s="1"/>
  <c r="AU172" i="1"/>
  <c r="Y172" i="1"/>
  <c r="AW172" i="1" s="1"/>
  <c r="Z172" i="1"/>
  <c r="AF172" i="1" s="1"/>
  <c r="AF179" i="1"/>
  <c r="AA187" i="1"/>
  <c r="Y187" i="1"/>
  <c r="AW187" i="1" s="1"/>
  <c r="Z190" i="1"/>
  <c r="AF190" i="1" s="1"/>
  <c r="AU190" i="1"/>
  <c r="Y190" i="1"/>
  <c r="AW190" i="1" s="1"/>
  <c r="AK193" i="1"/>
  <c r="AU218" i="1"/>
  <c r="Y218" i="1"/>
  <c r="AW218" i="1" s="1"/>
  <c r="Z218" i="1"/>
  <c r="AA222" i="1"/>
  <c r="AM222" i="1" s="1"/>
  <c r="Y222" i="1"/>
  <c r="AW222" i="1" s="1"/>
  <c r="Y224" i="1"/>
  <c r="AW224" i="1" s="1"/>
  <c r="Z224" i="1"/>
  <c r="AL224" i="1" s="1"/>
  <c r="AU224" i="1"/>
  <c r="Z236" i="1"/>
  <c r="Y236" i="1"/>
  <c r="AW236" i="1" s="1"/>
  <c r="AU236" i="1"/>
  <c r="Y307" i="1"/>
  <c r="AW307" i="1" s="1"/>
  <c r="AU307" i="1"/>
  <c r="Z307" i="1"/>
  <c r="AL307" i="1" s="1"/>
  <c r="Y309" i="1"/>
  <c r="AW309" i="1" s="1"/>
  <c r="AA309" i="1"/>
  <c r="AO319" i="1"/>
  <c r="AR319" i="1"/>
  <c r="AL319" i="1"/>
  <c r="AE372" i="1"/>
  <c r="Z15" i="1"/>
  <c r="Y15" i="1"/>
  <c r="AW15" i="1" s="1"/>
  <c r="AU15" i="1"/>
  <c r="AE31" i="1"/>
  <c r="AU34" i="1"/>
  <c r="AK35" i="1"/>
  <c r="Z36" i="1"/>
  <c r="AU36" i="1"/>
  <c r="Y36" i="1"/>
  <c r="AW36" i="1" s="1"/>
  <c r="AK37" i="1"/>
  <c r="AA40" i="1"/>
  <c r="AK40" i="1"/>
  <c r="AA47" i="1"/>
  <c r="AG47" i="1" s="1"/>
  <c r="AE53" i="1"/>
  <c r="AU60" i="1"/>
  <c r="Z60" i="1"/>
  <c r="AF60" i="1" s="1"/>
  <c r="Y60" i="1"/>
  <c r="AW60" i="1" s="1"/>
  <c r="AE63" i="1"/>
  <c r="AE74" i="1"/>
  <c r="AF76" i="1"/>
  <c r="AE76" i="1"/>
  <c r="AL81" i="1"/>
  <c r="AK81" i="1"/>
  <c r="AA103" i="1"/>
  <c r="AM103" i="1" s="1"/>
  <c r="AK103" i="1"/>
  <c r="Y111" i="1"/>
  <c r="AW111" i="1" s="1"/>
  <c r="AA111" i="1"/>
  <c r="AG111" i="1" s="1"/>
  <c r="AR117" i="1"/>
  <c r="AA122" i="1"/>
  <c r="AK122" i="1"/>
  <c r="AK123" i="1"/>
  <c r="Y129" i="1"/>
  <c r="AW129" i="1" s="1"/>
  <c r="Z129" i="1"/>
  <c r="AL129" i="1" s="1"/>
  <c r="AA131" i="1"/>
  <c r="Y138" i="1"/>
  <c r="AW138" i="1" s="1"/>
  <c r="Z138" i="1"/>
  <c r="AF138" i="1" s="1"/>
  <c r="AU138" i="1"/>
  <c r="AU144" i="1"/>
  <c r="Z144" i="1"/>
  <c r="AL144" i="1" s="1"/>
  <c r="Y144" i="1"/>
  <c r="AW144" i="1" s="1"/>
  <c r="AO145" i="1"/>
  <c r="AR145" i="1"/>
  <c r="AF145" i="1"/>
  <c r="AA151" i="1"/>
  <c r="AM151" i="1" s="1"/>
  <c r="AE152" i="1"/>
  <c r="Y155" i="1"/>
  <c r="AW155" i="1" s="1"/>
  <c r="Y157" i="1"/>
  <c r="AW157" i="1" s="1"/>
  <c r="AU157" i="1"/>
  <c r="Z157" i="1"/>
  <c r="AE160" i="1"/>
  <c r="AK167" i="1"/>
  <c r="AF180" i="1"/>
  <c r="AE180" i="1"/>
  <c r="AA182" i="1"/>
  <c r="AM182" i="1" s="1"/>
  <c r="AK182" i="1"/>
  <c r="AE185" i="1"/>
  <c r="Y193" i="1"/>
  <c r="AW193" i="1" s="1"/>
  <c r="AU193" i="1"/>
  <c r="Z193" i="1"/>
  <c r="AL193" i="1" s="1"/>
  <c r="Z204" i="1"/>
  <c r="AU204" i="1"/>
  <c r="Y204" i="1"/>
  <c r="AW204" i="1" s="1"/>
  <c r="AA207" i="1"/>
  <c r="AA218" i="1"/>
  <c r="AE243" i="1"/>
  <c r="AA244" i="1"/>
  <c r="AG244" i="1" s="1"/>
  <c r="Y244" i="1"/>
  <c r="AW244" i="1" s="1"/>
  <c r="AK255" i="1"/>
  <c r="AE256" i="1"/>
  <c r="Y262" i="1"/>
  <c r="AW262" i="1" s="1"/>
  <c r="AA262" i="1"/>
  <c r="Z268" i="1"/>
  <c r="Y268" i="1"/>
  <c r="AW268" i="1" s="1"/>
  <c r="AU268" i="1"/>
  <c r="AK284" i="1"/>
  <c r="AE299" i="1"/>
  <c r="AK318" i="1"/>
  <c r="AK332" i="1"/>
  <c r="AK334" i="1"/>
  <c r="AE37" i="1"/>
  <c r="Y56" i="1"/>
  <c r="AW56" i="1" s="1"/>
  <c r="Y67" i="1"/>
  <c r="AW67" i="1" s="1"/>
  <c r="AU67" i="1"/>
  <c r="AA69" i="1"/>
  <c r="AG69" i="1" s="1"/>
  <c r="AU74" i="1"/>
  <c r="AL77" i="1"/>
  <c r="Y80" i="1"/>
  <c r="AW80" i="1" s="1"/>
  <c r="AB86" i="1"/>
  <c r="AU86" i="1"/>
  <c r="AE87" i="1"/>
  <c r="AE97" i="1"/>
  <c r="AK104" i="1"/>
  <c r="Y108" i="1"/>
  <c r="AW108" i="1" s="1"/>
  <c r="AE111" i="1"/>
  <c r="AA114" i="1"/>
  <c r="AA118" i="1"/>
  <c r="Y123" i="1"/>
  <c r="AW123" i="1" s="1"/>
  <c r="AK125" i="1"/>
  <c r="AE135" i="1"/>
  <c r="Z136" i="1"/>
  <c r="AA142" i="1"/>
  <c r="Y145" i="1"/>
  <c r="AW145" i="1" s="1"/>
  <c r="AU145" i="1"/>
  <c r="Y150" i="1"/>
  <c r="AW150" i="1" s="1"/>
  <c r="AU155" i="1"/>
  <c r="Y173" i="1"/>
  <c r="AW173" i="1" s="1"/>
  <c r="AA179" i="1"/>
  <c r="AG179" i="1" s="1"/>
  <c r="AE184" i="1"/>
  <c r="AR187" i="1"/>
  <c r="AA189" i="1"/>
  <c r="AM189" i="1" s="1"/>
  <c r="AL189" i="1"/>
  <c r="Y199" i="1"/>
  <c r="AW199" i="1" s="1"/>
  <c r="AF201" i="1"/>
  <c r="AO201" i="1"/>
  <c r="Y208" i="1"/>
  <c r="AW208" i="1" s="1"/>
  <c r="Z208" i="1"/>
  <c r="Y209" i="1"/>
  <c r="AW209" i="1" s="1"/>
  <c r="Z209" i="1"/>
  <c r="AL209" i="1" s="1"/>
  <c r="Z220" i="1"/>
  <c r="Y220" i="1"/>
  <c r="AW220" i="1" s="1"/>
  <c r="Y221" i="1"/>
  <c r="AW221" i="1" s="1"/>
  <c r="AE222" i="1"/>
  <c r="AR225" i="1"/>
  <c r="AF225" i="1"/>
  <c r="AO225" i="1"/>
  <c r="Z237" i="1"/>
  <c r="Y237" i="1"/>
  <c r="AW237" i="1" s="1"/>
  <c r="AU237" i="1"/>
  <c r="AE244" i="1"/>
  <c r="Z245" i="1"/>
  <c r="AL245" i="1" s="1"/>
  <c r="AU245" i="1"/>
  <c r="Y245" i="1"/>
  <c r="AW245" i="1" s="1"/>
  <c r="Y251" i="1"/>
  <c r="AW251" i="1" s="1"/>
  <c r="AE267" i="1"/>
  <c r="AF283" i="1"/>
  <c r="AR283" i="1"/>
  <c r="AO283" i="1"/>
  <c r="AL283" i="1"/>
  <c r="AU283" i="1"/>
  <c r="AE289" i="1"/>
  <c r="AK309" i="1"/>
  <c r="AE310" i="1"/>
  <c r="Y319" i="1"/>
  <c r="AW319" i="1" s="1"/>
  <c r="AU319" i="1"/>
  <c r="AE322" i="1"/>
  <c r="AL345" i="1"/>
  <c r="AK345" i="1"/>
  <c r="AA407" i="1"/>
  <c r="AM407" i="1" s="1"/>
  <c r="Y407" i="1"/>
  <c r="AW407" i="1" s="1"/>
  <c r="AK372" i="1"/>
  <c r="AE164" i="1"/>
  <c r="Y177" i="1"/>
  <c r="AW177" i="1" s="1"/>
  <c r="Z177" i="1"/>
  <c r="AU177" i="1"/>
  <c r="AK186" i="1"/>
  <c r="Y200" i="1"/>
  <c r="AW200" i="1" s="1"/>
  <c r="AU200" i="1"/>
  <c r="Z200" i="1"/>
  <c r="AK211" i="1"/>
  <c r="Y216" i="1"/>
  <c r="AW216" i="1" s="1"/>
  <c r="Z216" i="1"/>
  <c r="AL216" i="1" s="1"/>
  <c r="AE219" i="1"/>
  <c r="AA225" i="1"/>
  <c r="AE228" i="1"/>
  <c r="AK234" i="1"/>
  <c r="AE240" i="1"/>
  <c r="AR251" i="1"/>
  <c r="AO251" i="1"/>
  <c r="AK256" i="1"/>
  <c r="AU266" i="1"/>
  <c r="Y266" i="1"/>
  <c r="AW266" i="1" s="1"/>
  <c r="Z266" i="1"/>
  <c r="AF266" i="1" s="1"/>
  <c r="AA269" i="1"/>
  <c r="AM269" i="1" s="1"/>
  <c r="AE280" i="1"/>
  <c r="AF295" i="1"/>
  <c r="Y303" i="1"/>
  <c r="AW303" i="1" s="1"/>
  <c r="Z303" i="1"/>
  <c r="AL303" i="1" s="1"/>
  <c r="AU303" i="1"/>
  <c r="AE304" i="1"/>
  <c r="AE305" i="1"/>
  <c r="Z306" i="1"/>
  <c r="AF306" i="1" s="1"/>
  <c r="Y306" i="1"/>
  <c r="AW306" i="1" s="1"/>
  <c r="AK315" i="1"/>
  <c r="Z330" i="1"/>
  <c r="AL330" i="1" s="1"/>
  <c r="AU330" i="1"/>
  <c r="AL239" i="1"/>
  <c r="AK243" i="1"/>
  <c r="AA253" i="1"/>
  <c r="AM253" i="1" s="1"/>
  <c r="Y253" i="1"/>
  <c r="AW253" i="1" s="1"/>
  <c r="AA255" i="1"/>
  <c r="Y255" i="1"/>
  <c r="AW255" i="1" s="1"/>
  <c r="AE258" i="1"/>
  <c r="AU259" i="1"/>
  <c r="Z259" i="1"/>
  <c r="Z263" i="1"/>
  <c r="AU263" i="1"/>
  <c r="AK263" i="1"/>
  <c r="AE265" i="1"/>
  <c r="Z269" i="1"/>
  <c r="Y269" i="1"/>
  <c r="AW269" i="1" s="1"/>
  <c r="AU269" i="1"/>
  <c r="AE270" i="1"/>
  <c r="Z278" i="1"/>
  <c r="Y278" i="1"/>
  <c r="AW278" i="1" s="1"/>
  <c r="AU289" i="1"/>
  <c r="Z289" i="1"/>
  <c r="AL289" i="1" s="1"/>
  <c r="Y289" i="1"/>
  <c r="AW289" i="1" s="1"/>
  <c r="AK294" i="1"/>
  <c r="AA301" i="1"/>
  <c r="AM301" i="1" s="1"/>
  <c r="Y301" i="1"/>
  <c r="AW301" i="1" s="1"/>
  <c r="AK306" i="1"/>
  <c r="AM306" i="1"/>
  <c r="Z7" i="1"/>
  <c r="AF7" i="1" s="1"/>
  <c r="Y7" i="1"/>
  <c r="AW7" i="1" s="1"/>
  <c r="AE13" i="1"/>
  <c r="AF34" i="1"/>
  <c r="Z39" i="1"/>
  <c r="AF39" i="1" s="1"/>
  <c r="Y39" i="1"/>
  <c r="AW39" i="1" s="1"/>
  <c r="AE45" i="1"/>
  <c r="AK60" i="1"/>
  <c r="AB67" i="1"/>
  <c r="AR67" i="1"/>
  <c r="Z69" i="1"/>
  <c r="Y69" i="1"/>
  <c r="AW69" i="1" s="1"/>
  <c r="AU69" i="1"/>
  <c r="Z102" i="1"/>
  <c r="AU102" i="1"/>
  <c r="Z114" i="1"/>
  <c r="AL114" i="1" s="1"/>
  <c r="Y114" i="1"/>
  <c r="AW114" i="1" s="1"/>
  <c r="AU114" i="1"/>
  <c r="AE119" i="1"/>
  <c r="AF139" i="1"/>
  <c r="AU150" i="1"/>
  <c r="AA154" i="1"/>
  <c r="AM154" i="1" s="1"/>
  <c r="AK11" i="1"/>
  <c r="AK43" i="1"/>
  <c r="AL58" i="1"/>
  <c r="AU65" i="1"/>
  <c r="AF99" i="1"/>
  <c r="AE99" i="1"/>
  <c r="AK106" i="1"/>
  <c r="Z110" i="1"/>
  <c r="Y110" i="1"/>
  <c r="AW110" i="1" s="1"/>
  <c r="Z112" i="1"/>
  <c r="AF112" i="1" s="1"/>
  <c r="Y112" i="1"/>
  <c r="AW112" i="1" s="1"/>
  <c r="Y118" i="1"/>
  <c r="AW118" i="1" s="1"/>
  <c r="AA123" i="1"/>
  <c r="AM123" i="1" s="1"/>
  <c r="Y127" i="1"/>
  <c r="AW127" i="1" s="1"/>
  <c r="Z134" i="1"/>
  <c r="Y134" i="1"/>
  <c r="AW134" i="1" s="1"/>
  <c r="AU136" i="1"/>
  <c r="AK146" i="1"/>
  <c r="AF156" i="1"/>
  <c r="AE156" i="1"/>
  <c r="AA163" i="1"/>
  <c r="AM163" i="1" s="1"/>
  <c r="AO169" i="1"/>
  <c r="AF169" i="1"/>
  <c r="AA173" i="1"/>
  <c r="AM173" i="1" s="1"/>
  <c r="AE175" i="1"/>
  <c r="AL187" i="1"/>
  <c r="AK188" i="1"/>
  <c r="Y189" i="1"/>
  <c r="AW189" i="1" s="1"/>
  <c r="Y201" i="1"/>
  <c r="AW201" i="1" s="1"/>
  <c r="AL201" i="1"/>
  <c r="AK201" i="1"/>
  <c r="AK203" i="1"/>
  <c r="AK210" i="1"/>
  <c r="AE218" i="1"/>
  <c r="Y225" i="1"/>
  <c r="AW225" i="1" s="1"/>
  <c r="Y227" i="1"/>
  <c r="AW227" i="1" s="1"/>
  <c r="Z227" i="1"/>
  <c r="AA234" i="1"/>
  <c r="AG234" i="1" s="1"/>
  <c r="AU239" i="1"/>
  <c r="Y239" i="1"/>
  <c r="AW239" i="1" s="1"/>
  <c r="AK239" i="1"/>
  <c r="AU243" i="1"/>
  <c r="Z243" i="1"/>
  <c r="AF243" i="1" s="1"/>
  <c r="AK251" i="1"/>
  <c r="AE255" i="1"/>
  <c r="Y259" i="1"/>
  <c r="AW259" i="1" s="1"/>
  <c r="AE260" i="1"/>
  <c r="Y263" i="1"/>
  <c r="AW263" i="1" s="1"/>
  <c r="AK283" i="1"/>
  <c r="Y287" i="1"/>
  <c r="AW287" i="1" s="1"/>
  <c r="AE293" i="1"/>
  <c r="AR295" i="1"/>
  <c r="AE301" i="1"/>
  <c r="AK307" i="1"/>
  <c r="Y326" i="1"/>
  <c r="AW326" i="1" s="1"/>
  <c r="Y338" i="1"/>
  <c r="AW338" i="1" s="1"/>
  <c r="Z338" i="1"/>
  <c r="AL338" i="1" s="1"/>
  <c r="AU338" i="1"/>
  <c r="AE366" i="1"/>
  <c r="AF174" i="1"/>
  <c r="AE174" i="1"/>
  <c r="AR189" i="1"/>
  <c r="AO189" i="1"/>
  <c r="AF189" i="1"/>
  <c r="AU189" i="1"/>
  <c r="AK214" i="1"/>
  <c r="AA216" i="1"/>
  <c r="AM216" i="1" s="1"/>
  <c r="AK217" i="1"/>
  <c r="AK226" i="1"/>
  <c r="AE227" i="1"/>
  <c r="AK230" i="1"/>
  <c r="AU233" i="1"/>
  <c r="Z233" i="1"/>
  <c r="Y233" i="1"/>
  <c r="AW233" i="1" s="1"/>
  <c r="AK236" i="1"/>
  <c r="Y240" i="1"/>
  <c r="AW240" i="1" s="1"/>
  <c r="AU240" i="1"/>
  <c r="Z240" i="1"/>
  <c r="AE242" i="1"/>
  <c r="AE246" i="1"/>
  <c r="AK280" i="1"/>
  <c r="Y298" i="1"/>
  <c r="AW298" i="1" s="1"/>
  <c r="AU298" i="1"/>
  <c r="Z298" i="1"/>
  <c r="AK302" i="1"/>
  <c r="AR304" i="1"/>
  <c r="AO304" i="1"/>
  <c r="AE313" i="1"/>
  <c r="AK326" i="1"/>
  <c r="AE335" i="1"/>
  <c r="AO345" i="1"/>
  <c r="AR345" i="1"/>
  <c r="AA226" i="1"/>
  <c r="AM226" i="1" s="1"/>
  <c r="Y228" i="1"/>
  <c r="AW228" i="1" s="1"/>
  <c r="Z228" i="1"/>
  <c r="Y248" i="1"/>
  <c r="AW248" i="1" s="1"/>
  <c r="Z248" i="1"/>
  <c r="AE259" i="1"/>
  <c r="AU260" i="1"/>
  <c r="Z260" i="1"/>
  <c r="AL260" i="1" s="1"/>
  <c r="Y260" i="1"/>
  <c r="AW260" i="1" s="1"/>
  <c r="AE262" i="1"/>
  <c r="AL273" i="1"/>
  <c r="AK273" i="1"/>
  <c r="AO274" i="1"/>
  <c r="AR274" i="1"/>
  <c r="AK276" i="1"/>
  <c r="Y277" i="1"/>
  <c r="AW277" i="1" s="1"/>
  <c r="AK278" i="1"/>
  <c r="AK286" i="1"/>
  <c r="AL288" i="1"/>
  <c r="AK288" i="1"/>
  <c r="AE291" i="1"/>
  <c r="AU302" i="1"/>
  <c r="Z302" i="1"/>
  <c r="Y302" i="1"/>
  <c r="AW302" i="1" s="1"/>
  <c r="AO308" i="1"/>
  <c r="AR308" i="1"/>
  <c r="AU379" i="1"/>
  <c r="Y379" i="1"/>
  <c r="AW379" i="1" s="1"/>
  <c r="Z379" i="1"/>
  <c r="AA383" i="1"/>
  <c r="AM383" i="1" s="1"/>
  <c r="Y383" i="1"/>
  <c r="AW383" i="1" s="1"/>
  <c r="AK343" i="1"/>
  <c r="AK360" i="1"/>
  <c r="AE367" i="1"/>
  <c r="AK369" i="1"/>
  <c r="AE382" i="1"/>
  <c r="AA237" i="1"/>
  <c r="AM237" i="1" s="1"/>
  <c r="AU241" i="1"/>
  <c r="Y241" i="1"/>
  <c r="AW241" i="1" s="1"/>
  <c r="Z241" i="1"/>
  <c r="AK249" i="1"/>
  <c r="Y256" i="1"/>
  <c r="AW256" i="1" s="1"/>
  <c r="Z256" i="1"/>
  <c r="AF256" i="1" s="1"/>
  <c r="AK260" i="1"/>
  <c r="AE281" i="1"/>
  <c r="AU282" i="1"/>
  <c r="Y282" i="1"/>
  <c r="AW282" i="1" s="1"/>
  <c r="Y297" i="1"/>
  <c r="AW297" i="1" s="1"/>
  <c r="AU297" i="1"/>
  <c r="AE314" i="1"/>
  <c r="AK317" i="1"/>
  <c r="AL317" i="1"/>
  <c r="AF319" i="1"/>
  <c r="AE319" i="1"/>
  <c r="AR354" i="1"/>
  <c r="AF354" i="1"/>
  <c r="AE357" i="1"/>
  <c r="AE363" i="1"/>
  <c r="AK407" i="1"/>
  <c r="AE183" i="1"/>
  <c r="AF187" i="1"/>
  <c r="AE187" i="1"/>
  <c r="Y206" i="1"/>
  <c r="AW206" i="1" s="1"/>
  <c r="Y212" i="1"/>
  <c r="AW212" i="1" s="1"/>
  <c r="AE245" i="1"/>
  <c r="Z261" i="1"/>
  <c r="AL261" i="1" s="1"/>
  <c r="AU261" i="1"/>
  <c r="Y264" i="1"/>
  <c r="AW264" i="1" s="1"/>
  <c r="AU264" i="1"/>
  <c r="Z264" i="1"/>
  <c r="AF264" i="1" s="1"/>
  <c r="AK269" i="1"/>
  <c r="AF274" i="1"/>
  <c r="AE274" i="1"/>
  <c r="AK277" i="1"/>
  <c r="AE287" i="1"/>
  <c r="AE294" i="1"/>
  <c r="AE326" i="1"/>
  <c r="AL90" i="1"/>
  <c r="Y97" i="1"/>
  <c r="AW97" i="1" s="1"/>
  <c r="AE103" i="1"/>
  <c r="AK109" i="1"/>
  <c r="Y169" i="1"/>
  <c r="AW169" i="1" s="1"/>
  <c r="AU169" i="1"/>
  <c r="Y179" i="1"/>
  <c r="AW179" i="1" s="1"/>
  <c r="AE202" i="1"/>
  <c r="AU203" i="1"/>
  <c r="AE205" i="1"/>
  <c r="AU210" i="1"/>
  <c r="AE215" i="1"/>
  <c r="AK221" i="1"/>
  <c r="AK224" i="1"/>
  <c r="AE232" i="1"/>
  <c r="AA238" i="1"/>
  <c r="AM238" i="1" s="1"/>
  <c r="AA241" i="1"/>
  <c r="AU242" i="1"/>
  <c r="AU244" i="1"/>
  <c r="Z244" i="1"/>
  <c r="AA246" i="1"/>
  <c r="AM246" i="1" s="1"/>
  <c r="AK246" i="1"/>
  <c r="AF251" i="1"/>
  <c r="AA257" i="1"/>
  <c r="AK257" i="1"/>
  <c r="AK261" i="1"/>
  <c r="AE266" i="1"/>
  <c r="AL272" i="1"/>
  <c r="Y273" i="1"/>
  <c r="AW273" i="1" s="1"/>
  <c r="AU273" i="1"/>
  <c r="AO275" i="1"/>
  <c r="AR275" i="1"/>
  <c r="Z282" i="1"/>
  <c r="AU290" i="1"/>
  <c r="Z290" i="1"/>
  <c r="Y290" i="1"/>
  <c r="AW290" i="1" s="1"/>
  <c r="AL295" i="1"/>
  <c r="AK296" i="1"/>
  <c r="Z297" i="1"/>
  <c r="AL297" i="1" s="1"/>
  <c r="Y300" i="1"/>
  <c r="AW300" i="1" s="1"/>
  <c r="Y304" i="1"/>
  <c r="AW304" i="1" s="1"/>
  <c r="AE312" i="1"/>
  <c r="AK316" i="1"/>
  <c r="Y327" i="1"/>
  <c r="AW327" i="1" s="1"/>
  <c r="AE347" i="1"/>
  <c r="Y279" i="1"/>
  <c r="AW279" i="1" s="1"/>
  <c r="AU279" i="1"/>
  <c r="Z279" i="1"/>
  <c r="AO288" i="1"/>
  <c r="AK289" i="1"/>
  <c r="AK300" i="1"/>
  <c r="Z305" i="1"/>
  <c r="AU305" i="1"/>
  <c r="Y305" i="1"/>
  <c r="AW305" i="1" s="1"/>
  <c r="AE307" i="1"/>
  <c r="AE315" i="1"/>
  <c r="AE317" i="1"/>
  <c r="AE330" i="1"/>
  <c r="Z333" i="1"/>
  <c r="AU333" i="1"/>
  <c r="AU334" i="1"/>
  <c r="AE338" i="1"/>
  <c r="AU340" i="1"/>
  <c r="Y340" i="1"/>
  <c r="AW340" i="1" s="1"/>
  <c r="Z340" i="1"/>
  <c r="AL340" i="1" s="1"/>
  <c r="Z344" i="1"/>
  <c r="AU344" i="1"/>
  <c r="AE368" i="1"/>
  <c r="AA369" i="1"/>
  <c r="AM369" i="1" s="1"/>
  <c r="AE376" i="1"/>
  <c r="Y406" i="1"/>
  <c r="AW406" i="1" s="1"/>
  <c r="Z406" i="1"/>
  <c r="AF406" i="1" s="1"/>
  <c r="AU406" i="1"/>
  <c r="Y161" i="1"/>
  <c r="AW161" i="1" s="1"/>
  <c r="AE167" i="1"/>
  <c r="AK173" i="1"/>
  <c r="AK194" i="1"/>
  <c r="AK198" i="1"/>
  <c r="AE203" i="1"/>
  <c r="AK204" i="1"/>
  <c r="AE211" i="1"/>
  <c r="AK241" i="1"/>
  <c r="Y250" i="1"/>
  <c r="AW250" i="1" s="1"/>
  <c r="AO252" i="1"/>
  <c r="AF252" i="1"/>
  <c r="AA258" i="1"/>
  <c r="AM258" i="1" s="1"/>
  <c r="AK262" i="1"/>
  <c r="Y272" i="1"/>
  <c r="AW272" i="1" s="1"/>
  <c r="AU272" i="1"/>
  <c r="AK285" i="1"/>
  <c r="AU286" i="1"/>
  <c r="AE292" i="1"/>
  <c r="Z299" i="1"/>
  <c r="AF299" i="1" s="1"/>
  <c r="AU299" i="1"/>
  <c r="AL304" i="1"/>
  <c r="AP306" i="1"/>
  <c r="AS306" i="1"/>
  <c r="AU308" i="1"/>
  <c r="Y308" i="1"/>
  <c r="AW308" i="1" s="1"/>
  <c r="AE316" i="1"/>
  <c r="AO323" i="1"/>
  <c r="AR323" i="1"/>
  <c r="AU326" i="1"/>
  <c r="Z326" i="1"/>
  <c r="AE332" i="1"/>
  <c r="Y335" i="1"/>
  <c r="AW335" i="1" s="1"/>
  <c r="Z335" i="1"/>
  <c r="AU335" i="1"/>
  <c r="AL337" i="1"/>
  <c r="AK337" i="1"/>
  <c r="AK341" i="1"/>
  <c r="AK356" i="1"/>
  <c r="Y369" i="1"/>
  <c r="AW369" i="1" s="1"/>
  <c r="AO381" i="1"/>
  <c r="AL381" i="1"/>
  <c r="AR381" i="1"/>
  <c r="Y313" i="1"/>
  <c r="AW313" i="1" s="1"/>
  <c r="Z313" i="1"/>
  <c r="AU313" i="1"/>
  <c r="AE334" i="1"/>
  <c r="Y337" i="1"/>
  <c r="AW337" i="1" s="1"/>
  <c r="AU347" i="1"/>
  <c r="Y347" i="1"/>
  <c r="AW347" i="1" s="1"/>
  <c r="Z347" i="1"/>
  <c r="Y354" i="1"/>
  <c r="AW354" i="1" s="1"/>
  <c r="AU354" i="1"/>
  <c r="AE362" i="1"/>
  <c r="Y384" i="1"/>
  <c r="AW384" i="1" s="1"/>
  <c r="AU384" i="1"/>
  <c r="Z384" i="1"/>
  <c r="AL384" i="1" s="1"/>
  <c r="Y185" i="1"/>
  <c r="AW185" i="1" s="1"/>
  <c r="AE191" i="1"/>
  <c r="AE198" i="1"/>
  <c r="AK200" i="1"/>
  <c r="AE206" i="1"/>
  <c r="Y207" i="1"/>
  <c r="AW207" i="1" s="1"/>
  <c r="AK228" i="1"/>
  <c r="AE230" i="1"/>
  <c r="AK252" i="1"/>
  <c r="AE254" i="1"/>
  <c r="AK268" i="1"/>
  <c r="AU277" i="1"/>
  <c r="Z277" i="1"/>
  <c r="AL277" i="1" s="1"/>
  <c r="AK287" i="1"/>
  <c r="AK303" i="1"/>
  <c r="AG306" i="1"/>
  <c r="AK310" i="1"/>
  <c r="AK311" i="1"/>
  <c r="Z312" i="1"/>
  <c r="AU312" i="1"/>
  <c r="AK324" i="1"/>
  <c r="AK325" i="1"/>
  <c r="Y329" i="1"/>
  <c r="AW329" i="1" s="1"/>
  <c r="AL329" i="1"/>
  <c r="AK329" i="1"/>
  <c r="AK342" i="1"/>
  <c r="AE343" i="1"/>
  <c r="AE350" i="1"/>
  <c r="AE371" i="1"/>
  <c r="AA375" i="1"/>
  <c r="AG375" i="1" s="1"/>
  <c r="AL225" i="1"/>
  <c r="Y232" i="1"/>
  <c r="AW232" i="1" s="1"/>
  <c r="AE238" i="1"/>
  <c r="AK244" i="1"/>
  <c r="AE278" i="1"/>
  <c r="Y293" i="1"/>
  <c r="AW293" i="1" s="1"/>
  <c r="AL296" i="1"/>
  <c r="Z300" i="1"/>
  <c r="AF300" i="1" s="1"/>
  <c r="AU300" i="1"/>
  <c r="AF304" i="1"/>
  <c r="AK348" i="1"/>
  <c r="Z355" i="1"/>
  <c r="Y355" i="1"/>
  <c r="AW355" i="1" s="1"/>
  <c r="AL373" i="1"/>
  <c r="AK373" i="1"/>
  <c r="AU380" i="1"/>
  <c r="Z380" i="1"/>
  <c r="AF380" i="1" s="1"/>
  <c r="Y380" i="1"/>
  <c r="AW380" i="1" s="1"/>
  <c r="Y285" i="1"/>
  <c r="AW285" i="1" s="1"/>
  <c r="AE295" i="1"/>
  <c r="Y311" i="1"/>
  <c r="AW311" i="1" s="1"/>
  <c r="AO321" i="1"/>
  <c r="AR321" i="1"/>
  <c r="AE325" i="1"/>
  <c r="AO329" i="1"/>
  <c r="AK338" i="1"/>
  <c r="AU346" i="1"/>
  <c r="Z346" i="1"/>
  <c r="AL346" i="1" s="1"/>
  <c r="AE351" i="1"/>
  <c r="AA381" i="1"/>
  <c r="AM381" i="1" s="1"/>
  <c r="AK384" i="1"/>
  <c r="Z392" i="1"/>
  <c r="AU392" i="1"/>
  <c r="Y392" i="1"/>
  <c r="AW392" i="1" s="1"/>
  <c r="AF308" i="1"/>
  <c r="AE323" i="1"/>
  <c r="AK331" i="1"/>
  <c r="AE336" i="1"/>
  <c r="AE337" i="1"/>
  <c r="AK340" i="1"/>
  <c r="AE345" i="1"/>
  <c r="AF345" i="1"/>
  <c r="AU352" i="1"/>
  <c r="AK366" i="1"/>
  <c r="AE390" i="1"/>
  <c r="AK391" i="1"/>
  <c r="AR394" i="1"/>
  <c r="AF394" i="1"/>
  <c r="AO394" i="1"/>
  <c r="Y397" i="1"/>
  <c r="AW397" i="1" s="1"/>
  <c r="Z397" i="1"/>
  <c r="AU397" i="1"/>
  <c r="Z348" i="1"/>
  <c r="Y348" i="1"/>
  <c r="AW348" i="1" s="1"/>
  <c r="AU349" i="1"/>
  <c r="AU357" i="1"/>
  <c r="Y363" i="1"/>
  <c r="AW363" i="1" s="1"/>
  <c r="AU363" i="1"/>
  <c r="Z363" i="1"/>
  <c r="Y385" i="1"/>
  <c r="AW385" i="1" s="1"/>
  <c r="Z385" i="1"/>
  <c r="AU385" i="1"/>
  <c r="AO389" i="1"/>
  <c r="AR389" i="1"/>
  <c r="AE391" i="1"/>
  <c r="Y393" i="1"/>
  <c r="AW393" i="1" s="1"/>
  <c r="AU393" i="1"/>
  <c r="Z393" i="1"/>
  <c r="AL393" i="1" s="1"/>
  <c r="AE398" i="1"/>
  <c r="AE401" i="1"/>
  <c r="Z328" i="1"/>
  <c r="Y328" i="1"/>
  <c r="AW328" i="1" s="1"/>
  <c r="AE329" i="1"/>
  <c r="AE341" i="1"/>
  <c r="Z350" i="1"/>
  <c r="Y350" i="1"/>
  <c r="AW350" i="1" s="1"/>
  <c r="AK378" i="1"/>
  <c r="AK397" i="1"/>
  <c r="Z402" i="1"/>
  <c r="AU402" i="1"/>
  <c r="Y402" i="1"/>
  <c r="AW402" i="1" s="1"/>
  <c r="AK402" i="1"/>
  <c r="Z404" i="1"/>
  <c r="AL404" i="1" s="1"/>
  <c r="Y404" i="1"/>
  <c r="AW404" i="1" s="1"/>
  <c r="AU404" i="1"/>
  <c r="AK347" i="1"/>
  <c r="AL354" i="1"/>
  <c r="Z358" i="1"/>
  <c r="Y358" i="1"/>
  <c r="AW358" i="1" s="1"/>
  <c r="AU358" i="1"/>
  <c r="Z374" i="1"/>
  <c r="AL374" i="1" s="1"/>
  <c r="Y374" i="1"/>
  <c r="AW374" i="1" s="1"/>
  <c r="AE379" i="1"/>
  <c r="AE381" i="1"/>
  <c r="AF381" i="1"/>
  <c r="AK390" i="1"/>
  <c r="Z408" i="1"/>
  <c r="AL408" i="1" s="1"/>
  <c r="AU408" i="1"/>
  <c r="Y408" i="1"/>
  <c r="AW408" i="1" s="1"/>
  <c r="AE388" i="1"/>
  <c r="AU395" i="1"/>
  <c r="Y395" i="1"/>
  <c r="AW395" i="1" s="1"/>
  <c r="Z395" i="1"/>
  <c r="AK383" i="1"/>
  <c r="AK403" i="1"/>
  <c r="AE385" i="1"/>
  <c r="AU394" i="1"/>
  <c r="Y394" i="1"/>
  <c r="AW394" i="1" s="1"/>
  <c r="AL394" i="1"/>
  <c r="Y321" i="1"/>
  <c r="AW321" i="1" s="1"/>
  <c r="Y323" i="1"/>
  <c r="AW323" i="1" s="1"/>
  <c r="AK333" i="1"/>
  <c r="Y343" i="1"/>
  <c r="AW343" i="1" s="1"/>
  <c r="Y345" i="1"/>
  <c r="AW345" i="1" s="1"/>
  <c r="AE353" i="1"/>
  <c r="AE360" i="1"/>
  <c r="AK364" i="1"/>
  <c r="Z371" i="1"/>
  <c r="AU371" i="1"/>
  <c r="Y371" i="1"/>
  <c r="AW371" i="1" s="1"/>
  <c r="Z372" i="1"/>
  <c r="AF372" i="1" s="1"/>
  <c r="AU372" i="1"/>
  <c r="Y372" i="1"/>
  <c r="AW372" i="1" s="1"/>
  <c r="Y381" i="1"/>
  <c r="AW381" i="1" s="1"/>
  <c r="AK381" i="1"/>
  <c r="Z386" i="1"/>
  <c r="Y386" i="1"/>
  <c r="AW386" i="1" s="1"/>
  <c r="Y405" i="1"/>
  <c r="AW405" i="1" s="1"/>
  <c r="AU405" i="1"/>
  <c r="Z405" i="1"/>
  <c r="AK400" i="1"/>
  <c r="AK401" i="1"/>
  <c r="AU323" i="1"/>
  <c r="AU329" i="1"/>
  <c r="AU337" i="1"/>
  <c r="AU345" i="1"/>
  <c r="AU351" i="1"/>
  <c r="Y362" i="1"/>
  <c r="AW362" i="1" s="1"/>
  <c r="AE377" i="1"/>
  <c r="AU381" i="1"/>
  <c r="AK395" i="1"/>
  <c r="Y396" i="1"/>
  <c r="AW396" i="1" s="1"/>
  <c r="AE407" i="1"/>
  <c r="Z362" i="1"/>
  <c r="AU373" i="1"/>
  <c r="Y373" i="1"/>
  <c r="AW373" i="1" s="1"/>
  <c r="Y376" i="1"/>
  <c r="AW376" i="1" s="1"/>
  <c r="AK376" i="1"/>
  <c r="AK380" i="1"/>
  <c r="AE396" i="1"/>
  <c r="AE399" i="1"/>
  <c r="AE403" i="1"/>
  <c r="Y375" i="1"/>
  <c r="AW375" i="1" s="1"/>
  <c r="AE386" i="1"/>
  <c r="Z388" i="1"/>
  <c r="AL388" i="1" s="1"/>
  <c r="AU388" i="1"/>
  <c r="AK388" i="1"/>
  <c r="Z390" i="1"/>
  <c r="AL390" i="1" s="1"/>
  <c r="AU390" i="1"/>
  <c r="AK385" i="1"/>
  <c r="Y389" i="1"/>
  <c r="AW389" i="1" s="1"/>
  <c r="AE395" i="1"/>
  <c r="AK399" i="1"/>
  <c r="Y409" i="1"/>
  <c r="AW409" i="1" s="1"/>
  <c r="Z409" i="1"/>
  <c r="AB457" i="1" l="1"/>
  <c r="AG530" i="1"/>
  <c r="AG293" i="1"/>
  <c r="AM373" i="1"/>
  <c r="AM129" i="1"/>
  <c r="AG317" i="1"/>
  <c r="AL545" i="1"/>
  <c r="AB521" i="1"/>
  <c r="AN521" i="1" s="1"/>
  <c r="AL553" i="1"/>
  <c r="AO486" i="1"/>
  <c r="AR521" i="1"/>
  <c r="AL521" i="1"/>
  <c r="AB545" i="1"/>
  <c r="AH545" i="1" s="1"/>
  <c r="AO521" i="1"/>
  <c r="AF553" i="1"/>
  <c r="AF537" i="1"/>
  <c r="AP176" i="1"/>
  <c r="AG333" i="1"/>
  <c r="AG373" i="1"/>
  <c r="AP391" i="1"/>
  <c r="AB105" i="1"/>
  <c r="AH105" i="1" s="1"/>
  <c r="AL462" i="1"/>
  <c r="AG105" i="1"/>
  <c r="AG393" i="1"/>
  <c r="AP333" i="1"/>
  <c r="AG386" i="1"/>
  <c r="AO434" i="1"/>
  <c r="AM293" i="1"/>
  <c r="AP393" i="1"/>
  <c r="AR434" i="1"/>
  <c r="AM317" i="1"/>
  <c r="AG401" i="1"/>
  <c r="AP386" i="1"/>
  <c r="AB274" i="1"/>
  <c r="AT274" i="1" s="1"/>
  <c r="AG366" i="1"/>
  <c r="AS386" i="1"/>
  <c r="AM298" i="1"/>
  <c r="AM366" i="1"/>
  <c r="AG298" i="1"/>
  <c r="AS70" i="1"/>
  <c r="AS282" i="1"/>
  <c r="AP70" i="1"/>
  <c r="AS322" i="1"/>
  <c r="AP322" i="1"/>
  <c r="AP290" i="1"/>
  <c r="AG290" i="1"/>
  <c r="AS290" i="1"/>
  <c r="AM322" i="1"/>
  <c r="AF414" i="1"/>
  <c r="AP205" i="1"/>
  <c r="AG340" i="1"/>
  <c r="AP25" i="1"/>
  <c r="AP289" i="1"/>
  <c r="AG97" i="1"/>
  <c r="AS97" i="1"/>
  <c r="AG345" i="1"/>
  <c r="AM389" i="1"/>
  <c r="AM202" i="1"/>
  <c r="AM205" i="1"/>
  <c r="AB389" i="1"/>
  <c r="AB354" i="1"/>
  <c r="AH354" i="1" s="1"/>
  <c r="AF513" i="1"/>
  <c r="AB494" i="1"/>
  <c r="AN494" i="1" s="1"/>
  <c r="AB394" i="1"/>
  <c r="AQ394" i="1" s="1"/>
  <c r="AP354" i="1"/>
  <c r="AM314" i="1"/>
  <c r="AM278" i="1"/>
  <c r="AM394" i="1"/>
  <c r="AG370" i="1"/>
  <c r="AG334" i="1"/>
  <c r="AG394" i="1"/>
  <c r="AS334" i="1"/>
  <c r="AP394" i="1"/>
  <c r="AP334" i="1"/>
  <c r="AM370" i="1"/>
  <c r="AG328" i="1"/>
  <c r="AL478" i="1"/>
  <c r="AL569" i="1"/>
  <c r="AP451" i="1"/>
  <c r="AB304" i="1"/>
  <c r="AN304" i="1" s="1"/>
  <c r="AM230" i="1"/>
  <c r="AM70" i="1"/>
  <c r="AF478" i="1"/>
  <c r="AM451" i="1"/>
  <c r="AG451" i="1"/>
  <c r="AM228" i="1"/>
  <c r="AS332" i="1"/>
  <c r="AG357" i="1"/>
  <c r="AS277" i="1"/>
  <c r="AG314" i="1"/>
  <c r="AM354" i="1"/>
  <c r="AG278" i="1"/>
  <c r="AG130" i="1"/>
  <c r="AM130" i="1"/>
  <c r="AM109" i="1"/>
  <c r="AG564" i="1"/>
  <c r="AL454" i="1"/>
  <c r="AG447" i="1"/>
  <c r="AL486" i="1"/>
  <c r="AB454" i="1"/>
  <c r="AH454" i="1" s="1"/>
  <c r="AM447" i="1"/>
  <c r="AM456" i="1"/>
  <c r="AS456" i="1"/>
  <c r="AP384" i="1"/>
  <c r="AM345" i="1"/>
  <c r="AP345" i="1"/>
  <c r="AB345" i="1"/>
  <c r="AS329" i="1"/>
  <c r="AB117" i="1"/>
  <c r="AN117" i="1" s="1"/>
  <c r="AM572" i="1"/>
  <c r="AM464" i="1"/>
  <c r="AP456" i="1"/>
  <c r="AP329" i="1"/>
  <c r="AS205" i="1"/>
  <c r="AG289" i="1"/>
  <c r="AS298" i="1"/>
  <c r="AS313" i="1"/>
  <c r="AG313" i="1"/>
  <c r="AP313" i="1"/>
  <c r="AM25" i="1"/>
  <c r="AM576" i="1"/>
  <c r="AP314" i="1"/>
  <c r="AS576" i="1"/>
  <c r="AM332" i="1"/>
  <c r="AM249" i="1"/>
  <c r="AP284" i="1"/>
  <c r="AG117" i="1"/>
  <c r="AS278" i="1"/>
  <c r="AS370" i="1"/>
  <c r="AG332" i="1"/>
  <c r="AP371" i="1"/>
  <c r="AG161" i="1"/>
  <c r="AS105" i="1"/>
  <c r="AP308" i="1"/>
  <c r="AP130" i="1"/>
  <c r="AB130" i="1"/>
  <c r="AH130" i="1" s="1"/>
  <c r="AM555" i="1"/>
  <c r="AL489" i="1"/>
  <c r="AG463" i="1"/>
  <c r="AB317" i="1"/>
  <c r="AT317" i="1" s="1"/>
  <c r="AP402" i="1"/>
  <c r="AG348" i="1"/>
  <c r="AG354" i="1"/>
  <c r="AL410" i="1"/>
  <c r="AR454" i="1"/>
  <c r="AB558" i="1"/>
  <c r="AN558" i="1" s="1"/>
  <c r="AS564" i="1"/>
  <c r="AS204" i="1"/>
  <c r="AO454" i="1"/>
  <c r="AF538" i="1"/>
  <c r="AP320" i="1"/>
  <c r="AS202" i="1"/>
  <c r="AS31" i="1"/>
  <c r="AP175" i="1"/>
  <c r="AP346" i="1"/>
  <c r="AP31" i="1"/>
  <c r="AG175" i="1"/>
  <c r="AG31" i="1"/>
  <c r="AP127" i="1"/>
  <c r="AR545" i="1"/>
  <c r="AM362" i="1"/>
  <c r="AM127" i="1"/>
  <c r="AG382" i="1"/>
  <c r="AF425" i="1"/>
  <c r="AM175" i="1"/>
  <c r="AM83" i="1"/>
  <c r="AG127" i="1"/>
  <c r="AP464" i="1"/>
  <c r="AM403" i="1"/>
  <c r="AS385" i="1"/>
  <c r="AS176" i="1"/>
  <c r="AG89" i="1"/>
  <c r="AS403" i="1"/>
  <c r="AG403" i="1"/>
  <c r="AG565" i="1"/>
  <c r="AP155" i="1"/>
  <c r="AG71" i="1"/>
  <c r="AM11" i="1"/>
  <c r="AS71" i="1"/>
  <c r="AG155" i="1"/>
  <c r="AG48" i="1"/>
  <c r="AG113" i="1"/>
  <c r="AG4" i="1"/>
  <c r="AP11" i="1"/>
  <c r="AM155" i="1"/>
  <c r="AG115" i="1"/>
  <c r="AG464" i="1"/>
  <c r="AP548" i="1"/>
  <c r="AL506" i="1"/>
  <c r="AB155" i="1"/>
  <c r="AQ155" i="1" s="1"/>
  <c r="AM71" i="1"/>
  <c r="AM115" i="1"/>
  <c r="AS115" i="1"/>
  <c r="AS548" i="1"/>
  <c r="AP572" i="1"/>
  <c r="AO505" i="1"/>
  <c r="AR506" i="1"/>
  <c r="AS4" i="1"/>
  <c r="AS340" i="1"/>
  <c r="AO529" i="1"/>
  <c r="AM372" i="1"/>
  <c r="AP401" i="1"/>
  <c r="AG350" i="1"/>
  <c r="AG202" i="1"/>
  <c r="AP105" i="1"/>
  <c r="AS330" i="1"/>
  <c r="AG330" i="1"/>
  <c r="AP350" i="1"/>
  <c r="AM274" i="1"/>
  <c r="AG349" i="1"/>
  <c r="AS366" i="1"/>
  <c r="AS317" i="1"/>
  <c r="AM294" i="1"/>
  <c r="AS274" i="1"/>
  <c r="AS161" i="1"/>
  <c r="AM335" i="1"/>
  <c r="AP297" i="1"/>
  <c r="AG367" i="1"/>
  <c r="AM350" i="1"/>
  <c r="AS351" i="1"/>
  <c r="AG351" i="1"/>
  <c r="AG283" i="1"/>
  <c r="AS283" i="1"/>
  <c r="AP109" i="1"/>
  <c r="AB414" i="1"/>
  <c r="AN414" i="1" s="1"/>
  <c r="AM248" i="1"/>
  <c r="AO489" i="1"/>
  <c r="AM433" i="1"/>
  <c r="AL533" i="1"/>
  <c r="AF479" i="1"/>
  <c r="AG402" i="1"/>
  <c r="AM292" i="1"/>
  <c r="AL465" i="1"/>
  <c r="AS349" i="1"/>
  <c r="AP373" i="1"/>
  <c r="AM580" i="1"/>
  <c r="AM475" i="1"/>
  <c r="AP349" i="1"/>
  <c r="AP424" i="1"/>
  <c r="AM424" i="1"/>
  <c r="AR462" i="1"/>
  <c r="AP161" i="1"/>
  <c r="AP230" i="1"/>
  <c r="AL490" i="1"/>
  <c r="AL481" i="1"/>
  <c r="AF543" i="1"/>
  <c r="AB481" i="1"/>
  <c r="AN481" i="1" s="1"/>
  <c r="AM393" i="1"/>
  <c r="AP293" i="1"/>
  <c r="AS333" i="1"/>
  <c r="AS249" i="1"/>
  <c r="AG230" i="1"/>
  <c r="AP63" i="1"/>
  <c r="AP129" i="1"/>
  <c r="AF462" i="1"/>
  <c r="AL586" i="1"/>
  <c r="AL477" i="1"/>
  <c r="AB470" i="1"/>
  <c r="AQ470" i="1" s="1"/>
  <c r="AL470" i="1"/>
  <c r="AS358" i="1"/>
  <c r="AF470" i="1"/>
  <c r="AG308" i="1"/>
  <c r="AP474" i="1"/>
  <c r="AS228" i="1"/>
  <c r="AG228" i="1"/>
  <c r="AG364" i="1"/>
  <c r="AG398" i="1"/>
  <c r="AS424" i="1"/>
  <c r="AO545" i="1"/>
  <c r="AS308" i="1"/>
  <c r="AB518" i="1"/>
  <c r="AQ518" i="1" s="1"/>
  <c r="AB308" i="1"/>
  <c r="AN308" i="1" s="1"/>
  <c r="AM380" i="1"/>
  <c r="AS396" i="1"/>
  <c r="AM364" i="1"/>
  <c r="AM341" i="1"/>
  <c r="AL485" i="1"/>
  <c r="AG361" i="1"/>
  <c r="AG305" i="1"/>
  <c r="AG321" i="1"/>
  <c r="AP377" i="1"/>
  <c r="AG24" i="1"/>
  <c r="AG185" i="1"/>
  <c r="AP231" i="1"/>
  <c r="AM285" i="1"/>
  <c r="AG526" i="1"/>
  <c r="AG395" i="1"/>
  <c r="AP95" i="1"/>
  <c r="AM339" i="1"/>
  <c r="AP325" i="1"/>
  <c r="AM361" i="1"/>
  <c r="AP339" i="1"/>
  <c r="AS325" i="1"/>
  <c r="AM169" i="1"/>
  <c r="AM95" i="1"/>
  <c r="AS323" i="1"/>
  <c r="AS397" i="1"/>
  <c r="AP385" i="1"/>
  <c r="AS339" i="1"/>
  <c r="AM323" i="1"/>
  <c r="AM287" i="1"/>
  <c r="AM371" i="1"/>
  <c r="AG88" i="1"/>
  <c r="AS357" i="1"/>
  <c r="AM357" i="1"/>
  <c r="AF583" i="1"/>
  <c r="AR425" i="1"/>
  <c r="AS371" i="1"/>
  <c r="AP24" i="1"/>
  <c r="AP355" i="1"/>
  <c r="AM88" i="1"/>
  <c r="AP88" i="1"/>
  <c r="AP344" i="1"/>
  <c r="AG414" i="1"/>
  <c r="AG287" i="1"/>
  <c r="AM355" i="1"/>
  <c r="AM17" i="1"/>
  <c r="AM573" i="1"/>
  <c r="AG413" i="1"/>
  <c r="AB287" i="1"/>
  <c r="AQ287" i="1" s="1"/>
  <c r="AP323" i="1"/>
  <c r="AL309" i="1"/>
  <c r="AG224" i="1"/>
  <c r="AS395" i="1"/>
  <c r="AL505" i="1"/>
  <c r="AB542" i="1"/>
  <c r="AH542" i="1" s="1"/>
  <c r="AP287" i="1"/>
  <c r="AS355" i="1"/>
  <c r="AS307" i="1"/>
  <c r="AP392" i="1"/>
  <c r="AG385" i="1"/>
  <c r="AB323" i="1"/>
  <c r="AH323" i="1" s="1"/>
  <c r="AP307" i="1"/>
  <c r="AM360" i="1"/>
  <c r="AG304" i="1"/>
  <c r="AS24" i="1"/>
  <c r="AP395" i="1"/>
  <c r="AM417" i="1"/>
  <c r="AS475" i="1"/>
  <c r="AG539" i="1"/>
  <c r="AF489" i="1"/>
  <c r="AM434" i="1"/>
  <c r="AP475" i="1"/>
  <c r="AP351" i="1"/>
  <c r="AS280" i="1"/>
  <c r="AB283" i="1"/>
  <c r="AN283" i="1" s="1"/>
  <c r="AG319" i="1"/>
  <c r="AL468" i="1"/>
  <c r="AF551" i="1"/>
  <c r="AM367" i="1"/>
  <c r="AS367" i="1"/>
  <c r="AS328" i="1"/>
  <c r="AM283" i="1"/>
  <c r="AG280" i="1"/>
  <c r="AB319" i="1"/>
  <c r="AN319" i="1" s="1"/>
  <c r="AP303" i="1"/>
  <c r="AP552" i="1"/>
  <c r="AG580" i="1"/>
  <c r="AR537" i="1"/>
  <c r="AM303" i="1"/>
  <c r="AP328" i="1"/>
  <c r="AM97" i="1"/>
  <c r="AG303" i="1"/>
  <c r="AM117" i="1"/>
  <c r="AG25" i="1"/>
  <c r="AS392" i="1"/>
  <c r="AS404" i="1"/>
  <c r="AS319" i="1"/>
  <c r="AM304" i="1"/>
  <c r="AP280" i="1"/>
  <c r="AP117" i="1"/>
  <c r="AP304" i="1"/>
  <c r="AG153" i="1"/>
  <c r="AR490" i="1"/>
  <c r="AP319" i="1"/>
  <c r="AM392" i="1"/>
  <c r="AS391" i="1"/>
  <c r="AG389" i="1"/>
  <c r="AM153" i="1"/>
  <c r="AS401" i="1"/>
  <c r="AG391" i="1"/>
  <c r="AG329" i="1"/>
  <c r="AB329" i="1"/>
  <c r="AH329" i="1" s="1"/>
  <c r="AG376" i="1"/>
  <c r="AS344" i="1"/>
  <c r="AM552" i="1"/>
  <c r="AL487" i="1"/>
  <c r="AF473" i="1"/>
  <c r="AO530" i="1"/>
  <c r="AG445" i="1"/>
  <c r="AL451" i="1"/>
  <c r="AM346" i="1"/>
  <c r="AG107" i="1"/>
  <c r="AP275" i="1"/>
  <c r="AN438" i="1"/>
  <c r="AF515" i="1"/>
  <c r="AS326" i="1"/>
  <c r="AS343" i="1"/>
  <c r="AS266" i="1"/>
  <c r="AM326" i="1"/>
  <c r="AB275" i="1"/>
  <c r="AN275" i="1" s="1"/>
  <c r="AL579" i="1"/>
  <c r="AP362" i="1"/>
  <c r="AB107" i="1"/>
  <c r="AH107" i="1" s="1"/>
  <c r="AP326" i="1"/>
  <c r="AS74" i="1"/>
  <c r="AM286" i="1"/>
  <c r="AM291" i="1"/>
  <c r="AS275" i="1"/>
  <c r="AM3" i="1"/>
  <c r="AG147" i="1"/>
  <c r="AM382" i="1"/>
  <c r="AM275" i="1"/>
  <c r="AP178" i="1"/>
  <c r="AG67" i="1"/>
  <c r="AP399" i="1"/>
  <c r="AS382" i="1"/>
  <c r="AP3" i="1"/>
  <c r="AG311" i="1"/>
  <c r="AG362" i="1"/>
  <c r="AM67" i="1"/>
  <c r="AM147" i="1"/>
  <c r="AG338" i="1"/>
  <c r="AG178" i="1"/>
  <c r="AM489" i="1"/>
  <c r="AG359" i="1"/>
  <c r="AM343" i="1"/>
  <c r="AP327" i="1"/>
  <c r="AG286" i="1"/>
  <c r="AG307" i="1"/>
  <c r="AP286" i="1"/>
  <c r="AM178" i="1"/>
  <c r="AS170" i="1"/>
  <c r="AM107" i="1"/>
  <c r="AG250" i="1"/>
  <c r="AM495" i="1"/>
  <c r="AB486" i="1"/>
  <c r="AH486" i="1" s="1"/>
  <c r="AB534" i="1"/>
  <c r="AQ534" i="1" s="1"/>
  <c r="AO553" i="1"/>
  <c r="AS364" i="1"/>
  <c r="AS380" i="1"/>
  <c r="AF559" i="1"/>
  <c r="AR422" i="1"/>
  <c r="AS348" i="1"/>
  <c r="AG380" i="1"/>
  <c r="AG396" i="1"/>
  <c r="AS20" i="1"/>
  <c r="AM587" i="1"/>
  <c r="AO430" i="1"/>
  <c r="AP348" i="1"/>
  <c r="AG285" i="1"/>
  <c r="AG20" i="1"/>
  <c r="AP20" i="1"/>
  <c r="AM141" i="1"/>
  <c r="AM396" i="1"/>
  <c r="AB382" i="1"/>
  <c r="AN382" i="1" s="1"/>
  <c r="AG284" i="1"/>
  <c r="AS83" i="1"/>
  <c r="AS474" i="1"/>
  <c r="AF417" i="1"/>
  <c r="AF449" i="1"/>
  <c r="AG572" i="1"/>
  <c r="AM448" i="1"/>
  <c r="AM539" i="1"/>
  <c r="AM315" i="1"/>
  <c r="AP341" i="1"/>
  <c r="AP361" i="1"/>
  <c r="AM284" i="1"/>
  <c r="AG346" i="1"/>
  <c r="AS113" i="1"/>
  <c r="AB396" i="1"/>
  <c r="AH396" i="1" s="1"/>
  <c r="AP83" i="1"/>
  <c r="AP568" i="1"/>
  <c r="AS448" i="1"/>
  <c r="AS539" i="1"/>
  <c r="AM409" i="1"/>
  <c r="AG74" i="1"/>
  <c r="AG266" i="1"/>
  <c r="AM545" i="1"/>
  <c r="AL449" i="1"/>
  <c r="AG416" i="1"/>
  <c r="AG528" i="1"/>
  <c r="AR417" i="1"/>
  <c r="AP74" i="1"/>
  <c r="AS250" i="1"/>
  <c r="AL431" i="1"/>
  <c r="AL578" i="1"/>
  <c r="AL417" i="1"/>
  <c r="AF422" i="1"/>
  <c r="AP489" i="1"/>
  <c r="AB74" i="1"/>
  <c r="AT74" i="1" s="1"/>
  <c r="AM568" i="1"/>
  <c r="AF587" i="1"/>
  <c r="AF429" i="1"/>
  <c r="AS489" i="1"/>
  <c r="AS552" i="1"/>
  <c r="AP576" i="1"/>
  <c r="AO470" i="1"/>
  <c r="AP411" i="1"/>
  <c r="AR561" i="1"/>
  <c r="AG555" i="1"/>
  <c r="AF465" i="1"/>
  <c r="AS439" i="1"/>
  <c r="AO490" i="1"/>
  <c r="AP448" i="1"/>
  <c r="AS587" i="1"/>
  <c r="AM121" i="1"/>
  <c r="AM439" i="1"/>
  <c r="AM512" i="1"/>
  <c r="AG509" i="1"/>
  <c r="AF493" i="1"/>
  <c r="AG510" i="1"/>
  <c r="AM560" i="1"/>
  <c r="AG529" i="1"/>
  <c r="AO561" i="1"/>
  <c r="AR449" i="1"/>
  <c r="AP538" i="1"/>
  <c r="AF426" i="1"/>
  <c r="AG409" i="1"/>
  <c r="AG310" i="1"/>
  <c r="AP409" i="1"/>
  <c r="AM310" i="1"/>
  <c r="AG335" i="1"/>
  <c r="AS376" i="1"/>
  <c r="AP335" i="1"/>
  <c r="AL557" i="1"/>
  <c r="AL442" i="1"/>
  <c r="AG512" i="1"/>
  <c r="AP443" i="1"/>
  <c r="AP560" i="1"/>
  <c r="AO414" i="1"/>
  <c r="AB478" i="1"/>
  <c r="AT478" i="1" s="1"/>
  <c r="AG545" i="1"/>
  <c r="AR481" i="1"/>
  <c r="AS580" i="1"/>
  <c r="AP206" i="1"/>
  <c r="AM250" i="1"/>
  <c r="AP376" i="1"/>
  <c r="AN96" i="1"/>
  <c r="AM463" i="1"/>
  <c r="AL426" i="1"/>
  <c r="AL546" i="1"/>
  <c r="AM528" i="1"/>
  <c r="AB449" i="1"/>
  <c r="AN449" i="1" s="1"/>
  <c r="AB442" i="1"/>
  <c r="AH442" i="1" s="1"/>
  <c r="AG560" i="1"/>
  <c r="AS443" i="1"/>
  <c r="AR414" i="1"/>
  <c r="AR478" i="1"/>
  <c r="AP463" i="1"/>
  <c r="AR433" i="1"/>
  <c r="AF481" i="1"/>
  <c r="AF569" i="1"/>
  <c r="AF442" i="1"/>
  <c r="AR569" i="1"/>
  <c r="AM538" i="1"/>
  <c r="AP310" i="1"/>
  <c r="AP266" i="1"/>
  <c r="AM185" i="1"/>
  <c r="AL561" i="1"/>
  <c r="AS568" i="1"/>
  <c r="AB422" i="1"/>
  <c r="AH422" i="1" s="1"/>
  <c r="AN526" i="1"/>
  <c r="AP528" i="1"/>
  <c r="AG474" i="1"/>
  <c r="AO433" i="1"/>
  <c r="AR465" i="1"/>
  <c r="AM305" i="1"/>
  <c r="AL503" i="1"/>
  <c r="AS185" i="1"/>
  <c r="AS305" i="1"/>
  <c r="AM524" i="1"/>
  <c r="AO422" i="1"/>
  <c r="AF511" i="1"/>
  <c r="AR457" i="1"/>
  <c r="AP439" i="1"/>
  <c r="AP530" i="1"/>
  <c r="AR450" i="1"/>
  <c r="AS17" i="1"/>
  <c r="AP89" i="1"/>
  <c r="AL459" i="1"/>
  <c r="AG587" i="1"/>
  <c r="AP300" i="1"/>
  <c r="AM325" i="1"/>
  <c r="AM113" i="1"/>
  <c r="AP294" i="1"/>
  <c r="AG17" i="1"/>
  <c r="AS89" i="1"/>
  <c r="AF523" i="1"/>
  <c r="AF541" i="1"/>
  <c r="AP571" i="1"/>
  <c r="AM466" i="1"/>
  <c r="AB489" i="1"/>
  <c r="AH489" i="1" s="1"/>
  <c r="AG141" i="1"/>
  <c r="AB361" i="1"/>
  <c r="AT361" i="1" s="1"/>
  <c r="AS294" i="1"/>
  <c r="AG274" i="1"/>
  <c r="AS285" i="1"/>
  <c r="AF558" i="1"/>
  <c r="AP584" i="1"/>
  <c r="AB538" i="1"/>
  <c r="AN538" i="1" s="1"/>
  <c r="AP457" i="1"/>
  <c r="AS571" i="1"/>
  <c r="AF418" i="1"/>
  <c r="AF522" i="1"/>
  <c r="AO418" i="1"/>
  <c r="AS466" i="1"/>
  <c r="AB465" i="1"/>
  <c r="AN465" i="1" s="1"/>
  <c r="AP141" i="1"/>
  <c r="AG341" i="1"/>
  <c r="AM363" i="1"/>
  <c r="AM553" i="1"/>
  <c r="AN457" i="1"/>
  <c r="AS547" i="1"/>
  <c r="AO538" i="1"/>
  <c r="AS457" i="1"/>
  <c r="AO522" i="1"/>
  <c r="AP466" i="1"/>
  <c r="AR426" i="1"/>
  <c r="AB185" i="1"/>
  <c r="AQ185" i="1" s="1"/>
  <c r="AS147" i="1"/>
  <c r="AM486" i="1"/>
  <c r="AM458" i="1"/>
  <c r="AM547" i="1"/>
  <c r="AG575" i="1"/>
  <c r="AP547" i="1"/>
  <c r="AP512" i="1"/>
  <c r="AB425" i="1"/>
  <c r="AN425" i="1" s="1"/>
  <c r="AS224" i="1"/>
  <c r="AS520" i="1"/>
  <c r="AO175" i="1"/>
  <c r="AM543" i="1"/>
  <c r="AM468" i="1"/>
  <c r="AM532" i="1"/>
  <c r="AR42" i="1"/>
  <c r="AL565" i="1"/>
  <c r="AM491" i="1"/>
  <c r="AG483" i="1"/>
  <c r="AF514" i="1"/>
  <c r="AR473" i="1"/>
  <c r="AB175" i="1"/>
  <c r="AQ175" i="1" s="1"/>
  <c r="AG360" i="1"/>
  <c r="AB376" i="1"/>
  <c r="AN376" i="1" s="1"/>
  <c r="AS465" i="1"/>
  <c r="AG538" i="1"/>
  <c r="AO514" i="1"/>
  <c r="AF578" i="1"/>
  <c r="AM344" i="1"/>
  <c r="AP360" i="1"/>
  <c r="AM224" i="1"/>
  <c r="AS373" i="1"/>
  <c r="AP65" i="1"/>
  <c r="AL437" i="1"/>
  <c r="AH526" i="1"/>
  <c r="AP511" i="1"/>
  <c r="AR578" i="1"/>
  <c r="AP368" i="1"/>
  <c r="AG204" i="1"/>
  <c r="AM320" i="1"/>
  <c r="AS248" i="1"/>
  <c r="AP204" i="1"/>
  <c r="AG384" i="1"/>
  <c r="AM347" i="1"/>
  <c r="AL469" i="1"/>
  <c r="AG336" i="1"/>
  <c r="AP153" i="1"/>
  <c r="AS389" i="1"/>
  <c r="AM365" i="1"/>
  <c r="AM423" i="1"/>
  <c r="AP387" i="1"/>
  <c r="AM400" i="1"/>
  <c r="AM331" i="1"/>
  <c r="AG295" i="1"/>
  <c r="AB295" i="1"/>
  <c r="AH295" i="1" s="1"/>
  <c r="AP292" i="1"/>
  <c r="AB365" i="1"/>
  <c r="AH365" i="1" s="1"/>
  <c r="AP400" i="1"/>
  <c r="AM501" i="1"/>
  <c r="AM476" i="1"/>
  <c r="AM519" i="1"/>
  <c r="AF474" i="1"/>
  <c r="AG248" i="1"/>
  <c r="AS292" i="1"/>
  <c r="AG365" i="1"/>
  <c r="AS336" i="1"/>
  <c r="AG176" i="1"/>
  <c r="AM402" i="1"/>
  <c r="AM330" i="1"/>
  <c r="AM540" i="1"/>
  <c r="AF461" i="1"/>
  <c r="AH502" i="1"/>
  <c r="AF415" i="1"/>
  <c r="AO546" i="1"/>
  <c r="AO442" i="1"/>
  <c r="AG363" i="1"/>
  <c r="AP336" i="1"/>
  <c r="AP447" i="1"/>
  <c r="AO570" i="1"/>
  <c r="AP365" i="1"/>
  <c r="AG352" i="1"/>
  <c r="AP352" i="1"/>
  <c r="AM384" i="1"/>
  <c r="AM352" i="1"/>
  <c r="AS48" i="1"/>
  <c r="AM289" i="1"/>
  <c r="AM583" i="1"/>
  <c r="AG453" i="1"/>
  <c r="AB574" i="1"/>
  <c r="AT574" i="1" s="1"/>
  <c r="AG400" i="1"/>
  <c r="AG368" i="1"/>
  <c r="AG347" i="1"/>
  <c r="AM368" i="1"/>
  <c r="AG320" i="1"/>
  <c r="AS295" i="1"/>
  <c r="AM48" i="1"/>
  <c r="AM4" i="1"/>
  <c r="AL421" i="1"/>
  <c r="AM467" i="1"/>
  <c r="AB474" i="1"/>
  <c r="AN474" i="1" s="1"/>
  <c r="AF450" i="1"/>
  <c r="AP483" i="1"/>
  <c r="AP465" i="1"/>
  <c r="AB530" i="1"/>
  <c r="AQ530" i="1" s="1"/>
  <c r="AP556" i="1"/>
  <c r="AS28" i="1"/>
  <c r="AL446" i="1"/>
  <c r="AF534" i="1"/>
  <c r="AR430" i="1"/>
  <c r="AF410" i="1"/>
  <c r="AS556" i="1"/>
  <c r="AG343" i="1"/>
  <c r="AS359" i="1"/>
  <c r="AP372" i="1"/>
  <c r="AM340" i="1"/>
  <c r="AS311" i="1"/>
  <c r="AS302" i="1"/>
  <c r="AG212" i="1"/>
  <c r="AG282" i="1"/>
  <c r="AG377" i="1"/>
  <c r="AG231" i="1"/>
  <c r="AP291" i="1"/>
  <c r="AP139" i="1"/>
  <c r="AS398" i="1"/>
  <c r="AS377" i="1"/>
  <c r="AG324" i="1"/>
  <c r="AS73" i="1"/>
  <c r="AG408" i="1"/>
  <c r="AG139" i="1"/>
  <c r="AF17" i="1"/>
  <c r="AM388" i="1"/>
  <c r="AM318" i="1"/>
  <c r="AM561" i="1"/>
  <c r="AL466" i="1"/>
  <c r="AL554" i="1"/>
  <c r="AM496" i="1"/>
  <c r="AL534" i="1"/>
  <c r="AM441" i="1"/>
  <c r="AM443" i="1"/>
  <c r="AF582" i="1"/>
  <c r="AG411" i="1"/>
  <c r="AF570" i="1"/>
  <c r="AO482" i="1"/>
  <c r="AS579" i="1"/>
  <c r="AB466" i="1"/>
  <c r="AN466" i="1" s="1"/>
  <c r="AM297" i="1"/>
  <c r="AP152" i="1"/>
  <c r="AG277" i="1"/>
  <c r="AG133" i="1"/>
  <c r="AM133" i="1"/>
  <c r="AG327" i="1"/>
  <c r="AG109" i="1"/>
  <c r="AS324" i="1"/>
  <c r="AM321" i="1"/>
  <c r="AP73" i="1"/>
  <c r="AB378" i="1"/>
  <c r="AT378" i="1" s="1"/>
  <c r="AG152" i="1"/>
  <c r="AP9" i="1"/>
  <c r="AM170" i="1"/>
  <c r="AM152" i="1"/>
  <c r="AP318" i="1"/>
  <c r="AM437" i="1"/>
  <c r="AM556" i="1"/>
  <c r="AF550" i="1"/>
  <c r="AP416" i="1"/>
  <c r="AR582" i="1"/>
  <c r="AF466" i="1"/>
  <c r="AR482" i="1"/>
  <c r="AP579" i="1"/>
  <c r="AR554" i="1"/>
  <c r="AO466" i="1"/>
  <c r="AG410" i="1"/>
  <c r="AM405" i="1"/>
  <c r="AP277" i="1"/>
  <c r="AS110" i="1"/>
  <c r="AB169" i="1"/>
  <c r="AN169" i="1" s="1"/>
  <c r="AP133" i="1"/>
  <c r="AS408" i="1"/>
  <c r="AG378" i="1"/>
  <c r="AM338" i="1"/>
  <c r="AB321" i="1"/>
  <c r="AN321" i="1" s="1"/>
  <c r="AP321" i="1"/>
  <c r="AG9" i="1"/>
  <c r="AG110" i="1"/>
  <c r="AS9" i="1"/>
  <c r="AM440" i="1"/>
  <c r="AM449" i="1"/>
  <c r="AL519" i="1"/>
  <c r="AM581" i="1"/>
  <c r="AM420" i="1"/>
  <c r="AM531" i="1"/>
  <c r="AS416" i="1"/>
  <c r="AL566" i="1"/>
  <c r="AB582" i="1"/>
  <c r="AQ582" i="1" s="1"/>
  <c r="AH457" i="1"/>
  <c r="AF586" i="1"/>
  <c r="AB529" i="1"/>
  <c r="AN529" i="1" s="1"/>
  <c r="AO554" i="1"/>
  <c r="AM410" i="1"/>
  <c r="AS399" i="1"/>
  <c r="AB9" i="1"/>
  <c r="AT9" i="1" s="1"/>
  <c r="AP169" i="1"/>
  <c r="AG318" i="1"/>
  <c r="AG399" i="1"/>
  <c r="AG73" i="1"/>
  <c r="AG388" i="1"/>
  <c r="AG291" i="1"/>
  <c r="AB359" i="1"/>
  <c r="AH359" i="1" s="1"/>
  <c r="AM359" i="1"/>
  <c r="AM481" i="1"/>
  <c r="AL550" i="1"/>
  <c r="AL570" i="1"/>
  <c r="AM529" i="1"/>
  <c r="AF430" i="1"/>
  <c r="AB446" i="1"/>
  <c r="AN446" i="1" s="1"/>
  <c r="AB550" i="1"/>
  <c r="AT550" i="1" s="1"/>
  <c r="AB566" i="1"/>
  <c r="AN566" i="1" s="1"/>
  <c r="AO582" i="1"/>
  <c r="AB410" i="1"/>
  <c r="AN410" i="1" s="1"/>
  <c r="AB441" i="1"/>
  <c r="AN441" i="1" s="1"/>
  <c r="AO586" i="1"/>
  <c r="AF546" i="1"/>
  <c r="AP410" i="1"/>
  <c r="AS327" i="1"/>
  <c r="AP302" i="1"/>
  <c r="AG62" i="1"/>
  <c r="AB139" i="1"/>
  <c r="AH139" i="1" s="1"/>
  <c r="AG95" i="1"/>
  <c r="AP398" i="1"/>
  <c r="AS338" i="1"/>
  <c r="AL447" i="1"/>
  <c r="AR534" i="1"/>
  <c r="AM379" i="1"/>
  <c r="AM206" i="1"/>
  <c r="AS337" i="1"/>
  <c r="AM282" i="1"/>
  <c r="AP405" i="1"/>
  <c r="AP110" i="1"/>
  <c r="AP378" i="1"/>
  <c r="AG358" i="1"/>
  <c r="AG337" i="1"/>
  <c r="AM62" i="1"/>
  <c r="AB377" i="1"/>
  <c r="AT377" i="1" s="1"/>
  <c r="AM139" i="1"/>
  <c r="AM28" i="1"/>
  <c r="AL482" i="1"/>
  <c r="AH438" i="1"/>
  <c r="AF566" i="1"/>
  <c r="AR446" i="1"/>
  <c r="AO550" i="1"/>
  <c r="AO566" i="1"/>
  <c r="AG481" i="1"/>
  <c r="AO410" i="1"/>
  <c r="AF433" i="1"/>
  <c r="AP529" i="1"/>
  <c r="AP311" i="1"/>
  <c r="AG170" i="1"/>
  <c r="AF446" i="1"/>
  <c r="AM337" i="1"/>
  <c r="AG397" i="1"/>
  <c r="AM378" i="1"/>
  <c r="AM300" i="1"/>
  <c r="AM406" i="1"/>
  <c r="AP379" i="1"/>
  <c r="AM302" i="1"/>
  <c r="AP406" i="1"/>
  <c r="AG121" i="1"/>
  <c r="AG405" i="1"/>
  <c r="AS379" i="1"/>
  <c r="AG406" i="1"/>
  <c r="AM358" i="1"/>
  <c r="AP337" i="1"/>
  <c r="AM63" i="1"/>
  <c r="AM397" i="1"/>
  <c r="AM231" i="1"/>
  <c r="AG169" i="1"/>
  <c r="AG206" i="1"/>
  <c r="AS62" i="1"/>
  <c r="AG28" i="1"/>
  <c r="AB95" i="1"/>
  <c r="AT95" i="1" s="1"/>
  <c r="AG297" i="1"/>
  <c r="AB398" i="1"/>
  <c r="AN398" i="1" s="1"/>
  <c r="AM506" i="1"/>
  <c r="AL450" i="1"/>
  <c r="AM411" i="1"/>
  <c r="AB586" i="1"/>
  <c r="AH586" i="1" s="1"/>
  <c r="AQ553" i="1"/>
  <c r="AT553" i="1"/>
  <c r="AN553" i="1"/>
  <c r="AT458" i="1"/>
  <c r="AQ458" i="1"/>
  <c r="AT506" i="1"/>
  <c r="AQ506" i="1"/>
  <c r="AN506" i="1"/>
  <c r="AP315" i="1"/>
  <c r="AP504" i="1"/>
  <c r="AS504" i="1"/>
  <c r="AS450" i="1"/>
  <c r="AP450" i="1"/>
  <c r="AM450" i="1"/>
  <c r="AG450" i="1"/>
  <c r="AS479" i="1"/>
  <c r="AP479" i="1"/>
  <c r="AG479" i="1"/>
  <c r="AP551" i="1"/>
  <c r="AS551" i="1"/>
  <c r="AR437" i="1"/>
  <c r="AO437" i="1"/>
  <c r="AB437" i="1"/>
  <c r="AH437" i="1" s="1"/>
  <c r="AR501" i="1"/>
  <c r="AO501" i="1"/>
  <c r="AB501" i="1"/>
  <c r="AN501" i="1" s="1"/>
  <c r="AR565" i="1"/>
  <c r="AO565" i="1"/>
  <c r="AB565" i="1"/>
  <c r="AH565" i="1" s="1"/>
  <c r="AQ454" i="1"/>
  <c r="AT454" i="1"/>
  <c r="AS417" i="1"/>
  <c r="AP417" i="1"/>
  <c r="AS490" i="1"/>
  <c r="AP490" i="1"/>
  <c r="AG490" i="1"/>
  <c r="AS569" i="1"/>
  <c r="AP569" i="1"/>
  <c r="AR455" i="1"/>
  <c r="AO455" i="1"/>
  <c r="AB455" i="1"/>
  <c r="AH455" i="1" s="1"/>
  <c r="AL455" i="1"/>
  <c r="AR519" i="1"/>
  <c r="AO519" i="1"/>
  <c r="AB519" i="1"/>
  <c r="AH519" i="1" s="1"/>
  <c r="AR583" i="1"/>
  <c r="AO583" i="1"/>
  <c r="AB583" i="1"/>
  <c r="AH583" i="1" s="1"/>
  <c r="AS537" i="1"/>
  <c r="AP537" i="1"/>
  <c r="AR424" i="1"/>
  <c r="AO424" i="1"/>
  <c r="AF424" i="1"/>
  <c r="AB424" i="1"/>
  <c r="AH424" i="1" s="1"/>
  <c r="AR488" i="1"/>
  <c r="AO488" i="1"/>
  <c r="AF488" i="1"/>
  <c r="AB488" i="1"/>
  <c r="AR552" i="1"/>
  <c r="AO552" i="1"/>
  <c r="AF552" i="1"/>
  <c r="AB552" i="1"/>
  <c r="AH552" i="1" s="1"/>
  <c r="AP430" i="1"/>
  <c r="AS430" i="1"/>
  <c r="AG430" i="1"/>
  <c r="AR443" i="1"/>
  <c r="AO443" i="1"/>
  <c r="AF443" i="1"/>
  <c r="AB443" i="1"/>
  <c r="AN443" i="1" s="1"/>
  <c r="AR507" i="1"/>
  <c r="AO507" i="1"/>
  <c r="AB507" i="1"/>
  <c r="AH507" i="1" s="1"/>
  <c r="AF507" i="1"/>
  <c r="AR571" i="1"/>
  <c r="AO571" i="1"/>
  <c r="AF571" i="1"/>
  <c r="AB571" i="1"/>
  <c r="AH571" i="1" s="1"/>
  <c r="AB490" i="1"/>
  <c r="AP550" i="1"/>
  <c r="AS550" i="1"/>
  <c r="AG550" i="1"/>
  <c r="AO436" i="1"/>
  <c r="AR436" i="1"/>
  <c r="AB436" i="1"/>
  <c r="AH436" i="1" s="1"/>
  <c r="AF436" i="1"/>
  <c r="AO500" i="1"/>
  <c r="AR500" i="1"/>
  <c r="AB500" i="1"/>
  <c r="AN500" i="1" s="1"/>
  <c r="AF500" i="1"/>
  <c r="AO564" i="1"/>
  <c r="AR564" i="1"/>
  <c r="AL564" i="1"/>
  <c r="AF564" i="1"/>
  <c r="AB564" i="1"/>
  <c r="AH564" i="1" s="1"/>
  <c r="AS513" i="1"/>
  <c r="AP513" i="1"/>
  <c r="AP459" i="1"/>
  <c r="AS459" i="1"/>
  <c r="AP559" i="1"/>
  <c r="AS559" i="1"/>
  <c r="AO445" i="1"/>
  <c r="AR445" i="1"/>
  <c r="AB445" i="1"/>
  <c r="AF445" i="1"/>
  <c r="AO509" i="1"/>
  <c r="AR509" i="1"/>
  <c r="AB509" i="1"/>
  <c r="AN509" i="1" s="1"/>
  <c r="AO573" i="1"/>
  <c r="AR573" i="1"/>
  <c r="AB573" i="1"/>
  <c r="AS426" i="1"/>
  <c r="AP426" i="1"/>
  <c r="AG426" i="1"/>
  <c r="AP499" i="1"/>
  <c r="AS499" i="1"/>
  <c r="AS577" i="1"/>
  <c r="AP577" i="1"/>
  <c r="AG577" i="1"/>
  <c r="AR463" i="1"/>
  <c r="AO463" i="1"/>
  <c r="AB463" i="1"/>
  <c r="AH463" i="1" s="1"/>
  <c r="AR527" i="1"/>
  <c r="AO527" i="1"/>
  <c r="AB527" i="1"/>
  <c r="AF527" i="1"/>
  <c r="AS546" i="1"/>
  <c r="AP546" i="1"/>
  <c r="AG546" i="1"/>
  <c r="AR432" i="1"/>
  <c r="AO432" i="1"/>
  <c r="AL432" i="1"/>
  <c r="AF432" i="1"/>
  <c r="AB432" i="1"/>
  <c r="AR496" i="1"/>
  <c r="AO496" i="1"/>
  <c r="AF496" i="1"/>
  <c r="AL496" i="1"/>
  <c r="AB496" i="1"/>
  <c r="AR560" i="1"/>
  <c r="AO560" i="1"/>
  <c r="AF560" i="1"/>
  <c r="AB560" i="1"/>
  <c r="AS428" i="1"/>
  <c r="AP428" i="1"/>
  <c r="AM428" i="1"/>
  <c r="AS460" i="1"/>
  <c r="AP460" i="1"/>
  <c r="AS492" i="1"/>
  <c r="AP492" i="1"/>
  <c r="AS524" i="1"/>
  <c r="AP524" i="1"/>
  <c r="AQ434" i="1"/>
  <c r="AT434" i="1"/>
  <c r="AH553" i="1"/>
  <c r="AS437" i="1"/>
  <c r="AP437" i="1"/>
  <c r="AS469" i="1"/>
  <c r="AP469" i="1"/>
  <c r="AG469" i="1"/>
  <c r="AS517" i="1"/>
  <c r="AP517" i="1"/>
  <c r="AP549" i="1"/>
  <c r="AS549" i="1"/>
  <c r="AG549" i="1"/>
  <c r="AS581" i="1"/>
  <c r="AP581" i="1"/>
  <c r="AR467" i="1"/>
  <c r="AO467" i="1"/>
  <c r="AB467" i="1"/>
  <c r="AH467" i="1" s="1"/>
  <c r="AR531" i="1"/>
  <c r="AO531" i="1"/>
  <c r="AB531" i="1"/>
  <c r="AP414" i="1"/>
  <c r="AS414" i="1"/>
  <c r="AS462" i="1"/>
  <c r="AP462" i="1"/>
  <c r="AM462" i="1"/>
  <c r="AS510" i="1"/>
  <c r="AP510" i="1"/>
  <c r="AM510" i="1"/>
  <c r="AP574" i="1"/>
  <c r="AS574" i="1"/>
  <c r="AM574" i="1"/>
  <c r="AR460" i="1"/>
  <c r="AO460" i="1"/>
  <c r="AL460" i="1"/>
  <c r="AB460" i="1"/>
  <c r="AR524" i="1"/>
  <c r="AL524" i="1"/>
  <c r="AO524" i="1"/>
  <c r="AB524" i="1"/>
  <c r="AH524" i="1" s="1"/>
  <c r="AG559" i="1"/>
  <c r="AP431" i="1"/>
  <c r="AS431" i="1"/>
  <c r="AP522" i="1"/>
  <c r="AS522" i="1"/>
  <c r="AG522" i="1"/>
  <c r="AP487" i="1"/>
  <c r="AS487" i="1"/>
  <c r="AM487" i="1"/>
  <c r="AG487" i="1"/>
  <c r="AP567" i="1"/>
  <c r="AS567" i="1"/>
  <c r="AO453" i="1"/>
  <c r="AR453" i="1"/>
  <c r="AB453" i="1"/>
  <c r="AH453" i="1" s="1"/>
  <c r="AO517" i="1"/>
  <c r="AR517" i="1"/>
  <c r="AB517" i="1"/>
  <c r="AR581" i="1"/>
  <c r="AO581" i="1"/>
  <c r="AB581" i="1"/>
  <c r="AF581" i="1"/>
  <c r="AS535" i="1"/>
  <c r="AP535" i="1"/>
  <c r="AP435" i="1"/>
  <c r="AS435" i="1"/>
  <c r="AS527" i="1"/>
  <c r="AP527" i="1"/>
  <c r="AS585" i="1"/>
  <c r="AP585" i="1"/>
  <c r="AR471" i="1"/>
  <c r="AO471" i="1"/>
  <c r="AF471" i="1"/>
  <c r="AB471" i="1"/>
  <c r="AR535" i="1"/>
  <c r="AO535" i="1"/>
  <c r="AB535" i="1"/>
  <c r="AS473" i="1"/>
  <c r="AP473" i="1"/>
  <c r="AS554" i="1"/>
  <c r="AP554" i="1"/>
  <c r="AG554" i="1"/>
  <c r="AR440" i="1"/>
  <c r="AO440" i="1"/>
  <c r="AF440" i="1"/>
  <c r="AB440" i="1"/>
  <c r="AR504" i="1"/>
  <c r="AO504" i="1"/>
  <c r="AF504" i="1"/>
  <c r="AB504" i="1"/>
  <c r="AR568" i="1"/>
  <c r="AO568" i="1"/>
  <c r="AF568" i="1"/>
  <c r="AB568" i="1"/>
  <c r="AH568" i="1" s="1"/>
  <c r="AG499" i="1"/>
  <c r="AO427" i="1"/>
  <c r="AR427" i="1"/>
  <c r="AB427" i="1"/>
  <c r="AN427" i="1" s="1"/>
  <c r="AF427" i="1"/>
  <c r="AR491" i="1"/>
  <c r="AO491" i="1"/>
  <c r="AB491" i="1"/>
  <c r="AH491" i="1" s="1"/>
  <c r="AF491" i="1"/>
  <c r="AO555" i="1"/>
  <c r="AR555" i="1"/>
  <c r="AB555" i="1"/>
  <c r="AN555" i="1" s="1"/>
  <c r="AF555" i="1"/>
  <c r="AH458" i="1"/>
  <c r="AB546" i="1"/>
  <c r="AH546" i="1" s="1"/>
  <c r="AP486" i="1"/>
  <c r="AS486" i="1"/>
  <c r="AG486" i="1"/>
  <c r="AS534" i="1"/>
  <c r="AP534" i="1"/>
  <c r="AM534" i="1"/>
  <c r="AG534" i="1"/>
  <c r="AR420" i="1"/>
  <c r="AO420" i="1"/>
  <c r="AL420" i="1"/>
  <c r="AF420" i="1"/>
  <c r="AB420" i="1"/>
  <c r="AN420" i="1" s="1"/>
  <c r="AR484" i="1"/>
  <c r="AO484" i="1"/>
  <c r="AL484" i="1"/>
  <c r="AF484" i="1"/>
  <c r="AB484" i="1"/>
  <c r="AH484" i="1" s="1"/>
  <c r="AR548" i="1"/>
  <c r="AO548" i="1"/>
  <c r="AF548" i="1"/>
  <c r="AB548" i="1"/>
  <c r="AN548" i="1" s="1"/>
  <c r="AL548" i="1"/>
  <c r="AG567" i="1"/>
  <c r="AS429" i="1"/>
  <c r="AP429" i="1"/>
  <c r="AG429" i="1"/>
  <c r="AB450" i="1"/>
  <c r="AN450" i="1" s="1"/>
  <c r="AB537" i="1"/>
  <c r="AN537" i="1" s="1"/>
  <c r="AB426" i="1"/>
  <c r="AP64" i="1"/>
  <c r="AM324" i="1"/>
  <c r="AM276" i="1"/>
  <c r="AP347" i="1"/>
  <c r="AP331" i="1"/>
  <c r="AS356" i="1"/>
  <c r="AM212" i="1"/>
  <c r="AG276" i="1"/>
  <c r="AM65" i="1"/>
  <c r="AM356" i="1"/>
  <c r="AG249" i="1"/>
  <c r="AB276" i="1"/>
  <c r="AQ276" i="1" s="1"/>
  <c r="AM577" i="1"/>
  <c r="AM585" i="1"/>
  <c r="AL471" i="1"/>
  <c r="AL535" i="1"/>
  <c r="AP440" i="1"/>
  <c r="AS440" i="1"/>
  <c r="AP531" i="1"/>
  <c r="AS531" i="1"/>
  <c r="AS496" i="1"/>
  <c r="AP496" i="1"/>
  <c r="AL491" i="1"/>
  <c r="AL555" i="1"/>
  <c r="AF535" i="1"/>
  <c r="AS497" i="1"/>
  <c r="AP497" i="1"/>
  <c r="AS575" i="1"/>
  <c r="AP575" i="1"/>
  <c r="AR461" i="1"/>
  <c r="AO461" i="1"/>
  <c r="AB461" i="1"/>
  <c r="AN461" i="1" s="1"/>
  <c r="AR525" i="1"/>
  <c r="AO525" i="1"/>
  <c r="AF525" i="1"/>
  <c r="AB525" i="1"/>
  <c r="AN525" i="1" s="1"/>
  <c r="AG504" i="1"/>
  <c r="AH510" i="1"/>
  <c r="AT438" i="1"/>
  <c r="AQ438" i="1"/>
  <c r="AB462" i="1"/>
  <c r="AT502" i="1"/>
  <c r="AQ502" i="1"/>
  <c r="AF573" i="1"/>
  <c r="AR415" i="1"/>
  <c r="AO415" i="1"/>
  <c r="AB415" i="1"/>
  <c r="AH415" i="1" s="1"/>
  <c r="AR479" i="1"/>
  <c r="AO479" i="1"/>
  <c r="AB479" i="1"/>
  <c r="AH479" i="1" s="1"/>
  <c r="AR543" i="1"/>
  <c r="AO543" i="1"/>
  <c r="AB543" i="1"/>
  <c r="AH543" i="1" s="1"/>
  <c r="AS482" i="1"/>
  <c r="AP482" i="1"/>
  <c r="AG482" i="1"/>
  <c r="AS562" i="1"/>
  <c r="AP562" i="1"/>
  <c r="AG562" i="1"/>
  <c r="AB562" i="1"/>
  <c r="AN562" i="1" s="1"/>
  <c r="AR448" i="1"/>
  <c r="AO448" i="1"/>
  <c r="AB448" i="1"/>
  <c r="AH448" i="1" s="1"/>
  <c r="AF448" i="1"/>
  <c r="AR512" i="1"/>
  <c r="AO512" i="1"/>
  <c r="AF512" i="1"/>
  <c r="AB512" i="1"/>
  <c r="AR576" i="1"/>
  <c r="AO576" i="1"/>
  <c r="AB576" i="1"/>
  <c r="AN576" i="1" s="1"/>
  <c r="AF576" i="1"/>
  <c r="AS436" i="1"/>
  <c r="AP436" i="1"/>
  <c r="AP468" i="1"/>
  <c r="AS468" i="1"/>
  <c r="AS500" i="1"/>
  <c r="AP500" i="1"/>
  <c r="AP532" i="1"/>
  <c r="AS532" i="1"/>
  <c r="AG459" i="1"/>
  <c r="AS445" i="1"/>
  <c r="AP445" i="1"/>
  <c r="AS477" i="1"/>
  <c r="AP477" i="1"/>
  <c r="AG477" i="1"/>
  <c r="AS525" i="1"/>
  <c r="AP525" i="1"/>
  <c r="AG525" i="1"/>
  <c r="AS557" i="1"/>
  <c r="AP557" i="1"/>
  <c r="AG557" i="1"/>
  <c r="AR451" i="1"/>
  <c r="AO451" i="1"/>
  <c r="AB451" i="1"/>
  <c r="AN451" i="1" s="1"/>
  <c r="AR515" i="1"/>
  <c r="AO515" i="1"/>
  <c r="AB515" i="1"/>
  <c r="AH515" i="1" s="1"/>
  <c r="AR579" i="1"/>
  <c r="AO579" i="1"/>
  <c r="AB579" i="1"/>
  <c r="AH579" i="1" s="1"/>
  <c r="AB513" i="1"/>
  <c r="AN513" i="1" s="1"/>
  <c r="AS446" i="1"/>
  <c r="AP446" i="1"/>
  <c r="AM446" i="1"/>
  <c r="AP558" i="1"/>
  <c r="AS558" i="1"/>
  <c r="AM558" i="1"/>
  <c r="AG558" i="1"/>
  <c r="AO444" i="1"/>
  <c r="AR444" i="1"/>
  <c r="AL444" i="1"/>
  <c r="AB444" i="1"/>
  <c r="AF444" i="1"/>
  <c r="AO508" i="1"/>
  <c r="AR508" i="1"/>
  <c r="AL508" i="1"/>
  <c r="AB508" i="1"/>
  <c r="AH508" i="1" s="1"/>
  <c r="AF508" i="1"/>
  <c r="AR572" i="1"/>
  <c r="AO572" i="1"/>
  <c r="AL572" i="1"/>
  <c r="AB572" i="1"/>
  <c r="AF572" i="1"/>
  <c r="AS493" i="1"/>
  <c r="AP493" i="1"/>
  <c r="AG493" i="1"/>
  <c r="AM64" i="1"/>
  <c r="AG372" i="1"/>
  <c r="AP356" i="1"/>
  <c r="AG65" i="1"/>
  <c r="AB212" i="1"/>
  <c r="AQ212" i="1" s="1"/>
  <c r="AM404" i="1"/>
  <c r="AB98" i="1"/>
  <c r="AT98" i="1" s="1"/>
  <c r="AG331" i="1"/>
  <c r="AS388" i="1"/>
  <c r="AM431" i="1"/>
  <c r="AM559" i="1"/>
  <c r="AL463" i="1"/>
  <c r="AM522" i="1"/>
  <c r="AM492" i="1"/>
  <c r="AF531" i="1"/>
  <c r="AS449" i="1"/>
  <c r="AP449" i="1"/>
  <c r="AS505" i="1"/>
  <c r="AP505" i="1"/>
  <c r="AM505" i="1"/>
  <c r="AG505" i="1"/>
  <c r="AB505" i="1"/>
  <c r="AL427" i="1"/>
  <c r="AS433" i="1"/>
  <c r="AP433" i="1"/>
  <c r="AS506" i="1"/>
  <c r="AP506" i="1"/>
  <c r="AG506" i="1"/>
  <c r="AP583" i="1"/>
  <c r="AS583" i="1"/>
  <c r="AR469" i="1"/>
  <c r="AO469" i="1"/>
  <c r="AB469" i="1"/>
  <c r="AN469" i="1" s="1"/>
  <c r="AR533" i="1"/>
  <c r="AO533" i="1"/>
  <c r="AB533" i="1"/>
  <c r="AG497" i="1"/>
  <c r="AR423" i="1"/>
  <c r="AO423" i="1"/>
  <c r="AB423" i="1"/>
  <c r="AH423" i="1" s="1"/>
  <c r="AL423" i="1"/>
  <c r="AR487" i="1"/>
  <c r="AO487" i="1"/>
  <c r="AB487" i="1"/>
  <c r="AR551" i="1"/>
  <c r="AO551" i="1"/>
  <c r="AB551" i="1"/>
  <c r="AH551" i="1" s="1"/>
  <c r="AS418" i="1"/>
  <c r="AP418" i="1"/>
  <c r="AG418" i="1"/>
  <c r="AP491" i="1"/>
  <c r="AS491" i="1"/>
  <c r="AS570" i="1"/>
  <c r="AP570" i="1"/>
  <c r="AG570" i="1"/>
  <c r="AB570" i="1"/>
  <c r="AH570" i="1" s="1"/>
  <c r="AO456" i="1"/>
  <c r="AR456" i="1"/>
  <c r="AF456" i="1"/>
  <c r="AB456" i="1"/>
  <c r="AR520" i="1"/>
  <c r="AO520" i="1"/>
  <c r="AF520" i="1"/>
  <c r="AB520" i="1"/>
  <c r="AH520" i="1" s="1"/>
  <c r="AO584" i="1"/>
  <c r="AR584" i="1"/>
  <c r="AF584" i="1"/>
  <c r="AB584" i="1"/>
  <c r="AB497" i="1"/>
  <c r="AH497" i="1" s="1"/>
  <c r="AS502" i="1"/>
  <c r="AP502" i="1"/>
  <c r="AM502" i="1"/>
  <c r="AG502" i="1"/>
  <c r="AT457" i="1"/>
  <c r="AQ457" i="1"/>
  <c r="AR411" i="1"/>
  <c r="AO411" i="1"/>
  <c r="AB411" i="1"/>
  <c r="AF411" i="1"/>
  <c r="AR475" i="1"/>
  <c r="AO475" i="1"/>
  <c r="AB475" i="1"/>
  <c r="AH475" i="1" s="1"/>
  <c r="AF475" i="1"/>
  <c r="AR539" i="1"/>
  <c r="AO539" i="1"/>
  <c r="AB539" i="1"/>
  <c r="AF539" i="1"/>
  <c r="AG428" i="1"/>
  <c r="AG492" i="1"/>
  <c r="AH434" i="1"/>
  <c r="AH506" i="1"/>
  <c r="AB482" i="1"/>
  <c r="AP422" i="1"/>
  <c r="AS422" i="1"/>
  <c r="AG422" i="1"/>
  <c r="AS470" i="1"/>
  <c r="AP470" i="1"/>
  <c r="AM470" i="1"/>
  <c r="AG470" i="1"/>
  <c r="AS518" i="1"/>
  <c r="AP518" i="1"/>
  <c r="AM518" i="1"/>
  <c r="AS582" i="1"/>
  <c r="AP582" i="1"/>
  <c r="AM582" i="1"/>
  <c r="AR468" i="1"/>
  <c r="AO468" i="1"/>
  <c r="AB468" i="1"/>
  <c r="AR532" i="1"/>
  <c r="AO532" i="1"/>
  <c r="AL532" i="1"/>
  <c r="AB532" i="1"/>
  <c r="AH532" i="1" s="1"/>
  <c r="AP485" i="1"/>
  <c r="AS485" i="1"/>
  <c r="AG485" i="1"/>
  <c r="AB554" i="1"/>
  <c r="AF453" i="1"/>
  <c r="AM295" i="1"/>
  <c r="AS64" i="1"/>
  <c r="AS276" i="1"/>
  <c r="AP212" i="1"/>
  <c r="AM161" i="1"/>
  <c r="AL527" i="1"/>
  <c r="AM554" i="1"/>
  <c r="AL453" i="1"/>
  <c r="AG517" i="1"/>
  <c r="AP458" i="1"/>
  <c r="AS458" i="1"/>
  <c r="AG458" i="1"/>
  <c r="AP423" i="1"/>
  <c r="AS423" i="1"/>
  <c r="AS514" i="1"/>
  <c r="AP514" i="1"/>
  <c r="AG514" i="1"/>
  <c r="AL467" i="1"/>
  <c r="AL531" i="1"/>
  <c r="AG431" i="1"/>
  <c r="AG527" i="1"/>
  <c r="AP442" i="1"/>
  <c r="AS442" i="1"/>
  <c r="AG442" i="1"/>
  <c r="AR413" i="1"/>
  <c r="AO413" i="1"/>
  <c r="AL413" i="1"/>
  <c r="AB413" i="1"/>
  <c r="AR477" i="1"/>
  <c r="AO477" i="1"/>
  <c r="AB477" i="1"/>
  <c r="AN477" i="1" s="1"/>
  <c r="AR541" i="1"/>
  <c r="AO541" i="1"/>
  <c r="AB541" i="1"/>
  <c r="AQ526" i="1"/>
  <c r="AT526" i="1"/>
  <c r="AS545" i="1"/>
  <c r="AP545" i="1"/>
  <c r="AR431" i="1"/>
  <c r="AO431" i="1"/>
  <c r="AB431" i="1"/>
  <c r="AR495" i="1"/>
  <c r="AO495" i="1"/>
  <c r="AL495" i="1"/>
  <c r="AB495" i="1"/>
  <c r="AH495" i="1" s="1"/>
  <c r="AR559" i="1"/>
  <c r="AO559" i="1"/>
  <c r="AB559" i="1"/>
  <c r="AP427" i="1"/>
  <c r="AS427" i="1"/>
  <c r="AP519" i="1"/>
  <c r="AS519" i="1"/>
  <c r="AS578" i="1"/>
  <c r="AP578" i="1"/>
  <c r="AM578" i="1"/>
  <c r="AG578" i="1"/>
  <c r="AR464" i="1"/>
  <c r="AO464" i="1"/>
  <c r="AB464" i="1"/>
  <c r="AL464" i="1"/>
  <c r="AF464" i="1"/>
  <c r="AO528" i="1"/>
  <c r="AR528" i="1"/>
  <c r="AL528" i="1"/>
  <c r="AF528" i="1"/>
  <c r="AB528" i="1"/>
  <c r="AH528" i="1" s="1"/>
  <c r="AP412" i="1"/>
  <c r="AS412" i="1"/>
  <c r="AG412" i="1"/>
  <c r="AS444" i="1"/>
  <c r="AP444" i="1"/>
  <c r="AS476" i="1"/>
  <c r="AP476" i="1"/>
  <c r="AS508" i="1"/>
  <c r="AP508" i="1"/>
  <c r="AP540" i="1"/>
  <c r="AS540" i="1"/>
  <c r="AG427" i="1"/>
  <c r="AG449" i="1"/>
  <c r="AS453" i="1"/>
  <c r="AP453" i="1"/>
  <c r="AS501" i="1"/>
  <c r="AP501" i="1"/>
  <c r="AS533" i="1"/>
  <c r="AP533" i="1"/>
  <c r="AG533" i="1"/>
  <c r="AS565" i="1"/>
  <c r="AP565" i="1"/>
  <c r="AO435" i="1"/>
  <c r="AR435" i="1"/>
  <c r="AF435" i="1"/>
  <c r="AB435" i="1"/>
  <c r="AO499" i="1"/>
  <c r="AR499" i="1"/>
  <c r="AF499" i="1"/>
  <c r="AB499" i="1"/>
  <c r="AH499" i="1" s="1"/>
  <c r="AO563" i="1"/>
  <c r="AR563" i="1"/>
  <c r="AB563" i="1"/>
  <c r="AH563" i="1" s="1"/>
  <c r="AF563" i="1"/>
  <c r="AG436" i="1"/>
  <c r="AG500" i="1"/>
  <c r="AB569" i="1"/>
  <c r="AN569" i="1" s="1"/>
  <c r="AS542" i="1"/>
  <c r="AP542" i="1"/>
  <c r="AM542" i="1"/>
  <c r="AG542" i="1"/>
  <c r="AR428" i="1"/>
  <c r="AL428" i="1"/>
  <c r="AF428" i="1"/>
  <c r="AB428" i="1"/>
  <c r="AO428" i="1"/>
  <c r="AR492" i="1"/>
  <c r="AO492" i="1"/>
  <c r="AL492" i="1"/>
  <c r="AF492" i="1"/>
  <c r="AB492" i="1"/>
  <c r="AO556" i="1"/>
  <c r="AR556" i="1"/>
  <c r="AL556" i="1"/>
  <c r="AB556" i="1"/>
  <c r="AM546" i="1"/>
  <c r="AB514" i="1"/>
  <c r="AH514" i="1" s="1"/>
  <c r="AB473" i="1"/>
  <c r="AH473" i="1" s="1"/>
  <c r="AB578" i="1"/>
  <c r="AN578" i="1" s="1"/>
  <c r="AG315" i="1"/>
  <c r="AG387" i="1"/>
  <c r="AM387" i="1"/>
  <c r="AP363" i="1"/>
  <c r="AG300" i="1"/>
  <c r="AL560" i="1"/>
  <c r="AL440" i="1"/>
  <c r="AL568" i="1"/>
  <c r="AM460" i="1"/>
  <c r="AL509" i="1"/>
  <c r="AN434" i="1"/>
  <c r="AM435" i="1"/>
  <c r="AM499" i="1"/>
  <c r="AP467" i="1"/>
  <c r="AS467" i="1"/>
  <c r="AP432" i="1"/>
  <c r="AS432" i="1"/>
  <c r="AM432" i="1"/>
  <c r="AP523" i="1"/>
  <c r="AS523" i="1"/>
  <c r="AG535" i="1"/>
  <c r="AR421" i="1"/>
  <c r="AO421" i="1"/>
  <c r="AB421" i="1"/>
  <c r="AN421" i="1" s="1"/>
  <c r="AR485" i="1"/>
  <c r="AO485" i="1"/>
  <c r="AB485" i="1"/>
  <c r="AR549" i="1"/>
  <c r="AO549" i="1"/>
  <c r="AB549" i="1"/>
  <c r="AL549" i="1"/>
  <c r="AS434" i="1"/>
  <c r="AP434" i="1"/>
  <c r="AG434" i="1"/>
  <c r="AQ510" i="1"/>
  <c r="AT510" i="1"/>
  <c r="AS553" i="1"/>
  <c r="AP553" i="1"/>
  <c r="AG553" i="1"/>
  <c r="AR439" i="1"/>
  <c r="AO439" i="1"/>
  <c r="AB439" i="1"/>
  <c r="AR503" i="1"/>
  <c r="AO503" i="1"/>
  <c r="AB503" i="1"/>
  <c r="AR567" i="1"/>
  <c r="AO567" i="1"/>
  <c r="AL567" i="1"/>
  <c r="AB567" i="1"/>
  <c r="AS586" i="1"/>
  <c r="AP586" i="1"/>
  <c r="AG586" i="1"/>
  <c r="AR472" i="1"/>
  <c r="AO472" i="1"/>
  <c r="AF472" i="1"/>
  <c r="AB472" i="1"/>
  <c r="AH472" i="1" s="1"/>
  <c r="AO536" i="1"/>
  <c r="AR536" i="1"/>
  <c r="AB536" i="1"/>
  <c r="AF536" i="1"/>
  <c r="AG513" i="1"/>
  <c r="AP494" i="1"/>
  <c r="AS494" i="1"/>
  <c r="AM494" i="1"/>
  <c r="AG494" i="1"/>
  <c r="AB522" i="1"/>
  <c r="AH522" i="1" s="1"/>
  <c r="AO459" i="1"/>
  <c r="AR459" i="1"/>
  <c r="AB459" i="1"/>
  <c r="AH459" i="1" s="1"/>
  <c r="AR523" i="1"/>
  <c r="AO523" i="1"/>
  <c r="AB523" i="1"/>
  <c r="AR587" i="1"/>
  <c r="AO587" i="1"/>
  <c r="AB587" i="1"/>
  <c r="AN587" i="1" s="1"/>
  <c r="AB577" i="1"/>
  <c r="AH577" i="1" s="1"/>
  <c r="AG444" i="1"/>
  <c r="AG508" i="1"/>
  <c r="AS454" i="1"/>
  <c r="AM454" i="1"/>
  <c r="AP454" i="1"/>
  <c r="AS566" i="1"/>
  <c r="AM566" i="1"/>
  <c r="AP566" i="1"/>
  <c r="AG566" i="1"/>
  <c r="AR452" i="1"/>
  <c r="AO452" i="1"/>
  <c r="AL452" i="1"/>
  <c r="AF452" i="1"/>
  <c r="AB452" i="1"/>
  <c r="AN452" i="1" s="1"/>
  <c r="AR516" i="1"/>
  <c r="AO516" i="1"/>
  <c r="AL516" i="1"/>
  <c r="AB516" i="1"/>
  <c r="AF516" i="1"/>
  <c r="AR580" i="1"/>
  <c r="AL580" i="1"/>
  <c r="AO580" i="1"/>
  <c r="AF580" i="1"/>
  <c r="AB580" i="1"/>
  <c r="AB417" i="1"/>
  <c r="AH417" i="1" s="1"/>
  <c r="AP404" i="1"/>
  <c r="AL80" i="1"/>
  <c r="AG129" i="1"/>
  <c r="AN510" i="1"/>
  <c r="AM479" i="1"/>
  <c r="AM513" i="1"/>
  <c r="AM469" i="1"/>
  <c r="AN458" i="1"/>
  <c r="AM567" i="1"/>
  <c r="AL525" i="1"/>
  <c r="AN454" i="1"/>
  <c r="AM473" i="1"/>
  <c r="AL439" i="1"/>
  <c r="AP495" i="1"/>
  <c r="AS495" i="1"/>
  <c r="AG462" i="1"/>
  <c r="AS441" i="1"/>
  <c r="AP441" i="1"/>
  <c r="AG551" i="1"/>
  <c r="AF501" i="1"/>
  <c r="AS543" i="1"/>
  <c r="AP543" i="1"/>
  <c r="AR429" i="1"/>
  <c r="AO429" i="1"/>
  <c r="AB429" i="1"/>
  <c r="AN429" i="1" s="1"/>
  <c r="AR493" i="1"/>
  <c r="AO493" i="1"/>
  <c r="AB493" i="1"/>
  <c r="AR557" i="1"/>
  <c r="AO557" i="1"/>
  <c r="AB557" i="1"/>
  <c r="AG432" i="1"/>
  <c r="AS498" i="1"/>
  <c r="AP498" i="1"/>
  <c r="AG498" i="1"/>
  <c r="AB430" i="1"/>
  <c r="AG537" i="1"/>
  <c r="AS481" i="1"/>
  <c r="AP481" i="1"/>
  <c r="AS561" i="1"/>
  <c r="AP561" i="1"/>
  <c r="AB561" i="1"/>
  <c r="AR447" i="1"/>
  <c r="AO447" i="1"/>
  <c r="AB447" i="1"/>
  <c r="AN447" i="1" s="1"/>
  <c r="AR511" i="1"/>
  <c r="AO511" i="1"/>
  <c r="AB511" i="1"/>
  <c r="AH511" i="1" s="1"/>
  <c r="AR575" i="1"/>
  <c r="AO575" i="1"/>
  <c r="AL575" i="1"/>
  <c r="AB575" i="1"/>
  <c r="AH575" i="1" s="1"/>
  <c r="AO416" i="1"/>
  <c r="AR416" i="1"/>
  <c r="AF416" i="1"/>
  <c r="AB416" i="1"/>
  <c r="AO480" i="1"/>
  <c r="AR480" i="1"/>
  <c r="AF480" i="1"/>
  <c r="AB480" i="1"/>
  <c r="AH480" i="1" s="1"/>
  <c r="AO544" i="1"/>
  <c r="AR544" i="1"/>
  <c r="AF544" i="1"/>
  <c r="AB544" i="1"/>
  <c r="AS420" i="1"/>
  <c r="AP420" i="1"/>
  <c r="AS452" i="1"/>
  <c r="AP452" i="1"/>
  <c r="AS484" i="1"/>
  <c r="AP484" i="1"/>
  <c r="AM484" i="1"/>
  <c r="AS516" i="1"/>
  <c r="AP516" i="1"/>
  <c r="AM408" i="1"/>
  <c r="AG569" i="1"/>
  <c r="AB433" i="1"/>
  <c r="AH433" i="1" s="1"/>
  <c r="AS438" i="1"/>
  <c r="AP438" i="1"/>
  <c r="AM438" i="1"/>
  <c r="AG438" i="1"/>
  <c r="AB498" i="1"/>
  <c r="AB585" i="1"/>
  <c r="AH585" i="1" s="1"/>
  <c r="AG523" i="1"/>
  <c r="AP413" i="1"/>
  <c r="AS413" i="1"/>
  <c r="AS461" i="1"/>
  <c r="AP461" i="1"/>
  <c r="AG461" i="1"/>
  <c r="AS509" i="1"/>
  <c r="AP509" i="1"/>
  <c r="AP541" i="1"/>
  <c r="AS541" i="1"/>
  <c r="AG541" i="1"/>
  <c r="AP573" i="1"/>
  <c r="AS573" i="1"/>
  <c r="AR419" i="1"/>
  <c r="AO419" i="1"/>
  <c r="AF419" i="1"/>
  <c r="AB419" i="1"/>
  <c r="AR483" i="1"/>
  <c r="AO483" i="1"/>
  <c r="AF483" i="1"/>
  <c r="AB483" i="1"/>
  <c r="AN483" i="1" s="1"/>
  <c r="AR547" i="1"/>
  <c r="AO547" i="1"/>
  <c r="AF547" i="1"/>
  <c r="AB547" i="1"/>
  <c r="AH547" i="1" s="1"/>
  <c r="AG452" i="1"/>
  <c r="AG516" i="1"/>
  <c r="AB418" i="1"/>
  <c r="AH418" i="1" s="1"/>
  <c r="AS478" i="1"/>
  <c r="AP478" i="1"/>
  <c r="AM478" i="1"/>
  <c r="AG478" i="1"/>
  <c r="AS526" i="1"/>
  <c r="AM526" i="1"/>
  <c r="AP526" i="1"/>
  <c r="AR412" i="1"/>
  <c r="AO412" i="1"/>
  <c r="AL412" i="1"/>
  <c r="AB412" i="1"/>
  <c r="AR476" i="1"/>
  <c r="AL476" i="1"/>
  <c r="AO476" i="1"/>
  <c r="AB476" i="1"/>
  <c r="AH476" i="1" s="1"/>
  <c r="AR540" i="1"/>
  <c r="AO540" i="1"/>
  <c r="AL540" i="1"/>
  <c r="AB540" i="1"/>
  <c r="AP421" i="1"/>
  <c r="AS421" i="1"/>
  <c r="AG421" i="1"/>
  <c r="AM418" i="1"/>
  <c r="AL576" i="1"/>
  <c r="AF517" i="1"/>
  <c r="AG102" i="1"/>
  <c r="AS247" i="1"/>
  <c r="AR80" i="1"/>
  <c r="AS102" i="1"/>
  <c r="AG222" i="1"/>
  <c r="AO318" i="1"/>
  <c r="AB318" i="1"/>
  <c r="AT318" i="1" s="1"/>
  <c r="AF42" i="1"/>
  <c r="AO42" i="1"/>
  <c r="AF316" i="1"/>
  <c r="AO192" i="1"/>
  <c r="AF165" i="1"/>
  <c r="AO396" i="1"/>
  <c r="AF198" i="1"/>
  <c r="AR198" i="1"/>
  <c r="AL165" i="1"/>
  <c r="AO165" i="1"/>
  <c r="AF45" i="1"/>
  <c r="AP265" i="1"/>
  <c r="AG14" i="1"/>
  <c r="AP61" i="1"/>
  <c r="AM247" i="1"/>
  <c r="AG98" i="1"/>
  <c r="AR217" i="1"/>
  <c r="AG247" i="1"/>
  <c r="AS98" i="1"/>
  <c r="AR164" i="1"/>
  <c r="AM98" i="1"/>
  <c r="AR353" i="1"/>
  <c r="AP223" i="1"/>
  <c r="AB293" i="1"/>
  <c r="AQ293" i="1" s="1"/>
  <c r="AO398" i="1"/>
  <c r="AR192" i="1"/>
  <c r="AP211" i="1"/>
  <c r="AL357" i="1"/>
  <c r="AR311" i="1"/>
  <c r="AO17" i="1"/>
  <c r="AP102" i="1"/>
  <c r="AF217" i="1"/>
  <c r="AB127" i="1"/>
  <c r="AH127" i="1" s="1"/>
  <c r="AB17" i="1"/>
  <c r="AQ17" i="1" s="1"/>
  <c r="AS61" i="1"/>
  <c r="AR309" i="1"/>
  <c r="AF309" i="1"/>
  <c r="AL17" i="1"/>
  <c r="AB311" i="1"/>
  <c r="AN311" i="1" s="1"/>
  <c r="AL217" i="1"/>
  <c r="AG160" i="1"/>
  <c r="AR292" i="1"/>
  <c r="AM6" i="1"/>
  <c r="AP256" i="1"/>
  <c r="AF221" i="1"/>
  <c r="AP121" i="1"/>
  <c r="AO122" i="1"/>
  <c r="AG256" i="1"/>
  <c r="AM211" i="1"/>
  <c r="AF80" i="1"/>
  <c r="AL45" i="1"/>
  <c r="AR398" i="1"/>
  <c r="AR221" i="1"/>
  <c r="AF74" i="1"/>
  <c r="AG61" i="1"/>
  <c r="AB94" i="1"/>
  <c r="AQ94" i="1" s="1"/>
  <c r="AB78" i="1"/>
  <c r="AQ78" i="1" s="1"/>
  <c r="AB45" i="1"/>
  <c r="AQ45" i="1" s="1"/>
  <c r="AO215" i="1"/>
  <c r="AO378" i="1"/>
  <c r="AL221" i="1"/>
  <c r="AB292" i="1"/>
  <c r="AQ292" i="1" s="1"/>
  <c r="AL192" i="1"/>
  <c r="AO265" i="1"/>
  <c r="AM256" i="1"/>
  <c r="AP81" i="1"/>
  <c r="AL8" i="1"/>
  <c r="AL398" i="1"/>
  <c r="AO369" i="1"/>
  <c r="AF120" i="1"/>
  <c r="AP96" i="1"/>
  <c r="AF24" i="1"/>
  <c r="AB8" i="1"/>
  <c r="AT8" i="1" s="1"/>
  <c r="AO97" i="1"/>
  <c r="AP124" i="1"/>
  <c r="AR231" i="1"/>
  <c r="AG96" i="1"/>
  <c r="AF377" i="1"/>
  <c r="AR183" i="1"/>
  <c r="AM132" i="1"/>
  <c r="AF40" i="1"/>
  <c r="AM268" i="1"/>
  <c r="AS132" i="1"/>
  <c r="AO151" i="1"/>
  <c r="AF311" i="1"/>
  <c r="AR215" i="1"/>
  <c r="AG132" i="1"/>
  <c r="AL151" i="1"/>
  <c r="AL311" i="1"/>
  <c r="AL255" i="1"/>
  <c r="AF151" i="1"/>
  <c r="AR342" i="1"/>
  <c r="AL342" i="1"/>
  <c r="AR325" i="1"/>
  <c r="AG213" i="1"/>
  <c r="AR265" i="1"/>
  <c r="AL24" i="1"/>
  <c r="AG199" i="1"/>
  <c r="AO10" i="1"/>
  <c r="AO400" i="1"/>
  <c r="AO370" i="1"/>
  <c r="AL141" i="1"/>
  <c r="AL59" i="1"/>
  <c r="AF38" i="1"/>
  <c r="AM75" i="1"/>
  <c r="AF73" i="1"/>
  <c r="AM96" i="1"/>
  <c r="AB75" i="1"/>
  <c r="AN75" i="1" s="1"/>
  <c r="AM158" i="1"/>
  <c r="AB387" i="1"/>
  <c r="AQ387" i="1" s="1"/>
  <c r="AF342" i="1"/>
  <c r="AR370" i="1"/>
  <c r="AS100" i="1"/>
  <c r="AM66" i="1"/>
  <c r="AO38" i="1"/>
  <c r="AS96" i="1"/>
  <c r="AB370" i="1"/>
  <c r="AH370" i="1" s="1"/>
  <c r="AR10" i="1"/>
  <c r="AS183" i="1"/>
  <c r="AF370" i="1"/>
  <c r="AR45" i="1"/>
  <c r="AL164" i="1"/>
  <c r="AL38" i="1"/>
  <c r="AS66" i="1"/>
  <c r="AF215" i="1"/>
  <c r="AB257" i="1"/>
  <c r="AH257" i="1" s="1"/>
  <c r="AO359" i="1"/>
  <c r="AG137" i="1"/>
  <c r="AR61" i="1"/>
  <c r="AG183" i="1"/>
  <c r="AF293" i="1"/>
  <c r="AB61" i="1"/>
  <c r="AT61" i="1" s="1"/>
  <c r="AO353" i="1"/>
  <c r="AM245" i="1"/>
  <c r="AL13" i="1"/>
  <c r="AB214" i="1"/>
  <c r="AQ214" i="1" s="1"/>
  <c r="AL258" i="1"/>
  <c r="AM160" i="1"/>
  <c r="AR399" i="1"/>
  <c r="AF254" i="1"/>
  <c r="AN345" i="1"/>
  <c r="AG265" i="1"/>
  <c r="AS245" i="1"/>
  <c r="AL167" i="1"/>
  <c r="AR27" i="1"/>
  <c r="AL293" i="1"/>
  <c r="AP29" i="1"/>
  <c r="AM42" i="1"/>
  <c r="AP160" i="1"/>
  <c r="AR293" i="1"/>
  <c r="AL254" i="1"/>
  <c r="AB366" i="1"/>
  <c r="AQ366" i="1" s="1"/>
  <c r="AS239" i="1"/>
  <c r="AO223" i="1"/>
  <c r="AL253" i="1"/>
  <c r="AF351" i="1"/>
  <c r="AF108" i="1"/>
  <c r="AB399" i="1"/>
  <c r="AH399" i="1" s="1"/>
  <c r="AL331" i="1"/>
  <c r="AP245" i="1"/>
  <c r="AO24" i="1"/>
  <c r="AP94" i="1"/>
  <c r="AB121" i="1"/>
  <c r="AT121" i="1" s="1"/>
  <c r="AO13" i="1"/>
  <c r="AF353" i="1"/>
  <c r="AR214" i="1"/>
  <c r="AR258" i="1"/>
  <c r="AL40" i="1"/>
  <c r="AM239" i="1"/>
  <c r="AL359" i="1"/>
  <c r="AL226" i="1"/>
  <c r="AR369" i="1"/>
  <c r="AF255" i="1"/>
  <c r="AM210" i="1"/>
  <c r="AR120" i="1"/>
  <c r="AL286" i="1"/>
  <c r="AF258" i="1"/>
  <c r="AB6" i="1"/>
  <c r="AT6" i="1" s="1"/>
  <c r="AR40" i="1"/>
  <c r="AB24" i="1"/>
  <c r="AT24" i="1" s="1"/>
  <c r="AL120" i="1"/>
  <c r="AM145" i="1"/>
  <c r="AR270" i="1"/>
  <c r="AB156" i="1"/>
  <c r="AN156" i="1" s="1"/>
  <c r="AR101" i="1"/>
  <c r="AL56" i="1"/>
  <c r="AO87" i="1"/>
  <c r="AR332" i="1"/>
  <c r="AF211" i="1"/>
  <c r="AO262" i="1"/>
  <c r="AB56" i="1"/>
  <c r="AQ56" i="1" s="1"/>
  <c r="AF56" i="1"/>
  <c r="AS35" i="1"/>
  <c r="AO211" i="1"/>
  <c r="AL116" i="1"/>
  <c r="AS203" i="1"/>
  <c r="AM201" i="1"/>
  <c r="AP201" i="1"/>
  <c r="AR262" i="1"/>
  <c r="AF32" i="1"/>
  <c r="AL196" i="1"/>
  <c r="AR103" i="1"/>
  <c r="AR137" i="1"/>
  <c r="AB211" i="1"/>
  <c r="AH211" i="1" s="1"/>
  <c r="AG215" i="1"/>
  <c r="AL407" i="1"/>
  <c r="AR351" i="1"/>
  <c r="AF325" i="1"/>
  <c r="AG94" i="1"/>
  <c r="AO270" i="1"/>
  <c r="AL79" i="1"/>
  <c r="AL183" i="1"/>
  <c r="AG56" i="1"/>
  <c r="AO137" i="1"/>
  <c r="AR254" i="1"/>
  <c r="AO56" i="1"/>
  <c r="AO407" i="1"/>
  <c r="AO383" i="1"/>
  <c r="AO351" i="1"/>
  <c r="AR324" i="1"/>
  <c r="AG145" i="1"/>
  <c r="AS215" i="1"/>
  <c r="AR185" i="1"/>
  <c r="AF135" i="1"/>
  <c r="AO148" i="1"/>
  <c r="AF128" i="1"/>
  <c r="AG100" i="1"/>
  <c r="AS270" i="1"/>
  <c r="AB239" i="1"/>
  <c r="AH239" i="1" s="1"/>
  <c r="AR141" i="1"/>
  <c r="AS156" i="1"/>
  <c r="AO101" i="1"/>
  <c r="AS56" i="1"/>
  <c r="AL121" i="1"/>
  <c r="AL101" i="1"/>
  <c r="AL71" i="1"/>
  <c r="AF147" i="1"/>
  <c r="AP279" i="1"/>
  <c r="AG108" i="1"/>
  <c r="AL287" i="1"/>
  <c r="AG235" i="1"/>
  <c r="AG263" i="1"/>
  <c r="AL211" i="1"/>
  <c r="AB215" i="1"/>
  <c r="AH215" i="1" s="1"/>
  <c r="AS137" i="1"/>
  <c r="AG126" i="1"/>
  <c r="AL137" i="1"/>
  <c r="AF257" i="1"/>
  <c r="AM68" i="1"/>
  <c r="AL383" i="1"/>
  <c r="AB332" i="1"/>
  <c r="AT332" i="1" s="1"/>
  <c r="AF287" i="1"/>
  <c r="AR359" i="1"/>
  <c r="AR199" i="1"/>
  <c r="AB145" i="1"/>
  <c r="AT145" i="1" s="1"/>
  <c r="AO143" i="1"/>
  <c r="AF383" i="1"/>
  <c r="AM215" i="1"/>
  <c r="AL369" i="1"/>
  <c r="AO257" i="1"/>
  <c r="AB201" i="1"/>
  <c r="AQ201" i="1" s="1"/>
  <c r="AO147" i="1"/>
  <c r="AO128" i="1"/>
  <c r="AR59" i="1"/>
  <c r="AM78" i="1"/>
  <c r="AO61" i="1"/>
  <c r="AF121" i="1"/>
  <c r="AF59" i="1"/>
  <c r="AM56" i="1"/>
  <c r="AG6" i="1"/>
  <c r="AR121" i="1"/>
  <c r="AS145" i="1"/>
  <c r="AL97" i="1"/>
  <c r="AG72" i="1"/>
  <c r="AR32" i="1"/>
  <c r="AB183" i="1"/>
  <c r="AT183" i="1" s="1"/>
  <c r="AP68" i="1"/>
  <c r="AG211" i="1"/>
  <c r="AL229" i="1"/>
  <c r="AF294" i="1"/>
  <c r="AS201" i="1"/>
  <c r="AB147" i="1"/>
  <c r="AT147" i="1" s="1"/>
  <c r="AL257" i="1"/>
  <c r="AF367" i="1"/>
  <c r="AF262" i="1"/>
  <c r="AR294" i="1"/>
  <c r="AM140" i="1"/>
  <c r="AL147" i="1"/>
  <c r="AR128" i="1"/>
  <c r="AF61" i="1"/>
  <c r="AG68" i="1"/>
  <c r="AP6" i="1"/>
  <c r="AR127" i="1"/>
  <c r="AO103" i="1"/>
  <c r="AL185" i="1"/>
  <c r="AN373" i="1"/>
  <c r="AG216" i="1"/>
  <c r="AB80" i="1"/>
  <c r="AN80" i="1" s="1"/>
  <c r="AL143" i="1"/>
  <c r="AL182" i="1"/>
  <c r="AR336" i="1"/>
  <c r="AF285" i="1"/>
  <c r="AB265" i="1"/>
  <c r="AN265" i="1" s="1"/>
  <c r="AS21" i="1"/>
  <c r="AS235" i="1"/>
  <c r="AO336" i="1"/>
  <c r="AG264" i="1"/>
  <c r="AB255" i="1"/>
  <c r="AQ255" i="1" s="1"/>
  <c r="AL318" i="1"/>
  <c r="AL124" i="1"/>
  <c r="AF95" i="1"/>
  <c r="AH389" i="1"/>
  <c r="AP214" i="1"/>
  <c r="AB141" i="1"/>
  <c r="AQ141" i="1" s="1"/>
  <c r="AP229" i="1"/>
  <c r="AS14" i="1"/>
  <c r="AB42" i="1"/>
  <c r="AN42" i="1" s="1"/>
  <c r="AH296" i="1"/>
  <c r="AF230" i="1"/>
  <c r="AF88" i="1"/>
  <c r="AO29" i="1"/>
  <c r="AS158" i="1"/>
  <c r="AP203" i="1"/>
  <c r="AG223" i="1"/>
  <c r="AO127" i="1"/>
  <c r="AG66" i="1"/>
  <c r="AS279" i="1"/>
  <c r="AL203" i="1"/>
  <c r="AB336" i="1"/>
  <c r="AH336" i="1" s="1"/>
  <c r="AG180" i="1"/>
  <c r="AP235" i="1"/>
  <c r="AL365" i="1"/>
  <c r="AB29" i="1"/>
  <c r="AQ29" i="1" s="1"/>
  <c r="AB356" i="1"/>
  <c r="AN356" i="1" s="1"/>
  <c r="AF365" i="1"/>
  <c r="AM29" i="1"/>
  <c r="AB150" i="1"/>
  <c r="AN150" i="1" s="1"/>
  <c r="AS188" i="1"/>
  <c r="AB88" i="1"/>
  <c r="AT88" i="1" s="1"/>
  <c r="AR276" i="1"/>
  <c r="AL122" i="1"/>
  <c r="AO291" i="1"/>
  <c r="AO141" i="1"/>
  <c r="AL95" i="1"/>
  <c r="AG19" i="1"/>
  <c r="AP101" i="1"/>
  <c r="AG78" i="1"/>
  <c r="AL27" i="1"/>
  <c r="AF29" i="1"/>
  <c r="AF10" i="1"/>
  <c r="AG134" i="1"/>
  <c r="AP158" i="1"/>
  <c r="AF343" i="1"/>
  <c r="AB230" i="1"/>
  <c r="AN230" i="1" s="1"/>
  <c r="AO185" i="1"/>
  <c r="AR148" i="1"/>
  <c r="AB271" i="1"/>
  <c r="AH271" i="1" s="1"/>
  <c r="AL163" i="1"/>
  <c r="AG279" i="1"/>
  <c r="AM188" i="1"/>
  <c r="AL310" i="1"/>
  <c r="AR365" i="1"/>
  <c r="AF148" i="1"/>
  <c r="AO214" i="1"/>
  <c r="AP14" i="1"/>
  <c r="AP177" i="1"/>
  <c r="AM35" i="1"/>
  <c r="AL356" i="1"/>
  <c r="AO365" i="1"/>
  <c r="AM374" i="1"/>
  <c r="AB343" i="1"/>
  <c r="AN343" i="1" s="1"/>
  <c r="AO203" i="1"/>
  <c r="AH67" i="1"/>
  <c r="AF384" i="1"/>
  <c r="AL343" i="1"/>
  <c r="AO325" i="1"/>
  <c r="AF307" i="1"/>
  <c r="AB310" i="1"/>
  <c r="AQ310" i="1" s="1"/>
  <c r="AR318" i="1"/>
  <c r="AR203" i="1"/>
  <c r="AS296" i="1"/>
  <c r="AL74" i="1"/>
  <c r="AF48" i="1"/>
  <c r="AS312" i="1"/>
  <c r="AL276" i="1"/>
  <c r="AF185" i="1"/>
  <c r="AB122" i="1"/>
  <c r="AN122" i="1" s="1"/>
  <c r="AL103" i="1"/>
  <c r="AG101" i="1"/>
  <c r="AS78" i="1"/>
  <c r="AP42" i="1"/>
  <c r="AO63" i="1"/>
  <c r="AP35" i="1"/>
  <c r="AO250" i="1"/>
  <c r="AL119" i="1"/>
  <c r="AL29" i="1"/>
  <c r="AO387" i="1"/>
  <c r="AL366" i="1"/>
  <c r="AR366" i="1"/>
  <c r="AB351" i="1"/>
  <c r="AT351" i="1" s="1"/>
  <c r="AB325" i="1"/>
  <c r="AQ325" i="1" s="1"/>
  <c r="AO310" i="1"/>
  <c r="AG312" i="1"/>
  <c r="AR316" i="1"/>
  <c r="AF310" i="1"/>
  <c r="AP312" i="1"/>
  <c r="AO276" i="1"/>
  <c r="AF214" i="1"/>
  <c r="AR122" i="1"/>
  <c r="AF143" i="1"/>
  <c r="AG42" i="1"/>
  <c r="AB101" i="1"/>
  <c r="AN101" i="1" s="1"/>
  <c r="AP78" i="1"/>
  <c r="AR63" i="1"/>
  <c r="AB37" i="1"/>
  <c r="AT37" i="1" s="1"/>
  <c r="AL238" i="1"/>
  <c r="AO238" i="1"/>
  <c r="AL65" i="1"/>
  <c r="AO65" i="1"/>
  <c r="AO160" i="1"/>
  <c r="AB160" i="1"/>
  <c r="AQ160" i="1" s="1"/>
  <c r="AF238" i="1"/>
  <c r="AB288" i="1"/>
  <c r="AH288" i="1" s="1"/>
  <c r="AP288" i="1"/>
  <c r="AS288" i="1"/>
  <c r="AM288" i="1"/>
  <c r="AG288" i="1"/>
  <c r="AL206" i="1"/>
  <c r="AB206" i="1"/>
  <c r="AN206" i="1" s="1"/>
  <c r="AL21" i="1"/>
  <c r="AF21" i="1"/>
  <c r="AR21" i="1"/>
  <c r="AO21" i="1"/>
  <c r="AS46" i="1"/>
  <c r="AP46" i="1"/>
  <c r="AM46" i="1"/>
  <c r="AG46" i="1"/>
  <c r="AL360" i="1"/>
  <c r="AR360" i="1"/>
  <c r="AF360" i="1"/>
  <c r="AR238" i="1"/>
  <c r="AB21" i="1"/>
  <c r="AN21" i="1" s="1"/>
  <c r="AF162" i="1"/>
  <c r="AL162" i="1"/>
  <c r="AG267" i="1"/>
  <c r="AM267" i="1"/>
  <c r="AO327" i="1"/>
  <c r="AR327" i="1"/>
  <c r="AP104" i="1"/>
  <c r="AS104" i="1"/>
  <c r="AM104" i="1"/>
  <c r="AG104" i="1"/>
  <c r="AP82" i="1"/>
  <c r="AG82" i="1"/>
  <c r="AP60" i="1"/>
  <c r="AS60" i="1"/>
  <c r="AG60" i="1"/>
  <c r="AL376" i="1"/>
  <c r="AF376" i="1"/>
  <c r="AR376" i="1"/>
  <c r="AS38" i="1"/>
  <c r="AB38" i="1"/>
  <c r="AN38" i="1" s="1"/>
  <c r="AG38" i="1"/>
  <c r="AP38" i="1"/>
  <c r="AM38" i="1"/>
  <c r="AP45" i="1"/>
  <c r="AS45" i="1"/>
  <c r="AG45" i="1"/>
  <c r="AR65" i="1"/>
  <c r="AB254" i="1"/>
  <c r="AN254" i="1" s="1"/>
  <c r="AG254" i="1"/>
  <c r="AF315" i="1"/>
  <c r="AL315" i="1"/>
  <c r="AO376" i="1"/>
  <c r="AR401" i="1"/>
  <c r="AB401" i="1"/>
  <c r="AQ401" i="1" s="1"/>
  <c r="AL401" i="1"/>
  <c r="AB66" i="1"/>
  <c r="AN66" i="1" s="1"/>
  <c r="AS236" i="1"/>
  <c r="AM236" i="1"/>
  <c r="AF341" i="1"/>
  <c r="AR341" i="1"/>
  <c r="AB341" i="1"/>
  <c r="AT341" i="1" s="1"/>
  <c r="AO341" i="1"/>
  <c r="AQ90" i="1"/>
  <c r="AT90" i="1"/>
  <c r="AG192" i="1"/>
  <c r="AB192" i="1"/>
  <c r="AT192" i="1" s="1"/>
  <c r="AM50" i="1"/>
  <c r="AG50" i="1"/>
  <c r="AF111" i="1"/>
  <c r="AO360" i="1"/>
  <c r="AL92" i="1"/>
  <c r="AF92" i="1"/>
  <c r="AP164" i="1"/>
  <c r="AG164" i="1"/>
  <c r="AM164" i="1"/>
  <c r="AL84" i="1"/>
  <c r="AO84" i="1"/>
  <c r="AP180" i="1"/>
  <c r="AS180" i="1"/>
  <c r="AS84" i="1"/>
  <c r="AP84" i="1"/>
  <c r="AM84" i="1"/>
  <c r="AG84" i="1"/>
  <c r="AS37" i="1"/>
  <c r="AM37" i="1"/>
  <c r="AP37" i="1"/>
  <c r="AG37" i="1"/>
  <c r="AP171" i="1"/>
  <c r="AM171" i="1"/>
  <c r="AG171" i="1"/>
  <c r="AS171" i="1"/>
  <c r="AB232" i="1"/>
  <c r="AH232" i="1" s="1"/>
  <c r="AP232" i="1"/>
  <c r="AS232" i="1"/>
  <c r="AG232" i="1"/>
  <c r="AM232" i="1"/>
  <c r="AM45" i="1"/>
  <c r="AB65" i="1"/>
  <c r="AQ65" i="1" s="1"/>
  <c r="AB180" i="1"/>
  <c r="AN180" i="1" s="1"/>
  <c r="AL336" i="1"/>
  <c r="AO5" i="1"/>
  <c r="AL5" i="1"/>
  <c r="AP136" i="1"/>
  <c r="AM136" i="1"/>
  <c r="AG136" i="1"/>
  <c r="AO109" i="1"/>
  <c r="AL109" i="1"/>
  <c r="AR109" i="1"/>
  <c r="AF109" i="1"/>
  <c r="AO16" i="1"/>
  <c r="AF16" i="1"/>
  <c r="AO98" i="1"/>
  <c r="AF98" i="1"/>
  <c r="AR98" i="1"/>
  <c r="AL98" i="1"/>
  <c r="AM181" i="1"/>
  <c r="AS181" i="1"/>
  <c r="AG181" i="1"/>
  <c r="AS49" i="1"/>
  <c r="AB109" i="1"/>
  <c r="AH109" i="1" s="1"/>
  <c r="AF5" i="1"/>
  <c r="AL140" i="1"/>
  <c r="AF140" i="1"/>
  <c r="AF65" i="1"/>
  <c r="AL219" i="1"/>
  <c r="AR219" i="1"/>
  <c r="AF219" i="1"/>
  <c r="AB219" i="1"/>
  <c r="AN219" i="1" s="1"/>
  <c r="AB360" i="1"/>
  <c r="AH360" i="1" s="1"/>
  <c r="AB93" i="1"/>
  <c r="AN93" i="1" s="1"/>
  <c r="AP93" i="1"/>
  <c r="AM93" i="1"/>
  <c r="AG93" i="1"/>
  <c r="AS93" i="1"/>
  <c r="AS263" i="1"/>
  <c r="AP263" i="1"/>
  <c r="AF245" i="1"/>
  <c r="AB315" i="1"/>
  <c r="AQ315" i="1" s="1"/>
  <c r="AB381" i="1"/>
  <c r="AN381" i="1" s="1"/>
  <c r="AB291" i="1"/>
  <c r="AH291" i="1" s="1"/>
  <c r="AF322" i="1"/>
  <c r="AB322" i="1"/>
  <c r="AQ322" i="1" s="1"/>
  <c r="AP34" i="1"/>
  <c r="AB34" i="1"/>
  <c r="AN34" i="1" s="1"/>
  <c r="AM34" i="1"/>
  <c r="AS34" i="1"/>
  <c r="AP181" i="1"/>
  <c r="AR53" i="1"/>
  <c r="AO53" i="1"/>
  <c r="AF53" i="1"/>
  <c r="AN337" i="1"/>
  <c r="AL127" i="1"/>
  <c r="AG342" i="1"/>
  <c r="AB270" i="1"/>
  <c r="AN270" i="1" s="1"/>
  <c r="AL207" i="1"/>
  <c r="AG140" i="1"/>
  <c r="AB97" i="1"/>
  <c r="AH97" i="1" s="1"/>
  <c r="AO119" i="1"/>
  <c r="AN389" i="1"/>
  <c r="AG124" i="1"/>
  <c r="AM124" i="1"/>
  <c r="AR407" i="1"/>
  <c r="AO377" i="1"/>
  <c r="AB342" i="1"/>
  <c r="AT342" i="1" s="1"/>
  <c r="AF359" i="1"/>
  <c r="AL367" i="1"/>
  <c r="AR343" i="1"/>
  <c r="AR255" i="1"/>
  <c r="AO334" i="1"/>
  <c r="AF330" i="1"/>
  <c r="AL316" i="1"/>
  <c r="AS227" i="1"/>
  <c r="AF183" i="1"/>
  <c r="AG374" i="1"/>
  <c r="AM229" i="1"/>
  <c r="AG229" i="1"/>
  <c r="AM150" i="1"/>
  <c r="AF276" i="1"/>
  <c r="AS265" i="1"/>
  <c r="AB207" i="1"/>
  <c r="AN207" i="1" s="1"/>
  <c r="AO173" i="1"/>
  <c r="AP72" i="1"/>
  <c r="AF199" i="1"/>
  <c r="AG80" i="1"/>
  <c r="AR74" i="1"/>
  <c r="AF207" i="1"/>
  <c r="AM21" i="1"/>
  <c r="AG268" i="1"/>
  <c r="AR37" i="1"/>
  <c r="AP140" i="1"/>
  <c r="AP199" i="1"/>
  <c r="AS214" i="1"/>
  <c r="AS126" i="1"/>
  <c r="AG135" i="1"/>
  <c r="AN90" i="1"/>
  <c r="AG203" i="1"/>
  <c r="AB267" i="1"/>
  <c r="AT267" i="1" s="1"/>
  <c r="AM100" i="1"/>
  <c r="AF8" i="1"/>
  <c r="AO167" i="1"/>
  <c r="AF79" i="1"/>
  <c r="AF63" i="1"/>
  <c r="AR175" i="1"/>
  <c r="AL175" i="1"/>
  <c r="AG177" i="1"/>
  <c r="AS177" i="1"/>
  <c r="AL377" i="1"/>
  <c r="AF196" i="1"/>
  <c r="AB63" i="1"/>
  <c r="AT63" i="1" s="1"/>
  <c r="AF186" i="1"/>
  <c r="AB334" i="1"/>
  <c r="AN334" i="1" s="1"/>
  <c r="AS374" i="1"/>
  <c r="AP296" i="1"/>
  <c r="AM101" i="1"/>
  <c r="AF270" i="1"/>
  <c r="AM214" i="1"/>
  <c r="AF173" i="1"/>
  <c r="AL49" i="1"/>
  <c r="AO199" i="1"/>
  <c r="AS80" i="1"/>
  <c r="AP270" i="1"/>
  <c r="AO74" i="1"/>
  <c r="AP268" i="1"/>
  <c r="AS150" i="1"/>
  <c r="AL85" i="1"/>
  <c r="AG150" i="1"/>
  <c r="AP126" i="1"/>
  <c r="AO37" i="1"/>
  <c r="AR253" i="1"/>
  <c r="AM223" i="1"/>
  <c r="AB203" i="1"/>
  <c r="AN203" i="1" s="1"/>
  <c r="AF167" i="1"/>
  <c r="AH90" i="1"/>
  <c r="AL324" i="1"/>
  <c r="AB324" i="1"/>
  <c r="AN324" i="1" s="1"/>
  <c r="AP156" i="1"/>
  <c r="AM199" i="1"/>
  <c r="AR377" i="1"/>
  <c r="AR367" i="1"/>
  <c r="AM296" i="1"/>
  <c r="AF119" i="1"/>
  <c r="AR387" i="1"/>
  <c r="AF387" i="1"/>
  <c r="AF398" i="1"/>
  <c r="AO332" i="1"/>
  <c r="AF334" i="1"/>
  <c r="AB367" i="1"/>
  <c r="AN367" i="1" s="1"/>
  <c r="AG296" i="1"/>
  <c r="AM270" i="1"/>
  <c r="AF97" i="1"/>
  <c r="AL332" i="1"/>
  <c r="AL173" i="1"/>
  <c r="AP112" i="1"/>
  <c r="AL37" i="1"/>
  <c r="AM342" i="1"/>
  <c r="AB199" i="1"/>
  <c r="AN199" i="1" s="1"/>
  <c r="AO79" i="1"/>
  <c r="AG21" i="1"/>
  <c r="AF27" i="1"/>
  <c r="AO8" i="1"/>
  <c r="AO253" i="1"/>
  <c r="AG219" i="1"/>
  <c r="AM183" i="1"/>
  <c r="AB81" i="1"/>
  <c r="AH81" i="1" s="1"/>
  <c r="AL247" i="1"/>
  <c r="AM128" i="1"/>
  <c r="AM51" i="1"/>
  <c r="AF223" i="1"/>
  <c r="AR375" i="1"/>
  <c r="AL213" i="1"/>
  <c r="AM156" i="1"/>
  <c r="AP260" i="1"/>
  <c r="AG23" i="1"/>
  <c r="AR160" i="1"/>
  <c r="AG271" i="1"/>
  <c r="AT373" i="1"/>
  <c r="AF163" i="1"/>
  <c r="AS148" i="1"/>
  <c r="AB73" i="1"/>
  <c r="AT73" i="1" s="1"/>
  <c r="AO49" i="1"/>
  <c r="AR378" i="1"/>
  <c r="AO247" i="1"/>
  <c r="AF292" i="1"/>
  <c r="AO226" i="1"/>
  <c r="AM157" i="1"/>
  <c r="AR116" i="1"/>
  <c r="AL135" i="1"/>
  <c r="AG159" i="1"/>
  <c r="AF364" i="1"/>
  <c r="AB222" i="1"/>
  <c r="AN222" i="1" s="1"/>
  <c r="AG34" i="1"/>
  <c r="AM122" i="1"/>
  <c r="AL294" i="1"/>
  <c r="AL191" i="1"/>
  <c r="AG165" i="1"/>
  <c r="AB294" i="1"/>
  <c r="AT294" i="1" s="1"/>
  <c r="AF160" i="1"/>
  <c r="AP261" i="1"/>
  <c r="AL231" i="1"/>
  <c r="AR196" i="1"/>
  <c r="AS164" i="1"/>
  <c r="AB135" i="1"/>
  <c r="AN135" i="1" s="1"/>
  <c r="AM80" i="1"/>
  <c r="AP7" i="1"/>
  <c r="AM53" i="1"/>
  <c r="AO207" i="1"/>
  <c r="AB165" i="1"/>
  <c r="AN165" i="1" s="1"/>
  <c r="AB137" i="1"/>
  <c r="AH137" i="1" s="1"/>
  <c r="AR92" i="1"/>
  <c r="AB84" i="1"/>
  <c r="AT84" i="1" s="1"/>
  <c r="AG53" i="1"/>
  <c r="AP51" i="1"/>
  <c r="AF144" i="1"/>
  <c r="AG51" i="1"/>
  <c r="AP39" i="1"/>
  <c r="AS273" i="1"/>
  <c r="AR223" i="1"/>
  <c r="AL375" i="1"/>
  <c r="AF356" i="1"/>
  <c r="AL364" i="1"/>
  <c r="AF320" i="1"/>
  <c r="AB148" i="1"/>
  <c r="AQ148" i="1" s="1"/>
  <c r="AG112" i="1"/>
  <c r="AO191" i="1"/>
  <c r="AP53" i="1"/>
  <c r="AS186" i="1"/>
  <c r="AF401" i="1"/>
  <c r="AO401" i="1"/>
  <c r="AR87" i="1"/>
  <c r="AL87" i="1"/>
  <c r="AL198" i="1"/>
  <c r="AO118" i="1"/>
  <c r="AR118" i="1"/>
  <c r="AO75" i="1"/>
  <c r="AR75" i="1"/>
  <c r="AP240" i="1"/>
  <c r="AS240" i="1"/>
  <c r="AP116" i="1"/>
  <c r="AS116" i="1"/>
  <c r="AM261" i="1"/>
  <c r="AM273" i="1"/>
  <c r="AM271" i="1"/>
  <c r="AS55" i="1"/>
  <c r="AF247" i="1"/>
  <c r="AF191" i="1"/>
  <c r="AS193" i="1"/>
  <c r="AP193" i="1"/>
  <c r="AM112" i="1"/>
  <c r="AR356" i="1"/>
  <c r="AL320" i="1"/>
  <c r="AB331" i="1"/>
  <c r="AT331" i="1" s="1"/>
  <c r="AR320" i="1"/>
  <c r="AG194" i="1"/>
  <c r="AB238" i="1"/>
  <c r="AH238" i="1" s="1"/>
  <c r="AR222" i="1"/>
  <c r="AG157" i="1"/>
  <c r="AO286" i="1"/>
  <c r="AG240" i="1"/>
  <c r="AP165" i="1"/>
  <c r="AM200" i="1"/>
  <c r="AG261" i="1"/>
  <c r="AB196" i="1"/>
  <c r="AH196" i="1" s="1"/>
  <c r="AO135" i="1"/>
  <c r="AS157" i="1"/>
  <c r="AS7" i="1"/>
  <c r="AF84" i="1"/>
  <c r="AP271" i="1"/>
  <c r="AR84" i="1"/>
  <c r="AB53" i="1"/>
  <c r="AH53" i="1" s="1"/>
  <c r="AS39" i="1"/>
  <c r="AB51" i="1"/>
  <c r="AH51" i="1" s="1"/>
  <c r="AB72" i="1"/>
  <c r="AN72" i="1" s="1"/>
  <c r="AB223" i="1"/>
  <c r="AT223" i="1" s="1"/>
  <c r="AO375" i="1"/>
  <c r="AP200" i="1"/>
  <c r="AM165" i="1"/>
  <c r="AF378" i="1"/>
  <c r="AS260" i="1"/>
  <c r="AB273" i="1"/>
  <c r="AN273" i="1" s="1"/>
  <c r="AG7" i="1"/>
  <c r="AP186" i="1"/>
  <c r="AO48" i="1"/>
  <c r="AR48" i="1"/>
  <c r="AR111" i="1"/>
  <c r="AO111" i="1"/>
  <c r="AL380" i="1"/>
  <c r="AG81" i="1"/>
  <c r="AL378" i="1"/>
  <c r="AL382" i="1"/>
  <c r="AF286" i="1"/>
  <c r="AB213" i="1"/>
  <c r="AN213" i="1" s="1"/>
  <c r="AM190" i="1"/>
  <c r="AL66" i="1"/>
  <c r="AR234" i="1"/>
  <c r="AL265" i="1"/>
  <c r="AO222" i="1"/>
  <c r="AL32" i="1"/>
  <c r="AF13" i="1"/>
  <c r="AM254" i="1"/>
  <c r="AF222" i="1"/>
  <c r="AB116" i="1"/>
  <c r="AN116" i="1" s="1"/>
  <c r="AG239" i="1"/>
  <c r="AO231" i="1"/>
  <c r="AS342" i="1"/>
  <c r="AS134" i="1"/>
  <c r="AF116" i="1"/>
  <c r="AR51" i="1"/>
  <c r="AG39" i="1"/>
  <c r="AG273" i="1"/>
  <c r="AM94" i="1"/>
  <c r="AO66" i="1"/>
  <c r="AM47" i="1"/>
  <c r="AL314" i="1"/>
  <c r="AR396" i="1"/>
  <c r="AM137" i="1"/>
  <c r="AG260" i="1"/>
  <c r="AM82" i="1"/>
  <c r="AM148" i="1"/>
  <c r="AM60" i="1"/>
  <c r="AG186" i="1"/>
  <c r="AM55" i="1"/>
  <c r="AR16" i="1"/>
  <c r="AG116" i="1"/>
  <c r="AR78" i="1"/>
  <c r="AO78" i="1"/>
  <c r="AL160" i="1"/>
  <c r="AB320" i="1"/>
  <c r="AQ320" i="1" s="1"/>
  <c r="AR226" i="1"/>
  <c r="AF301" i="1"/>
  <c r="AG55" i="1"/>
  <c r="AB286" i="1"/>
  <c r="AH286" i="1" s="1"/>
  <c r="AG188" i="1"/>
  <c r="AG148" i="1"/>
  <c r="AR49" i="1"/>
  <c r="AM23" i="1"/>
  <c r="AF118" i="1"/>
  <c r="AS23" i="1"/>
  <c r="AL118" i="1"/>
  <c r="AF396" i="1"/>
  <c r="AF404" i="1"/>
  <c r="AH345" i="1"/>
  <c r="AO382" i="1"/>
  <c r="AL292" i="1"/>
  <c r="AB229" i="1"/>
  <c r="AT229" i="1" s="1"/>
  <c r="AL75" i="1"/>
  <c r="AG151" i="1"/>
  <c r="AF280" i="1"/>
  <c r="AG207" i="1"/>
  <c r="AF75" i="1"/>
  <c r="AS82" i="1"/>
  <c r="AS72" i="1"/>
  <c r="AB231" i="1"/>
  <c r="AQ231" i="1" s="1"/>
  <c r="AM116" i="1"/>
  <c r="AO163" i="1"/>
  <c r="AP134" i="1"/>
  <c r="AF66" i="1"/>
  <c r="AL53" i="1"/>
  <c r="AF51" i="1"/>
  <c r="AS81" i="1"/>
  <c r="AL396" i="1"/>
  <c r="AF324" i="1"/>
  <c r="AG200" i="1"/>
  <c r="AB48" i="1"/>
  <c r="AG193" i="1"/>
  <c r="AS196" i="1"/>
  <c r="AP196" i="1"/>
  <c r="AG196" i="1"/>
  <c r="AL78" i="1"/>
  <c r="AT296" i="1"/>
  <c r="AQ296" i="1"/>
  <c r="AS243" i="1"/>
  <c r="AP243" i="1"/>
  <c r="AO391" i="1"/>
  <c r="AR391" i="1"/>
  <c r="AB391" i="1"/>
  <c r="AH391" i="1" s="1"/>
  <c r="AP259" i="1"/>
  <c r="AS259" i="1"/>
  <c r="AS138" i="1"/>
  <c r="AM138" i="1"/>
  <c r="AR352" i="1"/>
  <c r="AO352" i="1"/>
  <c r="AB352" i="1"/>
  <c r="AH352" i="1" s="1"/>
  <c r="AS252" i="1"/>
  <c r="AP252" i="1"/>
  <c r="AB252" i="1"/>
  <c r="AN252" i="1" s="1"/>
  <c r="AP272" i="1"/>
  <c r="AS272" i="1"/>
  <c r="AM272" i="1"/>
  <c r="AM111" i="1"/>
  <c r="AS2" i="1"/>
  <c r="AR368" i="1"/>
  <c r="AO368" i="1"/>
  <c r="AP390" i="1"/>
  <c r="AS390" i="1"/>
  <c r="AS172" i="1"/>
  <c r="AP172" i="1"/>
  <c r="AM172" i="1"/>
  <c r="AR28" i="1"/>
  <c r="AF28" i="1"/>
  <c r="AB28" i="1"/>
  <c r="AN28" i="1" s="1"/>
  <c r="AO28" i="1"/>
  <c r="AL28" i="1"/>
  <c r="AL2" i="1"/>
  <c r="AM243" i="1"/>
  <c r="AS184" i="1"/>
  <c r="AM184" i="1"/>
  <c r="AP184" i="1"/>
  <c r="AP26" i="1"/>
  <c r="AS26" i="1"/>
  <c r="AM257" i="1"/>
  <c r="AL243" i="1"/>
  <c r="AG57" i="1"/>
  <c r="AB128" i="1"/>
  <c r="AH128" i="1" s="1"/>
  <c r="AG90" i="1"/>
  <c r="AM13" i="1"/>
  <c r="AB159" i="1"/>
  <c r="AN159" i="1" s="1"/>
  <c r="AP128" i="1"/>
  <c r="AP2" i="1"/>
  <c r="AO41" i="1"/>
  <c r="AO164" i="1"/>
  <c r="AM390" i="1"/>
  <c r="AM217" i="1"/>
  <c r="AO349" i="1"/>
  <c r="AR349" i="1"/>
  <c r="AB349" i="1"/>
  <c r="AH349" i="1" s="1"/>
  <c r="AG172" i="1"/>
  <c r="AS264" i="1"/>
  <c r="AM264" i="1"/>
  <c r="AL188" i="1"/>
  <c r="AB188" i="1"/>
  <c r="AH188" i="1" s="1"/>
  <c r="AR188" i="1"/>
  <c r="AO188" i="1"/>
  <c r="AP135" i="1"/>
  <c r="AS135" i="1"/>
  <c r="AS125" i="1"/>
  <c r="AP125" i="1"/>
  <c r="AM125" i="1"/>
  <c r="AL291" i="1"/>
  <c r="AR339" i="1"/>
  <c r="AO339" i="1"/>
  <c r="AB339" i="1"/>
  <c r="AL339" i="1"/>
  <c r="AM76" i="1"/>
  <c r="AB71" i="1"/>
  <c r="AR71" i="1"/>
  <c r="AO71" i="1"/>
  <c r="AO95" i="1"/>
  <c r="AR95" i="1"/>
  <c r="AO73" i="1"/>
  <c r="AR73" i="1"/>
  <c r="AM252" i="1"/>
  <c r="AO159" i="1"/>
  <c r="AF159" i="1"/>
  <c r="AR159" i="1"/>
  <c r="AS5" i="1"/>
  <c r="AP5" i="1"/>
  <c r="AF327" i="1"/>
  <c r="AR291" i="1"/>
  <c r="AB400" i="1"/>
  <c r="AN400" i="1" s="1"/>
  <c r="AR382" i="1"/>
  <c r="AR334" i="1"/>
  <c r="AL234" i="1"/>
  <c r="AN67" i="1"/>
  <c r="AF277" i="1"/>
  <c r="AB327" i="1"/>
  <c r="AQ327" i="1" s="1"/>
  <c r="AS221" i="1"/>
  <c r="AS90" i="1"/>
  <c r="AB123" i="1"/>
  <c r="AQ123" i="1" s="1"/>
  <c r="AB164" i="1"/>
  <c r="AQ164" i="1" s="1"/>
  <c r="AO130" i="1"/>
  <c r="AP159" i="1"/>
  <c r="AS128" i="1"/>
  <c r="AF41" i="1"/>
  <c r="AB41" i="1"/>
  <c r="AN41" i="1" s="1"/>
  <c r="AM259" i="1"/>
  <c r="AG243" i="1"/>
  <c r="AF400" i="1"/>
  <c r="AM227" i="1"/>
  <c r="AM90" i="1"/>
  <c r="AO399" i="1"/>
  <c r="AL399" i="1"/>
  <c r="AP251" i="1"/>
  <c r="AS251" i="1"/>
  <c r="AR267" i="1"/>
  <c r="AO267" i="1"/>
  <c r="AL267" i="1"/>
  <c r="AR246" i="1"/>
  <c r="AL246" i="1"/>
  <c r="AO246" i="1"/>
  <c r="AR213" i="1"/>
  <c r="AO213" i="1"/>
  <c r="AO88" i="1"/>
  <c r="AL88" i="1"/>
  <c r="AP233" i="1"/>
  <c r="AM233" i="1"/>
  <c r="AS233" i="1"/>
  <c r="AM41" i="1"/>
  <c r="AS41" i="1"/>
  <c r="AP41" i="1"/>
  <c r="AO85" i="1"/>
  <c r="AF85" i="1"/>
  <c r="AB49" i="1"/>
  <c r="AN49" i="1" s="1"/>
  <c r="AF130" i="1"/>
  <c r="AS159" i="1"/>
  <c r="AF382" i="1"/>
  <c r="AF391" i="1"/>
  <c r="AG407" i="1"/>
  <c r="AF123" i="1"/>
  <c r="AS13" i="1"/>
  <c r="AR41" i="1"/>
  <c r="AQ389" i="1"/>
  <c r="AT389" i="1"/>
  <c r="AS162" i="1"/>
  <c r="AP162" i="1"/>
  <c r="AG162" i="1"/>
  <c r="AR287" i="1"/>
  <c r="AO287" i="1"/>
  <c r="AL368" i="1"/>
  <c r="AS19" i="1"/>
  <c r="AP19" i="1"/>
  <c r="AR229" i="1"/>
  <c r="AO229" i="1"/>
  <c r="AG26" i="1"/>
  <c r="AB272" i="1"/>
  <c r="AN272" i="1" s="1"/>
  <c r="AB217" i="1"/>
  <c r="AR108" i="1"/>
  <c r="AO108" i="1"/>
  <c r="AB108" i="1"/>
  <c r="AH108" i="1" s="1"/>
  <c r="AO182" i="1"/>
  <c r="AR182" i="1"/>
  <c r="AM2" i="1"/>
  <c r="AB103" i="1"/>
  <c r="AQ103" i="1" s="1"/>
  <c r="AR130" i="1"/>
  <c r="AH337" i="1"/>
  <c r="AL130" i="1"/>
  <c r="AF250" i="1"/>
  <c r="AG92" i="1"/>
  <c r="AM221" i="1"/>
  <c r="AG217" i="1"/>
  <c r="AL51" i="1"/>
  <c r="AG76" i="1"/>
  <c r="AS92" i="1"/>
  <c r="AO123" i="1"/>
  <c r="AB92" i="1"/>
  <c r="AT92" i="1" s="1"/>
  <c r="AG236" i="1"/>
  <c r="AH86" i="1"/>
  <c r="AG251" i="1"/>
  <c r="AS213" i="1"/>
  <c r="AB13" i="1"/>
  <c r="AN13" i="1" s="1"/>
  <c r="AH373" i="1"/>
  <c r="AL349" i="1"/>
  <c r="AS208" i="1"/>
  <c r="AP208" i="1"/>
  <c r="AG272" i="1"/>
  <c r="AO285" i="1"/>
  <c r="AB285" i="1"/>
  <c r="AH285" i="1" s="1"/>
  <c r="AR285" i="1"/>
  <c r="AS210" i="1"/>
  <c r="AB210" i="1"/>
  <c r="AH210" i="1" s="1"/>
  <c r="AP210" i="1"/>
  <c r="AS18" i="1"/>
  <c r="AP18" i="1"/>
  <c r="AM208" i="1"/>
  <c r="AG29" i="1"/>
  <c r="AP10" i="1"/>
  <c r="AS10" i="1"/>
  <c r="AS192" i="1"/>
  <c r="AP192" i="1"/>
  <c r="AM92" i="1"/>
  <c r="AG18" i="1"/>
  <c r="AG5" i="1"/>
  <c r="AR2" i="1"/>
  <c r="AB368" i="1"/>
  <c r="AH368" i="1" s="1"/>
  <c r="AL400" i="1"/>
  <c r="AN296" i="1"/>
  <c r="AF2" i="1"/>
  <c r="AS217" i="1"/>
  <c r="AG138" i="1"/>
  <c r="AB76" i="1"/>
  <c r="AQ76" i="1" s="1"/>
  <c r="AF352" i="1"/>
  <c r="AR123" i="1"/>
  <c r="AP236" i="1"/>
  <c r="AB119" i="1"/>
  <c r="AQ119" i="1" s="1"/>
  <c r="AP213" i="1"/>
  <c r="AB247" i="1"/>
  <c r="AN247" i="1" s="1"/>
  <c r="AG221" i="1"/>
  <c r="AB250" i="1"/>
  <c r="AQ250" i="1" s="1"/>
  <c r="AR315" i="1"/>
  <c r="AO315" i="1"/>
  <c r="AF339" i="1"/>
  <c r="AR322" i="1"/>
  <c r="AO322" i="1"/>
  <c r="AL391" i="1"/>
  <c r="AR331" i="1"/>
  <c r="AO331" i="1"/>
  <c r="AG208" i="1"/>
  <c r="AG41" i="1"/>
  <c r="AO314" i="1"/>
  <c r="AR314" i="1"/>
  <c r="AB314" i="1"/>
  <c r="AH314" i="1" s="1"/>
  <c r="AS219" i="1"/>
  <c r="AP219" i="1"/>
  <c r="AO140" i="1"/>
  <c r="AR140" i="1"/>
  <c r="AS108" i="1"/>
  <c r="AP108" i="1"/>
  <c r="AP267" i="1"/>
  <c r="AS267" i="1"/>
  <c r="AO206" i="1"/>
  <c r="AF206" i="1"/>
  <c r="AR206" i="1"/>
  <c r="AS75" i="1"/>
  <c r="AP75" i="1"/>
  <c r="AM10" i="1"/>
  <c r="AB10" i="1"/>
  <c r="AH10" i="1" s="1"/>
  <c r="AM49" i="1"/>
  <c r="AL327" i="1"/>
  <c r="AP90" i="1"/>
  <c r="AS76" i="1"/>
  <c r="AF366" i="1"/>
  <c r="AF234" i="1"/>
  <c r="AB221" i="1"/>
  <c r="AT221" i="1" s="1"/>
  <c r="AP227" i="1"/>
  <c r="AN251" i="1"/>
  <c r="AP138" i="1"/>
  <c r="AG13" i="1"/>
  <c r="AB2" i="1"/>
  <c r="AN2" i="1" s="1"/>
  <c r="AR250" i="1"/>
  <c r="AB140" i="1"/>
  <c r="AN140" i="1" s="1"/>
  <c r="AO301" i="1"/>
  <c r="AR301" i="1"/>
  <c r="AM251" i="1"/>
  <c r="AG390" i="1"/>
  <c r="AP190" i="1"/>
  <c r="AS190" i="1"/>
  <c r="AB364" i="1"/>
  <c r="AH364" i="1" s="1"/>
  <c r="AO364" i="1"/>
  <c r="AG49" i="1"/>
  <c r="AG125" i="1"/>
  <c r="AM26" i="1"/>
  <c r="AS194" i="1"/>
  <c r="AP194" i="1"/>
  <c r="AR357" i="1"/>
  <c r="AB357" i="1"/>
  <c r="AO357" i="1"/>
  <c r="AM162" i="1"/>
  <c r="AO230" i="1"/>
  <c r="AR230" i="1"/>
  <c r="AS50" i="1"/>
  <c r="AP50" i="1"/>
  <c r="AB5" i="1"/>
  <c r="AR5" i="1"/>
  <c r="AL44" i="1"/>
  <c r="AR44" i="1"/>
  <c r="AB44" i="1"/>
  <c r="AN44" i="1" s="1"/>
  <c r="AO44" i="1"/>
  <c r="AF44" i="1"/>
  <c r="AO142" i="1"/>
  <c r="AB142" i="1"/>
  <c r="AH142" i="1" s="1"/>
  <c r="AR142" i="1"/>
  <c r="AL142" i="1"/>
  <c r="AL363" i="1"/>
  <c r="AB363" i="1"/>
  <c r="AH363" i="1" s="1"/>
  <c r="AO363" i="1"/>
  <c r="AR363" i="1"/>
  <c r="AM120" i="1"/>
  <c r="AP120" i="1"/>
  <c r="AS120" i="1"/>
  <c r="AO113" i="1"/>
  <c r="AR113" i="1"/>
  <c r="AL113" i="1"/>
  <c r="AB113" i="1"/>
  <c r="AN113" i="1" s="1"/>
  <c r="AF113" i="1"/>
  <c r="AR402" i="1"/>
  <c r="AB402" i="1"/>
  <c r="AN402" i="1" s="1"/>
  <c r="AO402" i="1"/>
  <c r="AF402" i="1"/>
  <c r="AR312" i="1"/>
  <c r="AB312" i="1"/>
  <c r="AL312" i="1"/>
  <c r="AO312" i="1"/>
  <c r="AF312" i="1"/>
  <c r="AS258" i="1"/>
  <c r="AP258" i="1"/>
  <c r="AH317" i="1"/>
  <c r="AR289" i="1"/>
  <c r="AF289" i="1"/>
  <c r="AB289" i="1"/>
  <c r="AN289" i="1" s="1"/>
  <c r="AO289" i="1"/>
  <c r="AO405" i="1"/>
  <c r="AR405" i="1"/>
  <c r="AB405" i="1"/>
  <c r="AF405" i="1"/>
  <c r="AR328" i="1"/>
  <c r="AB328" i="1"/>
  <c r="AO328" i="1"/>
  <c r="AL328" i="1"/>
  <c r="AR348" i="1"/>
  <c r="AB348" i="1"/>
  <c r="AO348" i="1"/>
  <c r="AF348" i="1"/>
  <c r="AR392" i="1"/>
  <c r="AB392" i="1"/>
  <c r="AO392" i="1"/>
  <c r="AF392" i="1"/>
  <c r="AB344" i="1"/>
  <c r="AO344" i="1"/>
  <c r="AR344" i="1"/>
  <c r="AR290" i="1"/>
  <c r="AB290" i="1"/>
  <c r="AL290" i="1"/>
  <c r="AO290" i="1"/>
  <c r="AR244" i="1"/>
  <c r="AL244" i="1"/>
  <c r="AF244" i="1"/>
  <c r="AO244" i="1"/>
  <c r="AB244" i="1"/>
  <c r="AH244" i="1" s="1"/>
  <c r="AO241" i="1"/>
  <c r="AB241" i="1"/>
  <c r="AN241" i="1" s="1"/>
  <c r="AR241" i="1"/>
  <c r="AF241" i="1"/>
  <c r="AO240" i="1"/>
  <c r="AB240" i="1"/>
  <c r="AN240" i="1" s="1"/>
  <c r="AR240" i="1"/>
  <c r="AF240" i="1"/>
  <c r="AR263" i="1"/>
  <c r="AB263" i="1"/>
  <c r="AN263" i="1" s="1"/>
  <c r="AF263" i="1"/>
  <c r="AO263" i="1"/>
  <c r="AB266" i="1"/>
  <c r="AO266" i="1"/>
  <c r="AL266" i="1"/>
  <c r="AR266" i="1"/>
  <c r="AQ251" i="1"/>
  <c r="AT251" i="1"/>
  <c r="AP225" i="1"/>
  <c r="AS225" i="1"/>
  <c r="AG225" i="1"/>
  <c r="AB225" i="1"/>
  <c r="AL237" i="1"/>
  <c r="AB237" i="1"/>
  <c r="AO237" i="1"/>
  <c r="AF237" i="1"/>
  <c r="AR237" i="1"/>
  <c r="AO208" i="1"/>
  <c r="AB208" i="1"/>
  <c r="AF208" i="1"/>
  <c r="AL208" i="1"/>
  <c r="AR208" i="1"/>
  <c r="AR157" i="1"/>
  <c r="AO157" i="1"/>
  <c r="AL157" i="1"/>
  <c r="AF157" i="1"/>
  <c r="AB157" i="1"/>
  <c r="AO15" i="1"/>
  <c r="AB15" i="1"/>
  <c r="AN15" i="1" s="1"/>
  <c r="AR15" i="1"/>
  <c r="AF15" i="1"/>
  <c r="AP187" i="1"/>
  <c r="AS187" i="1"/>
  <c r="AG187" i="1"/>
  <c r="AR170" i="1"/>
  <c r="AB170" i="1"/>
  <c r="AN170" i="1" s="1"/>
  <c r="AO170" i="1"/>
  <c r="AF170" i="1"/>
  <c r="AL170" i="1"/>
  <c r="AO197" i="1"/>
  <c r="AF197" i="1"/>
  <c r="AR197" i="1"/>
  <c r="AB197" i="1"/>
  <c r="AN197" i="1" s="1"/>
  <c r="AP99" i="1"/>
  <c r="AG99" i="1"/>
  <c r="AS99" i="1"/>
  <c r="AS85" i="1"/>
  <c r="AM85" i="1"/>
  <c r="AP85" i="1"/>
  <c r="AG85" i="1"/>
  <c r="AP316" i="1"/>
  <c r="AG316" i="1"/>
  <c r="AS316" i="1"/>
  <c r="AB19" i="1"/>
  <c r="AR19" i="1"/>
  <c r="AF19" i="1"/>
  <c r="AO19" i="1"/>
  <c r="AO18" i="1"/>
  <c r="AL18" i="1"/>
  <c r="AB18" i="1"/>
  <c r="AR18" i="1"/>
  <c r="AS198" i="1"/>
  <c r="AP198" i="1"/>
  <c r="AB198" i="1"/>
  <c r="AH198" i="1" s="1"/>
  <c r="AB178" i="1"/>
  <c r="AR178" i="1"/>
  <c r="AO178" i="1"/>
  <c r="AF178" i="1"/>
  <c r="AL178" i="1"/>
  <c r="AP143" i="1"/>
  <c r="AG143" i="1"/>
  <c r="AS143" i="1"/>
  <c r="AM143" i="1"/>
  <c r="AS54" i="1"/>
  <c r="AP54" i="1"/>
  <c r="AM54" i="1"/>
  <c r="AG54" i="1"/>
  <c r="AP44" i="1"/>
  <c r="AS44" i="1"/>
  <c r="AG44" i="1"/>
  <c r="AM44" i="1"/>
  <c r="AS30" i="1"/>
  <c r="AM30" i="1"/>
  <c r="AP30" i="1"/>
  <c r="AG30" i="1"/>
  <c r="AB158" i="1"/>
  <c r="AR158" i="1"/>
  <c r="AO158" i="1"/>
  <c r="AF158" i="1"/>
  <c r="AS77" i="1"/>
  <c r="AG77" i="1"/>
  <c r="AP77" i="1"/>
  <c r="AQ107" i="1"/>
  <c r="AF344" i="1"/>
  <c r="AR326" i="1"/>
  <c r="AB326" i="1"/>
  <c r="AO326" i="1"/>
  <c r="AB220" i="1"/>
  <c r="AR220" i="1"/>
  <c r="AL220" i="1"/>
  <c r="AO220" i="1"/>
  <c r="AF220" i="1"/>
  <c r="AR136" i="1"/>
  <c r="AB136" i="1"/>
  <c r="AO136" i="1"/>
  <c r="AF136" i="1"/>
  <c r="AL136" i="1"/>
  <c r="AP118" i="1"/>
  <c r="AS118" i="1"/>
  <c r="AM118" i="1"/>
  <c r="AB118" i="1"/>
  <c r="AH118" i="1" s="1"/>
  <c r="AG118" i="1"/>
  <c r="AG262" i="1"/>
  <c r="AP262" i="1"/>
  <c r="AS262" i="1"/>
  <c r="AM262" i="1"/>
  <c r="AP218" i="1"/>
  <c r="AS218" i="1"/>
  <c r="AG218" i="1"/>
  <c r="AO138" i="1"/>
  <c r="AR138" i="1"/>
  <c r="AB138" i="1"/>
  <c r="AS40" i="1"/>
  <c r="AG40" i="1"/>
  <c r="AP40" i="1"/>
  <c r="AL218" i="1"/>
  <c r="AB218" i="1"/>
  <c r="AN218" i="1" s="1"/>
  <c r="AR218" i="1"/>
  <c r="AO218" i="1"/>
  <c r="AS242" i="1"/>
  <c r="AP242" i="1"/>
  <c r="AB242" i="1"/>
  <c r="AH242" i="1" s="1"/>
  <c r="AM242" i="1"/>
  <c r="AS281" i="1"/>
  <c r="AP281" i="1"/>
  <c r="AB281" i="1"/>
  <c r="AH281" i="1" s="1"/>
  <c r="AP12" i="1"/>
  <c r="AS12" i="1"/>
  <c r="AG12" i="1"/>
  <c r="AB12" i="1"/>
  <c r="AO403" i="1"/>
  <c r="AL403" i="1"/>
  <c r="AB403" i="1"/>
  <c r="AN403" i="1" s="1"/>
  <c r="AR403" i="1"/>
  <c r="AR100" i="1"/>
  <c r="AO100" i="1"/>
  <c r="AB100" i="1"/>
  <c r="AN100" i="1" s="1"/>
  <c r="AS220" i="1"/>
  <c r="AP220" i="1"/>
  <c r="AG220" i="1"/>
  <c r="AM220" i="1"/>
  <c r="AR152" i="1"/>
  <c r="AB152" i="1"/>
  <c r="AH152" i="1" s="1"/>
  <c r="AO152" i="1"/>
  <c r="AL152" i="1"/>
  <c r="AB4" i="1"/>
  <c r="AR4" i="1"/>
  <c r="AO4" i="1"/>
  <c r="AL4" i="1"/>
  <c r="AP174" i="1"/>
  <c r="AS174" i="1"/>
  <c r="AM174" i="1"/>
  <c r="AB174" i="1"/>
  <c r="AH174" i="1" s="1"/>
  <c r="AB99" i="1"/>
  <c r="AH99" i="1" s="1"/>
  <c r="AL240" i="1"/>
  <c r="AR390" i="1"/>
  <c r="AB390" i="1"/>
  <c r="AH390" i="1" s="1"/>
  <c r="AO390" i="1"/>
  <c r="AL355" i="1"/>
  <c r="AO355" i="1"/>
  <c r="AB355" i="1"/>
  <c r="AF355" i="1"/>
  <c r="AR355" i="1"/>
  <c r="AR300" i="1"/>
  <c r="AB300" i="1"/>
  <c r="AL300" i="1"/>
  <c r="AO300" i="1"/>
  <c r="AR299" i="1"/>
  <c r="AL299" i="1"/>
  <c r="AO299" i="1"/>
  <c r="AB299" i="1"/>
  <c r="AR112" i="1"/>
  <c r="AB112" i="1"/>
  <c r="AH112" i="1" s="1"/>
  <c r="AL112" i="1"/>
  <c r="AO112" i="1"/>
  <c r="AR194" i="1"/>
  <c r="AF194" i="1"/>
  <c r="AO194" i="1"/>
  <c r="AB194" i="1"/>
  <c r="AN194" i="1" s="1"/>
  <c r="AS353" i="1"/>
  <c r="AP353" i="1"/>
  <c r="AG353" i="1"/>
  <c r="AF142" i="1"/>
  <c r="AB133" i="1"/>
  <c r="AN133" i="1" s="1"/>
  <c r="AF133" i="1"/>
  <c r="AR133" i="1"/>
  <c r="AO133" i="1"/>
  <c r="AL133" i="1"/>
  <c r="AR104" i="1"/>
  <c r="AB104" i="1"/>
  <c r="AF104" i="1"/>
  <c r="AO104" i="1"/>
  <c r="AG241" i="1"/>
  <c r="AS241" i="1"/>
  <c r="AP241" i="1"/>
  <c r="AM241" i="1"/>
  <c r="AP237" i="1"/>
  <c r="AS237" i="1"/>
  <c r="AG237" i="1"/>
  <c r="AO227" i="1"/>
  <c r="AB227" i="1"/>
  <c r="AR227" i="1"/>
  <c r="AR69" i="1"/>
  <c r="AF69" i="1"/>
  <c r="AB69" i="1"/>
  <c r="AO69" i="1"/>
  <c r="AO200" i="1"/>
  <c r="AB200" i="1"/>
  <c r="AL200" i="1"/>
  <c r="AR200" i="1"/>
  <c r="AT86" i="1"/>
  <c r="AQ86" i="1"/>
  <c r="AN86" i="1"/>
  <c r="AB60" i="1"/>
  <c r="AN60" i="1" s="1"/>
  <c r="AO60" i="1"/>
  <c r="AR60" i="1"/>
  <c r="AF236" i="1"/>
  <c r="AO236" i="1"/>
  <c r="AB236" i="1"/>
  <c r="AN236" i="1" s="1"/>
  <c r="AR236" i="1"/>
  <c r="AB280" i="1"/>
  <c r="AN280" i="1" s="1"/>
  <c r="AR280" i="1"/>
  <c r="AO280" i="1"/>
  <c r="AR168" i="1"/>
  <c r="AB168" i="1"/>
  <c r="AO168" i="1"/>
  <c r="AF168" i="1"/>
  <c r="AG79" i="1"/>
  <c r="AP79" i="1"/>
  <c r="AS79" i="1"/>
  <c r="AO57" i="1"/>
  <c r="AR57" i="1"/>
  <c r="AB57" i="1"/>
  <c r="AR11" i="1"/>
  <c r="AB11" i="1"/>
  <c r="AN11" i="1" s="1"/>
  <c r="AO11" i="1"/>
  <c r="AF11" i="1"/>
  <c r="AR154" i="1"/>
  <c r="AF154" i="1"/>
  <c r="AB154" i="1"/>
  <c r="AO154" i="1"/>
  <c r="AB125" i="1"/>
  <c r="AR125" i="1"/>
  <c r="AO125" i="1"/>
  <c r="AF125" i="1"/>
  <c r="AR25" i="1"/>
  <c r="AB25" i="1"/>
  <c r="AH25" i="1" s="1"/>
  <c r="AO25" i="1"/>
  <c r="AL25" i="1"/>
  <c r="AO362" i="1"/>
  <c r="AR362" i="1"/>
  <c r="AL362" i="1"/>
  <c r="AB362" i="1"/>
  <c r="AH362" i="1" s="1"/>
  <c r="AB395" i="1"/>
  <c r="AH395" i="1" s="1"/>
  <c r="AL395" i="1"/>
  <c r="AO395" i="1"/>
  <c r="AR395" i="1"/>
  <c r="AF395" i="1"/>
  <c r="AB353" i="1"/>
  <c r="AH353" i="1" s="1"/>
  <c r="AL194" i="1"/>
  <c r="AR340" i="1"/>
  <c r="AB340" i="1"/>
  <c r="AN340" i="1" s="1"/>
  <c r="AO340" i="1"/>
  <c r="AF340" i="1"/>
  <c r="AG383" i="1"/>
  <c r="AS383" i="1"/>
  <c r="AB383" i="1"/>
  <c r="AN383" i="1" s="1"/>
  <c r="AP383" i="1"/>
  <c r="AB316" i="1"/>
  <c r="AN316" i="1" s="1"/>
  <c r="AF218" i="1"/>
  <c r="AB262" i="1"/>
  <c r="AH262" i="1" s="1"/>
  <c r="AM316" i="1"/>
  <c r="AQ96" i="1"/>
  <c r="AT96" i="1"/>
  <c r="AP197" i="1"/>
  <c r="AS197" i="1"/>
  <c r="AG197" i="1"/>
  <c r="AM197" i="1"/>
  <c r="AT105" i="1"/>
  <c r="AP52" i="1"/>
  <c r="AM52" i="1"/>
  <c r="AS52" i="1"/>
  <c r="AB52" i="1"/>
  <c r="AH52" i="1" s="1"/>
  <c r="AP16" i="1"/>
  <c r="AG16" i="1"/>
  <c r="AS16" i="1"/>
  <c r="AR70" i="1"/>
  <c r="AO70" i="1"/>
  <c r="AL70" i="1"/>
  <c r="AB70" i="1"/>
  <c r="AH70" i="1" s="1"/>
  <c r="AR43" i="1"/>
  <c r="AB43" i="1"/>
  <c r="AO43" i="1"/>
  <c r="AF43" i="1"/>
  <c r="AM16" i="1"/>
  <c r="AS87" i="1"/>
  <c r="AB87" i="1"/>
  <c r="AP87" i="1"/>
  <c r="AG87" i="1"/>
  <c r="AL15" i="1"/>
  <c r="AR68" i="1"/>
  <c r="AL68" i="1"/>
  <c r="AB68" i="1"/>
  <c r="AN68" i="1" s="1"/>
  <c r="AO68" i="1"/>
  <c r="AB106" i="1"/>
  <c r="AN106" i="1" s="1"/>
  <c r="AR106" i="1"/>
  <c r="AF106" i="1"/>
  <c r="AO106" i="1"/>
  <c r="AL26" i="1"/>
  <c r="AB85" i="1"/>
  <c r="AO181" i="1"/>
  <c r="AF181" i="1"/>
  <c r="AL181" i="1"/>
  <c r="AB181" i="1"/>
  <c r="AR181" i="1"/>
  <c r="AM33" i="1"/>
  <c r="AP33" i="1"/>
  <c r="AS33" i="1"/>
  <c r="AG33" i="1"/>
  <c r="AP191" i="1"/>
  <c r="AG191" i="1"/>
  <c r="AS191" i="1"/>
  <c r="AB191" i="1"/>
  <c r="AH191" i="1" s="1"/>
  <c r="AR409" i="1"/>
  <c r="AO409" i="1"/>
  <c r="AL409" i="1"/>
  <c r="AB409" i="1"/>
  <c r="AF363" i="1"/>
  <c r="AO408" i="1"/>
  <c r="AR408" i="1"/>
  <c r="AB408" i="1"/>
  <c r="AF408" i="1"/>
  <c r="AR374" i="1"/>
  <c r="AF374" i="1"/>
  <c r="AO374" i="1"/>
  <c r="AB374" i="1"/>
  <c r="AS381" i="1"/>
  <c r="AP381" i="1"/>
  <c r="AO313" i="1"/>
  <c r="AR313" i="1"/>
  <c r="AB313" i="1"/>
  <c r="AH313" i="1" s="1"/>
  <c r="AL313" i="1"/>
  <c r="AR406" i="1"/>
  <c r="AO406" i="1"/>
  <c r="AB406" i="1"/>
  <c r="AL406" i="1"/>
  <c r="AO305" i="1"/>
  <c r="AB305" i="1"/>
  <c r="AH305" i="1" s="1"/>
  <c r="AL305" i="1"/>
  <c r="AR305" i="1"/>
  <c r="AT337" i="1"/>
  <c r="AQ337" i="1"/>
  <c r="AS238" i="1"/>
  <c r="AG238" i="1"/>
  <c r="AP238" i="1"/>
  <c r="AR110" i="1"/>
  <c r="AO110" i="1"/>
  <c r="AB110" i="1"/>
  <c r="AL110" i="1"/>
  <c r="AM77" i="1"/>
  <c r="AL43" i="1"/>
  <c r="AO39" i="1"/>
  <c r="AR39" i="1"/>
  <c r="AB39" i="1"/>
  <c r="AH39" i="1" s="1"/>
  <c r="AL39" i="1"/>
  <c r="AO278" i="1"/>
  <c r="AR278" i="1"/>
  <c r="AB278" i="1"/>
  <c r="AH278" i="1" s="1"/>
  <c r="AF278" i="1"/>
  <c r="AB259" i="1"/>
  <c r="AO259" i="1"/>
  <c r="AR259" i="1"/>
  <c r="AF305" i="1"/>
  <c r="AO216" i="1"/>
  <c r="AB216" i="1"/>
  <c r="AN216" i="1" s="1"/>
  <c r="AF216" i="1"/>
  <c r="AR216" i="1"/>
  <c r="AP179" i="1"/>
  <c r="AS179" i="1"/>
  <c r="AM179" i="1"/>
  <c r="AP142" i="1"/>
  <c r="AG142" i="1"/>
  <c r="AS142" i="1"/>
  <c r="AS69" i="1"/>
  <c r="AP69" i="1"/>
  <c r="AM69" i="1"/>
  <c r="AF268" i="1"/>
  <c r="AO268" i="1"/>
  <c r="AR268" i="1"/>
  <c r="AB268" i="1"/>
  <c r="AL268" i="1"/>
  <c r="AS309" i="1"/>
  <c r="AG309" i="1"/>
  <c r="AP309" i="1"/>
  <c r="AB309" i="1"/>
  <c r="AB372" i="1"/>
  <c r="AN372" i="1" s="1"/>
  <c r="AR372" i="1"/>
  <c r="AO372" i="1"/>
  <c r="AL405" i="1"/>
  <c r="AB404" i="1"/>
  <c r="AR404" i="1"/>
  <c r="AO404" i="1"/>
  <c r="AF390" i="1"/>
  <c r="AR380" i="1"/>
  <c r="AB380" i="1"/>
  <c r="AO380" i="1"/>
  <c r="AF328" i="1"/>
  <c r="AL344" i="1"/>
  <c r="AF326" i="1"/>
  <c r="AQ354" i="1"/>
  <c r="AN354" i="1"/>
  <c r="AB379" i="1"/>
  <c r="AR379" i="1"/>
  <c r="AF379" i="1"/>
  <c r="AO379" i="1"/>
  <c r="AL379" i="1"/>
  <c r="AL228" i="1"/>
  <c r="AB228" i="1"/>
  <c r="AH228" i="1" s="1"/>
  <c r="AF228" i="1"/>
  <c r="AR228" i="1"/>
  <c r="AO228" i="1"/>
  <c r="AF313" i="1"/>
  <c r="AR298" i="1"/>
  <c r="AB298" i="1"/>
  <c r="AO298" i="1"/>
  <c r="AL298" i="1"/>
  <c r="AG242" i="1"/>
  <c r="AL236" i="1"/>
  <c r="AF227" i="1"/>
  <c r="AO338" i="1"/>
  <c r="AB338" i="1"/>
  <c r="AN338" i="1" s="1"/>
  <c r="AR338" i="1"/>
  <c r="AM142" i="1"/>
  <c r="AB120" i="1"/>
  <c r="AH120" i="1" s="1"/>
  <c r="AL106" i="1"/>
  <c r="AL138" i="1"/>
  <c r="AM79" i="1"/>
  <c r="AS301" i="1"/>
  <c r="AP301" i="1"/>
  <c r="AG301" i="1"/>
  <c r="AB301" i="1"/>
  <c r="AG198" i="1"/>
  <c r="AL372" i="1"/>
  <c r="AB209" i="1"/>
  <c r="AF209" i="1"/>
  <c r="AO209" i="1"/>
  <c r="AR209" i="1"/>
  <c r="AL125" i="1"/>
  <c r="AS244" i="1"/>
  <c r="AP244" i="1"/>
  <c r="AM244" i="1"/>
  <c r="AR184" i="1"/>
  <c r="AB184" i="1"/>
  <c r="AO184" i="1"/>
  <c r="AL184" i="1"/>
  <c r="AF184" i="1"/>
  <c r="AL158" i="1"/>
  <c r="AM99" i="1"/>
  <c r="AB79" i="1"/>
  <c r="AR91" i="1"/>
  <c r="AL91" i="1"/>
  <c r="AB91" i="1"/>
  <c r="AO91" i="1"/>
  <c r="AF91" i="1"/>
  <c r="AP209" i="1"/>
  <c r="AG209" i="1"/>
  <c r="AS209" i="1"/>
  <c r="AB202" i="1"/>
  <c r="AH202" i="1" s="1"/>
  <c r="AL202" i="1"/>
  <c r="AO202" i="1"/>
  <c r="AF202" i="1"/>
  <c r="AR202" i="1"/>
  <c r="AT161" i="1"/>
  <c r="AQ161" i="1"/>
  <c r="AL83" i="1"/>
  <c r="AB83" i="1"/>
  <c r="AR83" i="1"/>
  <c r="AO83" i="1"/>
  <c r="AF83" i="1"/>
  <c r="AO50" i="1"/>
  <c r="AL50" i="1"/>
  <c r="AB50" i="1"/>
  <c r="AR50" i="1"/>
  <c r="AL284" i="1"/>
  <c r="AO284" i="1"/>
  <c r="AR284" i="1"/>
  <c r="AF284" i="1"/>
  <c r="AB284" i="1"/>
  <c r="AB179" i="1"/>
  <c r="AG52" i="1"/>
  <c r="AL197" i="1"/>
  <c r="AB146" i="1"/>
  <c r="AN146" i="1" s="1"/>
  <c r="AO146" i="1"/>
  <c r="AF146" i="1"/>
  <c r="AR146" i="1"/>
  <c r="AP36" i="1"/>
  <c r="AS36" i="1"/>
  <c r="AM36" i="1"/>
  <c r="AF18" i="1"/>
  <c r="AG299" i="1"/>
  <c r="AS299" i="1"/>
  <c r="AP299" i="1"/>
  <c r="AM299" i="1"/>
  <c r="AN161" i="1"/>
  <c r="AS106" i="1"/>
  <c r="AG106" i="1"/>
  <c r="AP106" i="1"/>
  <c r="AM106" i="1"/>
  <c r="AR46" i="1"/>
  <c r="AB46" i="1"/>
  <c r="AL46" i="1"/>
  <c r="AO46" i="1"/>
  <c r="AF46" i="1"/>
  <c r="AS27" i="1"/>
  <c r="AG27" i="1"/>
  <c r="AP27" i="1"/>
  <c r="AO26" i="1"/>
  <c r="AB26" i="1"/>
  <c r="AH26" i="1" s="1"/>
  <c r="AR26" i="1"/>
  <c r="AR371" i="1"/>
  <c r="AL371" i="1"/>
  <c r="AB371" i="1"/>
  <c r="AO371" i="1"/>
  <c r="AO297" i="1"/>
  <c r="AF297" i="1"/>
  <c r="AR297" i="1"/>
  <c r="AB297" i="1"/>
  <c r="AB261" i="1"/>
  <c r="AO261" i="1"/>
  <c r="AF261" i="1"/>
  <c r="AR261" i="1"/>
  <c r="AR302" i="1"/>
  <c r="AB302" i="1"/>
  <c r="AN302" i="1" s="1"/>
  <c r="AO302" i="1"/>
  <c r="AF302" i="1"/>
  <c r="AO248" i="1"/>
  <c r="AR248" i="1"/>
  <c r="AL248" i="1"/>
  <c r="AB248" i="1"/>
  <c r="AF248" i="1"/>
  <c r="AO233" i="1"/>
  <c r="AR233" i="1"/>
  <c r="AB233" i="1"/>
  <c r="AP234" i="1"/>
  <c r="AS234" i="1"/>
  <c r="AM234" i="1"/>
  <c r="AR102" i="1"/>
  <c r="AF102" i="1"/>
  <c r="AO102" i="1"/>
  <c r="AB102" i="1"/>
  <c r="AN102" i="1" s="1"/>
  <c r="AL102" i="1"/>
  <c r="AO7" i="1"/>
  <c r="AL7" i="1"/>
  <c r="AR7" i="1"/>
  <c r="AB7" i="1"/>
  <c r="AR269" i="1"/>
  <c r="AL269" i="1"/>
  <c r="AB269" i="1"/>
  <c r="AF269" i="1"/>
  <c r="AO269" i="1"/>
  <c r="AR303" i="1"/>
  <c r="AF303" i="1"/>
  <c r="AO303" i="1"/>
  <c r="AB303" i="1"/>
  <c r="AN303" i="1" s="1"/>
  <c r="AL241" i="1"/>
  <c r="AP226" i="1"/>
  <c r="AG226" i="1"/>
  <c r="AS226" i="1"/>
  <c r="AL326" i="1"/>
  <c r="AB226" i="1"/>
  <c r="AN226" i="1" s="1"/>
  <c r="AB243" i="1"/>
  <c r="AN243" i="1" s="1"/>
  <c r="AR243" i="1"/>
  <c r="AO243" i="1"/>
  <c r="AR134" i="1"/>
  <c r="AO134" i="1"/>
  <c r="AL134" i="1"/>
  <c r="AB134" i="1"/>
  <c r="AM40" i="1"/>
  <c r="AP255" i="1"/>
  <c r="AM255" i="1"/>
  <c r="AS255" i="1"/>
  <c r="AG255" i="1"/>
  <c r="AR306" i="1"/>
  <c r="AL306" i="1"/>
  <c r="AO306" i="1"/>
  <c r="AB306" i="1"/>
  <c r="AN306" i="1" s="1"/>
  <c r="AL100" i="1"/>
  <c r="AQ319" i="1"/>
  <c r="AR204" i="1"/>
  <c r="AO204" i="1"/>
  <c r="AL204" i="1"/>
  <c r="AF204" i="1"/>
  <c r="AB204" i="1"/>
  <c r="AM168" i="1"/>
  <c r="AP168" i="1"/>
  <c r="AG168" i="1"/>
  <c r="AS168" i="1"/>
  <c r="AR132" i="1"/>
  <c r="AO132" i="1"/>
  <c r="AL132" i="1"/>
  <c r="AB132" i="1"/>
  <c r="AO89" i="1"/>
  <c r="AR89" i="1"/>
  <c r="AB89" i="1"/>
  <c r="AH89" i="1" s="1"/>
  <c r="AL89" i="1"/>
  <c r="AF89" i="1"/>
  <c r="AB27" i="1"/>
  <c r="AN27" i="1" s="1"/>
  <c r="AP167" i="1"/>
  <c r="AS167" i="1"/>
  <c r="AG167" i="1"/>
  <c r="AB167" i="1"/>
  <c r="AP119" i="1"/>
  <c r="AG119" i="1"/>
  <c r="AS119" i="1"/>
  <c r="AB350" i="1"/>
  <c r="AR350" i="1"/>
  <c r="AO350" i="1"/>
  <c r="AO256" i="1"/>
  <c r="AR256" i="1"/>
  <c r="AB256" i="1"/>
  <c r="AL69" i="1"/>
  <c r="AP47" i="1"/>
  <c r="AS47" i="1"/>
  <c r="AO224" i="1"/>
  <c r="AB224" i="1"/>
  <c r="AH224" i="1" s="1"/>
  <c r="AR224" i="1"/>
  <c r="AF224" i="1"/>
  <c r="AG174" i="1"/>
  <c r="AF152" i="1"/>
  <c r="AB172" i="1"/>
  <c r="AH172" i="1" s="1"/>
  <c r="AL172" i="1"/>
  <c r="AR172" i="1"/>
  <c r="AO172" i="1"/>
  <c r="AO23" i="1"/>
  <c r="AF23" i="1"/>
  <c r="AR23" i="1"/>
  <c r="AL23" i="1"/>
  <c r="AB23" i="1"/>
  <c r="AB16" i="1"/>
  <c r="AB171" i="1"/>
  <c r="AL171" i="1"/>
  <c r="AO171" i="1"/>
  <c r="AR171" i="1"/>
  <c r="AF171" i="1"/>
  <c r="AB124" i="1"/>
  <c r="AO124" i="1"/>
  <c r="AR124" i="1"/>
  <c r="AS43" i="1"/>
  <c r="AM43" i="1"/>
  <c r="AP43" i="1"/>
  <c r="AG43" i="1"/>
  <c r="AR14" i="1"/>
  <c r="AB14" i="1"/>
  <c r="AN14" i="1" s="1"/>
  <c r="AF14" i="1"/>
  <c r="AO14" i="1"/>
  <c r="AL195" i="1"/>
  <c r="AB195" i="1"/>
  <c r="AH195" i="1" s="1"/>
  <c r="AR195" i="1"/>
  <c r="AF195" i="1"/>
  <c r="AO195" i="1"/>
  <c r="AR22" i="1"/>
  <c r="AB22" i="1"/>
  <c r="AL22" i="1"/>
  <c r="AF22" i="1"/>
  <c r="AO22" i="1"/>
  <c r="AP195" i="1"/>
  <c r="AS195" i="1"/>
  <c r="AG195" i="1"/>
  <c r="AS254" i="1"/>
  <c r="AP254" i="1"/>
  <c r="AP166" i="1"/>
  <c r="AS166" i="1"/>
  <c r="AG166" i="1"/>
  <c r="AM144" i="1"/>
  <c r="AG144" i="1"/>
  <c r="AP144" i="1"/>
  <c r="AS144" i="1"/>
  <c r="AP59" i="1"/>
  <c r="AG59" i="1"/>
  <c r="AS59" i="1"/>
  <c r="AB59" i="1"/>
  <c r="AH59" i="1" s="1"/>
  <c r="AR54" i="1"/>
  <c r="AB54" i="1"/>
  <c r="AF54" i="1"/>
  <c r="AO54" i="1"/>
  <c r="AB30" i="1"/>
  <c r="AF3" i="1"/>
  <c r="AO3" i="1"/>
  <c r="AR3" i="1"/>
  <c r="AB3" i="1"/>
  <c r="AN3" i="1" s="1"/>
  <c r="AL259" i="1"/>
  <c r="AP146" i="1"/>
  <c r="AG146" i="1"/>
  <c r="AS146" i="1"/>
  <c r="AR386" i="1"/>
  <c r="AB386" i="1"/>
  <c r="AL386" i="1"/>
  <c r="AO386" i="1"/>
  <c r="AF386" i="1"/>
  <c r="AB393" i="1"/>
  <c r="AR393" i="1"/>
  <c r="AO393" i="1"/>
  <c r="AF393" i="1"/>
  <c r="AO385" i="1"/>
  <c r="AL385" i="1"/>
  <c r="AF385" i="1"/>
  <c r="AR385" i="1"/>
  <c r="AB385" i="1"/>
  <c r="AL350" i="1"/>
  <c r="AR346" i="1"/>
  <c r="AB346" i="1"/>
  <c r="AO346" i="1"/>
  <c r="AF346" i="1"/>
  <c r="AF350" i="1"/>
  <c r="AO335" i="1"/>
  <c r="AB335" i="1"/>
  <c r="AL335" i="1"/>
  <c r="AR335" i="1"/>
  <c r="AF233" i="1"/>
  <c r="AS369" i="1"/>
  <c r="AG369" i="1"/>
  <c r="AP369" i="1"/>
  <c r="AF333" i="1"/>
  <c r="AO333" i="1"/>
  <c r="AR333" i="1"/>
  <c r="AB333" i="1"/>
  <c r="AN333" i="1" s="1"/>
  <c r="AL333" i="1"/>
  <c r="AO279" i="1"/>
  <c r="AL279" i="1"/>
  <c r="AB279" i="1"/>
  <c r="AH279" i="1" s="1"/>
  <c r="AF279" i="1"/>
  <c r="AR279" i="1"/>
  <c r="AO264" i="1"/>
  <c r="AB264" i="1"/>
  <c r="AR264" i="1"/>
  <c r="AL264" i="1"/>
  <c r="AF100" i="1"/>
  <c r="AL278" i="1"/>
  <c r="AL302" i="1"/>
  <c r="AB369" i="1"/>
  <c r="AN369" i="1" s="1"/>
  <c r="AM225" i="1"/>
  <c r="AG163" i="1"/>
  <c r="AP163" i="1"/>
  <c r="AS163" i="1"/>
  <c r="AB163" i="1"/>
  <c r="AS123" i="1"/>
  <c r="AG123" i="1"/>
  <c r="AP123" i="1"/>
  <c r="AQ67" i="1"/>
  <c r="AT67" i="1"/>
  <c r="AL263" i="1"/>
  <c r="AP253" i="1"/>
  <c r="AB253" i="1"/>
  <c r="AS253" i="1"/>
  <c r="AP269" i="1"/>
  <c r="AG269" i="1"/>
  <c r="AS269" i="1"/>
  <c r="AG258" i="1"/>
  <c r="AP407" i="1"/>
  <c r="AS407" i="1"/>
  <c r="AS189" i="1"/>
  <c r="AG189" i="1"/>
  <c r="AB189" i="1"/>
  <c r="AP189" i="1"/>
  <c r="AL227" i="1"/>
  <c r="AB143" i="1"/>
  <c r="AN143" i="1" s="1"/>
  <c r="AF134" i="1"/>
  <c r="AB126" i="1"/>
  <c r="AN126" i="1" s="1"/>
  <c r="AO126" i="1"/>
  <c r="AF126" i="1"/>
  <c r="AR126" i="1"/>
  <c r="AO115" i="1"/>
  <c r="AR115" i="1"/>
  <c r="AL115" i="1"/>
  <c r="AB115" i="1"/>
  <c r="AN115" i="1" s="1"/>
  <c r="AP57" i="1"/>
  <c r="AS57" i="1"/>
  <c r="AP15" i="1"/>
  <c r="AS15" i="1"/>
  <c r="AF409" i="1"/>
  <c r="AB388" i="1"/>
  <c r="AH388" i="1" s="1"/>
  <c r="AF388" i="1"/>
  <c r="AR388" i="1"/>
  <c r="AO388" i="1"/>
  <c r="AO397" i="1"/>
  <c r="AR397" i="1"/>
  <c r="AB397" i="1"/>
  <c r="AL397" i="1"/>
  <c r="AF397" i="1"/>
  <c r="AR277" i="1"/>
  <c r="AB277" i="1"/>
  <c r="AN277" i="1" s="1"/>
  <c r="AO277" i="1"/>
  <c r="AO384" i="1"/>
  <c r="AB384" i="1"/>
  <c r="AR384" i="1"/>
  <c r="AF362" i="1"/>
  <c r="AR282" i="1"/>
  <c r="AB282" i="1"/>
  <c r="AO282" i="1"/>
  <c r="AF282" i="1"/>
  <c r="AL282" i="1"/>
  <c r="AL392" i="1"/>
  <c r="AF371" i="1"/>
  <c r="AB407" i="1"/>
  <c r="AH407" i="1" s="1"/>
  <c r="AB358" i="1"/>
  <c r="AR358" i="1"/>
  <c r="AL358" i="1"/>
  <c r="AF358" i="1"/>
  <c r="AO358" i="1"/>
  <c r="AL402" i="1"/>
  <c r="AG381" i="1"/>
  <c r="AL348" i="1"/>
  <c r="AF259" i="1"/>
  <c r="AP375" i="1"/>
  <c r="AS375" i="1"/>
  <c r="AB375" i="1"/>
  <c r="AM375" i="1"/>
  <c r="AL347" i="1"/>
  <c r="AB347" i="1"/>
  <c r="AN347" i="1" s="1"/>
  <c r="AF347" i="1"/>
  <c r="AR347" i="1"/>
  <c r="AO347" i="1"/>
  <c r="AF338" i="1"/>
  <c r="AF298" i="1"/>
  <c r="AM281" i="1"/>
  <c r="AS257" i="1"/>
  <c r="AG257" i="1"/>
  <c r="AP257" i="1"/>
  <c r="AS246" i="1"/>
  <c r="AP246" i="1"/>
  <c r="AB246" i="1"/>
  <c r="AG246" i="1"/>
  <c r="AL233" i="1"/>
  <c r="AB234" i="1"/>
  <c r="AM167" i="1"/>
  <c r="AG281" i="1"/>
  <c r="AB258" i="1"/>
  <c r="AH258" i="1" s="1"/>
  <c r="AF335" i="1"/>
  <c r="AP216" i="1"/>
  <c r="AS216" i="1"/>
  <c r="AM187" i="1"/>
  <c r="AG253" i="1"/>
  <c r="AB187" i="1"/>
  <c r="AS173" i="1"/>
  <c r="AP173" i="1"/>
  <c r="AG173" i="1"/>
  <c r="AB173" i="1"/>
  <c r="AF68" i="1"/>
  <c r="AO114" i="1"/>
  <c r="AF114" i="1"/>
  <c r="AR114" i="1"/>
  <c r="AB114" i="1"/>
  <c r="AL60" i="1"/>
  <c r="AL256" i="1"/>
  <c r="AO177" i="1"/>
  <c r="AR177" i="1"/>
  <c r="AB177" i="1"/>
  <c r="AL177" i="1"/>
  <c r="AF177" i="1"/>
  <c r="AP207" i="1"/>
  <c r="AM207" i="1"/>
  <c r="AS207" i="1"/>
  <c r="AS151" i="1"/>
  <c r="AP151" i="1"/>
  <c r="AB151" i="1"/>
  <c r="AH151" i="1" s="1"/>
  <c r="AO129" i="1"/>
  <c r="AB129" i="1"/>
  <c r="AN129" i="1" s="1"/>
  <c r="AR129" i="1"/>
  <c r="AF129" i="1"/>
  <c r="AP103" i="1"/>
  <c r="AS103" i="1"/>
  <c r="AG103" i="1"/>
  <c r="AB36" i="1"/>
  <c r="AH36" i="1" s="1"/>
  <c r="AL36" i="1"/>
  <c r="AF36" i="1"/>
  <c r="AR36" i="1"/>
  <c r="AO36" i="1"/>
  <c r="AS222" i="1"/>
  <c r="AP222" i="1"/>
  <c r="AH161" i="1"/>
  <c r="AO166" i="1"/>
  <c r="AL166" i="1"/>
  <c r="AB166" i="1"/>
  <c r="AF166" i="1"/>
  <c r="AR166" i="1"/>
  <c r="AO153" i="1"/>
  <c r="AB153" i="1"/>
  <c r="AR153" i="1"/>
  <c r="AF153" i="1"/>
  <c r="AB77" i="1"/>
  <c r="AB249" i="1"/>
  <c r="AN249" i="1" s="1"/>
  <c r="AR249" i="1"/>
  <c r="AF249" i="1"/>
  <c r="AO249" i="1"/>
  <c r="AF110" i="1"/>
  <c r="AL57" i="1"/>
  <c r="AL19" i="1"/>
  <c r="AM12" i="1"/>
  <c r="AS8" i="1"/>
  <c r="AG8" i="1"/>
  <c r="AP8" i="1"/>
  <c r="AM8" i="1"/>
  <c r="AO235" i="1"/>
  <c r="AR235" i="1"/>
  <c r="AL235" i="1"/>
  <c r="AB235" i="1"/>
  <c r="AF200" i="1"/>
  <c r="AR64" i="1"/>
  <c r="AB64" i="1"/>
  <c r="AN64" i="1" s="1"/>
  <c r="AF64" i="1"/>
  <c r="AO64" i="1"/>
  <c r="AL64" i="1"/>
  <c r="AO20" i="1"/>
  <c r="AL20" i="1"/>
  <c r="AR20" i="1"/>
  <c r="AB20" i="1"/>
  <c r="AM309" i="1"/>
  <c r="AS32" i="1"/>
  <c r="AB32" i="1"/>
  <c r="AP32" i="1"/>
  <c r="AG32" i="1"/>
  <c r="AM32" i="1"/>
  <c r="AM218" i="1"/>
  <c r="AS58" i="1"/>
  <c r="AG58" i="1"/>
  <c r="AB58" i="1"/>
  <c r="AP58" i="1"/>
  <c r="AM58" i="1"/>
  <c r="AH251" i="1"/>
  <c r="AH96" i="1"/>
  <c r="AO55" i="1"/>
  <c r="AF55" i="1"/>
  <c r="AB55" i="1"/>
  <c r="AN55" i="1" s="1"/>
  <c r="AL55" i="1"/>
  <c r="AR55" i="1"/>
  <c r="AO47" i="1"/>
  <c r="AB47" i="1"/>
  <c r="AN47" i="1" s="1"/>
  <c r="AF47" i="1"/>
  <c r="AR47" i="1"/>
  <c r="AF35" i="1"/>
  <c r="AR35" i="1"/>
  <c r="AO35" i="1"/>
  <c r="AB35" i="1"/>
  <c r="AN35" i="1" s="1"/>
  <c r="AG15" i="1"/>
  <c r="AF290" i="1"/>
  <c r="AO162" i="1"/>
  <c r="AB162" i="1"/>
  <c r="AN162" i="1" s="1"/>
  <c r="AR162" i="1"/>
  <c r="AB40" i="1"/>
  <c r="AN40" i="1" s="1"/>
  <c r="AO31" i="1"/>
  <c r="AR31" i="1"/>
  <c r="AB31" i="1"/>
  <c r="AH31" i="1" s="1"/>
  <c r="AL31" i="1"/>
  <c r="AB33" i="1"/>
  <c r="AF4" i="1"/>
  <c r="AR260" i="1"/>
  <c r="AF260" i="1"/>
  <c r="AO260" i="1"/>
  <c r="AB260" i="1"/>
  <c r="AN260" i="1" s="1"/>
  <c r="AQ345" i="1"/>
  <c r="AT345" i="1"/>
  <c r="AS154" i="1"/>
  <c r="AG154" i="1"/>
  <c r="AP154" i="1"/>
  <c r="AO330" i="1"/>
  <c r="AB330" i="1"/>
  <c r="AR330" i="1"/>
  <c r="AR245" i="1"/>
  <c r="AO245" i="1"/>
  <c r="AB245" i="1"/>
  <c r="AH245" i="1" s="1"/>
  <c r="AP114" i="1"/>
  <c r="AG114" i="1"/>
  <c r="AS114" i="1"/>
  <c r="AM114" i="1"/>
  <c r="AO193" i="1"/>
  <c r="AR193" i="1"/>
  <c r="AB193" i="1"/>
  <c r="AN193" i="1" s="1"/>
  <c r="AF193" i="1"/>
  <c r="AP182" i="1"/>
  <c r="AB182" i="1"/>
  <c r="AN182" i="1" s="1"/>
  <c r="AG182" i="1"/>
  <c r="AS182" i="1"/>
  <c r="AR144" i="1"/>
  <c r="AB144" i="1"/>
  <c r="AH144" i="1" s="1"/>
  <c r="AO144" i="1"/>
  <c r="AS131" i="1"/>
  <c r="AG131" i="1"/>
  <c r="AP131" i="1"/>
  <c r="AM131" i="1"/>
  <c r="AP122" i="1"/>
  <c r="AG122" i="1"/>
  <c r="AS122" i="1"/>
  <c r="AB111" i="1"/>
  <c r="AH111" i="1" s="1"/>
  <c r="AS111" i="1"/>
  <c r="AP111" i="1"/>
  <c r="AO307" i="1"/>
  <c r="AB307" i="1"/>
  <c r="AH307" i="1" s="1"/>
  <c r="AR307" i="1"/>
  <c r="AB190" i="1"/>
  <c r="AR190" i="1"/>
  <c r="AL190" i="1"/>
  <c r="AO190" i="1"/>
  <c r="AB131" i="1"/>
  <c r="AR131" i="1"/>
  <c r="AL131" i="1"/>
  <c r="AO131" i="1"/>
  <c r="AF131" i="1"/>
  <c r="AB149" i="1"/>
  <c r="AR149" i="1"/>
  <c r="AL149" i="1"/>
  <c r="AF149" i="1"/>
  <c r="AO149" i="1"/>
  <c r="AP91" i="1"/>
  <c r="AG91" i="1"/>
  <c r="AS91" i="1"/>
  <c r="AO186" i="1"/>
  <c r="AB186" i="1"/>
  <c r="AN186" i="1" s="1"/>
  <c r="AR186" i="1"/>
  <c r="AR82" i="1"/>
  <c r="AF82" i="1"/>
  <c r="AO82" i="1"/>
  <c r="AB82" i="1"/>
  <c r="AR205" i="1"/>
  <c r="AB205" i="1"/>
  <c r="AN205" i="1" s="1"/>
  <c r="AO205" i="1"/>
  <c r="AL205" i="1"/>
  <c r="AF205" i="1"/>
  <c r="AR176" i="1"/>
  <c r="AB176" i="1"/>
  <c r="AO176" i="1"/>
  <c r="AL176" i="1"/>
  <c r="AB62" i="1"/>
  <c r="AF62" i="1"/>
  <c r="AR62" i="1"/>
  <c r="AO62" i="1"/>
  <c r="AS149" i="1"/>
  <c r="AM149" i="1"/>
  <c r="AG149" i="1"/>
  <c r="AP149" i="1"/>
  <c r="AQ521" i="1" l="1"/>
  <c r="AT275" i="1"/>
  <c r="AT283" i="1"/>
  <c r="AT521" i="1"/>
  <c r="AT470" i="1"/>
  <c r="AQ274" i="1"/>
  <c r="AT394" i="1"/>
  <c r="AN274" i="1"/>
  <c r="AQ295" i="1"/>
  <c r="AT295" i="1"/>
  <c r="AH521" i="1"/>
  <c r="AQ283" i="1"/>
  <c r="AH274" i="1"/>
  <c r="AH283" i="1"/>
  <c r="AQ105" i="1"/>
  <c r="AH275" i="1"/>
  <c r="AQ317" i="1"/>
  <c r="AH185" i="1"/>
  <c r="AT323" i="1"/>
  <c r="AN317" i="1"/>
  <c r="AQ323" i="1"/>
  <c r="AN105" i="1"/>
  <c r="AN545" i="1"/>
  <c r="AT545" i="1"/>
  <c r="AT354" i="1"/>
  <c r="AQ545" i="1"/>
  <c r="AH494" i="1"/>
  <c r="AN394" i="1"/>
  <c r="AQ304" i="1"/>
  <c r="AH394" i="1"/>
  <c r="AT304" i="1"/>
  <c r="AH304" i="1"/>
  <c r="AN130" i="1"/>
  <c r="AQ130" i="1"/>
  <c r="AH382" i="1"/>
  <c r="AT287" i="1"/>
  <c r="AN155" i="1"/>
  <c r="AH155" i="1"/>
  <c r="AQ494" i="1"/>
  <c r="AT494" i="1"/>
  <c r="AN287" i="1"/>
  <c r="AT308" i="1"/>
  <c r="AH287" i="1"/>
  <c r="AT321" i="1"/>
  <c r="AH414" i="1"/>
  <c r="AQ275" i="1"/>
  <c r="AQ558" i="1"/>
  <c r="AH558" i="1"/>
  <c r="AT558" i="1"/>
  <c r="AQ414" i="1"/>
  <c r="AH449" i="1"/>
  <c r="AN323" i="1"/>
  <c r="AN185" i="1"/>
  <c r="AT117" i="1"/>
  <c r="AH117" i="1"/>
  <c r="AT107" i="1"/>
  <c r="AT398" i="1"/>
  <c r="AT155" i="1"/>
  <c r="AQ117" i="1"/>
  <c r="AT130" i="1"/>
  <c r="AQ365" i="1"/>
  <c r="AN107" i="1"/>
  <c r="AT185" i="1"/>
  <c r="AN295" i="1"/>
  <c r="AT365" i="1"/>
  <c r="AQ474" i="1"/>
  <c r="AQ308" i="1"/>
  <c r="AN470" i="1"/>
  <c r="AH321" i="1"/>
  <c r="AQ382" i="1"/>
  <c r="AT474" i="1"/>
  <c r="AH470" i="1"/>
  <c r="AH308" i="1"/>
  <c r="AT139" i="1"/>
  <c r="AQ139" i="1"/>
  <c r="AT382" i="1"/>
  <c r="AQ398" i="1"/>
  <c r="AH398" i="1"/>
  <c r="AT396" i="1"/>
  <c r="AN542" i="1"/>
  <c r="AH478" i="1"/>
  <c r="AH95" i="1"/>
  <c r="AH9" i="1"/>
  <c r="AN9" i="1"/>
  <c r="AQ9" i="1"/>
  <c r="AQ396" i="1"/>
  <c r="AN396" i="1"/>
  <c r="AN518" i="1"/>
  <c r="AH518" i="1"/>
  <c r="AT329" i="1"/>
  <c r="AN329" i="1"/>
  <c r="AT376" i="1"/>
  <c r="AH446" i="1"/>
  <c r="AH481" i="1"/>
  <c r="AN478" i="1"/>
  <c r="AT518" i="1"/>
  <c r="AT481" i="1"/>
  <c r="AQ329" i="1"/>
  <c r="AH376" i="1"/>
  <c r="AQ376" i="1"/>
  <c r="AQ481" i="1"/>
  <c r="AQ446" i="1"/>
  <c r="AQ542" i="1"/>
  <c r="AT534" i="1"/>
  <c r="AQ486" i="1"/>
  <c r="AT542" i="1"/>
  <c r="AT486" i="1"/>
  <c r="AN399" i="1"/>
  <c r="AN365" i="1"/>
  <c r="AT169" i="1"/>
  <c r="AN534" i="1"/>
  <c r="AT414" i="1"/>
  <c r="AH378" i="1"/>
  <c r="AQ538" i="1"/>
  <c r="AH311" i="1"/>
  <c r="AH319" i="1"/>
  <c r="AN361" i="1"/>
  <c r="AT319" i="1"/>
  <c r="AH361" i="1"/>
  <c r="AH534" i="1"/>
  <c r="AQ478" i="1"/>
  <c r="AT538" i="1"/>
  <c r="AQ449" i="1"/>
  <c r="AH98" i="1"/>
  <c r="AN139" i="1"/>
  <c r="AH474" i="1"/>
  <c r="AT449" i="1"/>
  <c r="AT489" i="1"/>
  <c r="AQ489" i="1"/>
  <c r="AH501" i="1"/>
  <c r="AN442" i="1"/>
  <c r="AT566" i="1"/>
  <c r="AN565" i="1"/>
  <c r="AH425" i="1"/>
  <c r="AQ321" i="1"/>
  <c r="AQ442" i="1"/>
  <c r="AN486" i="1"/>
  <c r="AT446" i="1"/>
  <c r="AQ574" i="1"/>
  <c r="AH410" i="1"/>
  <c r="AN422" i="1"/>
  <c r="AH538" i="1"/>
  <c r="AQ361" i="1"/>
  <c r="AN95" i="1"/>
  <c r="AQ98" i="1"/>
  <c r="AN98" i="1"/>
  <c r="AQ425" i="1"/>
  <c r="AQ566" i="1"/>
  <c r="AN507" i="1"/>
  <c r="AN473" i="1"/>
  <c r="AT425" i="1"/>
  <c r="AT410" i="1"/>
  <c r="AT311" i="1"/>
  <c r="AH318" i="1"/>
  <c r="AQ169" i="1"/>
  <c r="AQ74" i="1"/>
  <c r="AH441" i="1"/>
  <c r="AH169" i="1"/>
  <c r="AQ377" i="1"/>
  <c r="AN437" i="1"/>
  <c r="AT466" i="1"/>
  <c r="AQ422" i="1"/>
  <c r="AT442" i="1"/>
  <c r="AN530" i="1"/>
  <c r="AN175" i="1"/>
  <c r="AQ441" i="1"/>
  <c r="AT422" i="1"/>
  <c r="AT175" i="1"/>
  <c r="AH574" i="1"/>
  <c r="AH452" i="1"/>
  <c r="AQ465" i="1"/>
  <c r="AQ529" i="1"/>
  <c r="AQ586" i="1"/>
  <c r="AH465" i="1"/>
  <c r="AH530" i="1"/>
  <c r="AH175" i="1"/>
  <c r="AQ95" i="1"/>
  <c r="AN377" i="1"/>
  <c r="AT465" i="1"/>
  <c r="AT529" i="1"/>
  <c r="AN489" i="1"/>
  <c r="AH74" i="1"/>
  <c r="AQ466" i="1"/>
  <c r="AQ318" i="1"/>
  <c r="AN74" i="1"/>
  <c r="AH377" i="1"/>
  <c r="AN574" i="1"/>
  <c r="AT530" i="1"/>
  <c r="AH562" i="1"/>
  <c r="AN551" i="1"/>
  <c r="AH500" i="1"/>
  <c r="AT212" i="1"/>
  <c r="AT586" i="1"/>
  <c r="AH466" i="1"/>
  <c r="AT201" i="1"/>
  <c r="AN586" i="1"/>
  <c r="AH529" i="1"/>
  <c r="AN475" i="1"/>
  <c r="AH45" i="1"/>
  <c r="AT441" i="1"/>
  <c r="AQ550" i="1"/>
  <c r="AN467" i="1"/>
  <c r="AH513" i="1"/>
  <c r="AN276" i="1"/>
  <c r="AH212" i="1"/>
  <c r="AH555" i="1"/>
  <c r="AH566" i="1"/>
  <c r="AN45" i="1"/>
  <c r="AQ410" i="1"/>
  <c r="AH451" i="1"/>
  <c r="AH276" i="1"/>
  <c r="AT276" i="1"/>
  <c r="AN378" i="1"/>
  <c r="AQ378" i="1"/>
  <c r="AH17" i="1"/>
  <c r="AH587" i="1"/>
  <c r="AN564" i="1"/>
  <c r="AN577" i="1"/>
  <c r="AN570" i="1"/>
  <c r="AN582" i="1"/>
  <c r="AT359" i="1"/>
  <c r="AN497" i="1"/>
  <c r="AN359" i="1"/>
  <c r="AN433" i="1"/>
  <c r="AT582" i="1"/>
  <c r="AH582" i="1"/>
  <c r="AQ359" i="1"/>
  <c r="AN436" i="1"/>
  <c r="AH550" i="1"/>
  <c r="AN550" i="1"/>
  <c r="AN579" i="1"/>
  <c r="AQ498" i="1"/>
  <c r="AT498" i="1"/>
  <c r="AN498" i="1"/>
  <c r="AT557" i="1"/>
  <c r="AQ557" i="1"/>
  <c r="AN557" i="1"/>
  <c r="AH557" i="1"/>
  <c r="AQ417" i="1"/>
  <c r="AT417" i="1"/>
  <c r="AT523" i="1"/>
  <c r="AQ523" i="1"/>
  <c r="AQ536" i="1"/>
  <c r="AT536" i="1"/>
  <c r="AQ549" i="1"/>
  <c r="AT549" i="1"/>
  <c r="AN549" i="1"/>
  <c r="AH549" i="1"/>
  <c r="AT514" i="1"/>
  <c r="AQ514" i="1"/>
  <c r="AQ492" i="1"/>
  <c r="AT492" i="1"/>
  <c r="AN492" i="1"/>
  <c r="AQ528" i="1"/>
  <c r="AT528" i="1"/>
  <c r="AN528" i="1"/>
  <c r="AQ554" i="1"/>
  <c r="AT554" i="1"/>
  <c r="AN554" i="1"/>
  <c r="AQ533" i="1"/>
  <c r="AT533" i="1"/>
  <c r="AH533" i="1"/>
  <c r="AT572" i="1"/>
  <c r="AQ572" i="1"/>
  <c r="AN572" i="1"/>
  <c r="AT415" i="1"/>
  <c r="AQ415" i="1"/>
  <c r="AN415" i="1"/>
  <c r="AN532" i="1"/>
  <c r="AQ426" i="1"/>
  <c r="AT426" i="1"/>
  <c r="AH426" i="1"/>
  <c r="AN426" i="1"/>
  <c r="AQ546" i="1"/>
  <c r="AT546" i="1"/>
  <c r="AT568" i="1"/>
  <c r="AQ568" i="1"/>
  <c r="AN568" i="1"/>
  <c r="AT440" i="1"/>
  <c r="AQ440" i="1"/>
  <c r="AN440" i="1"/>
  <c r="AH440" i="1"/>
  <c r="AQ517" i="1"/>
  <c r="AT517" i="1"/>
  <c r="AN517" i="1"/>
  <c r="AH517" i="1"/>
  <c r="AH427" i="1"/>
  <c r="AN514" i="1"/>
  <c r="AQ527" i="1"/>
  <c r="AT527" i="1"/>
  <c r="AN527" i="1"/>
  <c r="AH536" i="1"/>
  <c r="AQ445" i="1"/>
  <c r="AT445" i="1"/>
  <c r="AH445" i="1"/>
  <c r="AQ490" i="1"/>
  <c r="AT490" i="1"/>
  <c r="AN490" i="1"/>
  <c r="AH490" i="1"/>
  <c r="AQ583" i="1"/>
  <c r="AT583" i="1"/>
  <c r="AN583" i="1"/>
  <c r="AN546" i="1"/>
  <c r="AT540" i="1"/>
  <c r="AQ540" i="1"/>
  <c r="AT412" i="1"/>
  <c r="AQ412" i="1"/>
  <c r="AT561" i="1"/>
  <c r="AQ561" i="1"/>
  <c r="AT430" i="1"/>
  <c r="AQ430" i="1"/>
  <c r="AN430" i="1"/>
  <c r="AT516" i="1"/>
  <c r="AQ516" i="1"/>
  <c r="AN516" i="1"/>
  <c r="AT439" i="1"/>
  <c r="AQ439" i="1"/>
  <c r="AH439" i="1"/>
  <c r="AT431" i="1"/>
  <c r="AQ431" i="1"/>
  <c r="AN431" i="1"/>
  <c r="AH431" i="1"/>
  <c r="AQ541" i="1"/>
  <c r="AT541" i="1"/>
  <c r="AT539" i="1"/>
  <c r="AQ539" i="1"/>
  <c r="AT411" i="1"/>
  <c r="AQ411" i="1"/>
  <c r="AT584" i="1"/>
  <c r="AQ584" i="1"/>
  <c r="AT456" i="1"/>
  <c r="AQ456" i="1"/>
  <c r="AN456" i="1"/>
  <c r="AT487" i="1"/>
  <c r="AQ487" i="1"/>
  <c r="AH487" i="1"/>
  <c r="AN487" i="1"/>
  <c r="AT515" i="1"/>
  <c r="AQ515" i="1"/>
  <c r="AQ537" i="1"/>
  <c r="AT537" i="1"/>
  <c r="AN584" i="1"/>
  <c r="AQ535" i="1"/>
  <c r="AT535" i="1"/>
  <c r="AN535" i="1"/>
  <c r="AH535" i="1"/>
  <c r="AH541" i="1"/>
  <c r="AH554" i="1"/>
  <c r="AQ573" i="1"/>
  <c r="AT573" i="1"/>
  <c r="AH573" i="1"/>
  <c r="AN417" i="1"/>
  <c r="AT571" i="1"/>
  <c r="AQ571" i="1"/>
  <c r="AT443" i="1"/>
  <c r="AQ443" i="1"/>
  <c r="AH443" i="1"/>
  <c r="AN418" i="1"/>
  <c r="AT547" i="1"/>
  <c r="AQ547" i="1"/>
  <c r="AT419" i="1"/>
  <c r="AQ419" i="1"/>
  <c r="AT567" i="1"/>
  <c r="AQ567" i="1"/>
  <c r="AN567" i="1"/>
  <c r="AH567" i="1"/>
  <c r="AT435" i="1"/>
  <c r="AQ435" i="1"/>
  <c r="AT559" i="1"/>
  <c r="AQ559" i="1"/>
  <c r="AN559" i="1"/>
  <c r="AH430" i="1"/>
  <c r="AN540" i="1"/>
  <c r="AT468" i="1"/>
  <c r="AQ468" i="1"/>
  <c r="AQ482" i="1"/>
  <c r="AT482" i="1"/>
  <c r="AT505" i="1"/>
  <c r="AQ505" i="1"/>
  <c r="AN505" i="1"/>
  <c r="AT444" i="1"/>
  <c r="AQ444" i="1"/>
  <c r="AN444" i="1"/>
  <c r="AH561" i="1"/>
  <c r="AT512" i="1"/>
  <c r="AQ512" i="1"/>
  <c r="AN512" i="1"/>
  <c r="AQ562" i="1"/>
  <c r="AT562" i="1"/>
  <c r="AT543" i="1"/>
  <c r="AQ543" i="1"/>
  <c r="AN543" i="1"/>
  <c r="AQ462" i="1"/>
  <c r="AT462" i="1"/>
  <c r="AN462" i="1"/>
  <c r="AT450" i="1"/>
  <c r="AQ450" i="1"/>
  <c r="AH498" i="1"/>
  <c r="AT491" i="1"/>
  <c r="AQ491" i="1"/>
  <c r="AT460" i="1"/>
  <c r="AQ460" i="1"/>
  <c r="AT531" i="1"/>
  <c r="AQ531" i="1"/>
  <c r="AH531" i="1"/>
  <c r="AT496" i="1"/>
  <c r="AQ496" i="1"/>
  <c r="AN496" i="1"/>
  <c r="AH540" i="1"/>
  <c r="AN536" i="1"/>
  <c r="AT552" i="1"/>
  <c r="AQ552" i="1"/>
  <c r="AN552" i="1"/>
  <c r="AT424" i="1"/>
  <c r="AQ424" i="1"/>
  <c r="AN424" i="1"/>
  <c r="AQ501" i="1"/>
  <c r="AT501" i="1"/>
  <c r="AN468" i="1"/>
  <c r="AT399" i="1"/>
  <c r="AH537" i="1"/>
  <c r="AQ544" i="1"/>
  <c r="AT544" i="1"/>
  <c r="AN544" i="1"/>
  <c r="AH544" i="1"/>
  <c r="AQ416" i="1"/>
  <c r="AT416" i="1"/>
  <c r="AH416" i="1"/>
  <c r="AN416" i="1"/>
  <c r="AT511" i="1"/>
  <c r="AQ511" i="1"/>
  <c r="AT493" i="1"/>
  <c r="AQ493" i="1"/>
  <c r="AH493" i="1"/>
  <c r="AH462" i="1"/>
  <c r="AT580" i="1"/>
  <c r="AQ580" i="1"/>
  <c r="AN580" i="1"/>
  <c r="AT459" i="1"/>
  <c r="AQ459" i="1"/>
  <c r="AQ472" i="1"/>
  <c r="AT472" i="1"/>
  <c r="AQ485" i="1"/>
  <c r="AT485" i="1"/>
  <c r="AH485" i="1"/>
  <c r="AN485" i="1"/>
  <c r="AT563" i="1"/>
  <c r="AQ563" i="1"/>
  <c r="AN563" i="1"/>
  <c r="AN571" i="1"/>
  <c r="AH572" i="1"/>
  <c r="AQ469" i="1"/>
  <c r="AT469" i="1"/>
  <c r="AH469" i="1"/>
  <c r="AN482" i="1"/>
  <c r="AQ461" i="1"/>
  <c r="AT461" i="1"/>
  <c r="AT548" i="1"/>
  <c r="AQ548" i="1"/>
  <c r="AH539" i="1"/>
  <c r="AH456" i="1"/>
  <c r="AQ453" i="1"/>
  <c r="AT453" i="1"/>
  <c r="AN453" i="1"/>
  <c r="AH548" i="1"/>
  <c r="AQ463" i="1"/>
  <c r="AT463" i="1"/>
  <c r="AN463" i="1"/>
  <c r="AN511" i="1"/>
  <c r="AT500" i="1"/>
  <c r="AQ500" i="1"/>
  <c r="AQ519" i="1"/>
  <c r="AT519" i="1"/>
  <c r="AN519" i="1"/>
  <c r="AN472" i="1"/>
  <c r="AN255" i="1"/>
  <c r="AQ418" i="1"/>
  <c r="AT418" i="1"/>
  <c r="AH460" i="1"/>
  <c r="AT577" i="1"/>
  <c r="AQ577" i="1"/>
  <c r="AN539" i="1"/>
  <c r="AT556" i="1"/>
  <c r="AQ556" i="1"/>
  <c r="AN556" i="1"/>
  <c r="AQ477" i="1"/>
  <c r="AT477" i="1"/>
  <c r="AH477" i="1"/>
  <c r="AN460" i="1"/>
  <c r="AT497" i="1"/>
  <c r="AQ497" i="1"/>
  <c r="AT451" i="1"/>
  <c r="AQ451" i="1"/>
  <c r="AH556" i="1"/>
  <c r="AT420" i="1"/>
  <c r="AQ420" i="1"/>
  <c r="AT504" i="1"/>
  <c r="AQ504" i="1"/>
  <c r="AH504" i="1"/>
  <c r="AN504" i="1"/>
  <c r="AQ471" i="1"/>
  <c r="AT471" i="1"/>
  <c r="AH471" i="1"/>
  <c r="AN471" i="1"/>
  <c r="AN523" i="1"/>
  <c r="AH505" i="1"/>
  <c r="AQ509" i="1"/>
  <c r="AT509" i="1"/>
  <c r="AH509" i="1"/>
  <c r="AH412" i="1"/>
  <c r="AH468" i="1"/>
  <c r="AN439" i="1"/>
  <c r="AT45" i="1"/>
  <c r="AN212" i="1"/>
  <c r="AT476" i="1"/>
  <c r="AQ476" i="1"/>
  <c r="AT452" i="1"/>
  <c r="AQ452" i="1"/>
  <c r="AT587" i="1"/>
  <c r="AQ587" i="1"/>
  <c r="AH580" i="1"/>
  <c r="AT495" i="1"/>
  <c r="AQ495" i="1"/>
  <c r="AN495" i="1"/>
  <c r="AH444" i="1"/>
  <c r="AT475" i="1"/>
  <c r="AQ475" i="1"/>
  <c r="AT520" i="1"/>
  <c r="AQ520" i="1"/>
  <c r="AN520" i="1"/>
  <c r="AT570" i="1"/>
  <c r="AQ570" i="1"/>
  <c r="AT423" i="1"/>
  <c r="AQ423" i="1"/>
  <c r="AN423" i="1"/>
  <c r="AH411" i="1"/>
  <c r="AN412" i="1"/>
  <c r="AQ508" i="1"/>
  <c r="AT508" i="1"/>
  <c r="AN508" i="1"/>
  <c r="AT513" i="1"/>
  <c r="AQ513" i="1"/>
  <c r="AT479" i="1"/>
  <c r="AQ479" i="1"/>
  <c r="AN479" i="1"/>
  <c r="AH492" i="1"/>
  <c r="AQ581" i="1"/>
  <c r="AT581" i="1"/>
  <c r="AN581" i="1"/>
  <c r="AH581" i="1"/>
  <c r="AN491" i="1"/>
  <c r="AH420" i="1"/>
  <c r="AT467" i="1"/>
  <c r="AQ467" i="1"/>
  <c r="AH461" i="1"/>
  <c r="AN445" i="1"/>
  <c r="AQ564" i="1"/>
  <c r="AT564" i="1"/>
  <c r="AQ437" i="1"/>
  <c r="AT437" i="1"/>
  <c r="AH496" i="1"/>
  <c r="AN573" i="1"/>
  <c r="AT483" i="1"/>
  <c r="AQ483" i="1"/>
  <c r="AT447" i="1"/>
  <c r="AQ447" i="1"/>
  <c r="AT429" i="1"/>
  <c r="AQ429" i="1"/>
  <c r="AH429" i="1"/>
  <c r="AT522" i="1"/>
  <c r="AQ522" i="1"/>
  <c r="AT503" i="1"/>
  <c r="AQ503" i="1"/>
  <c r="AH503" i="1"/>
  <c r="AN503" i="1"/>
  <c r="AQ421" i="1"/>
  <c r="AT421" i="1"/>
  <c r="AH421" i="1"/>
  <c r="AH516" i="1"/>
  <c r="AT578" i="1"/>
  <c r="AQ578" i="1"/>
  <c r="AT428" i="1"/>
  <c r="AQ428" i="1"/>
  <c r="AN428" i="1"/>
  <c r="AT569" i="1"/>
  <c r="AQ569" i="1"/>
  <c r="AT499" i="1"/>
  <c r="AQ499" i="1"/>
  <c r="AN435" i="1"/>
  <c r="AT532" i="1"/>
  <c r="AQ532" i="1"/>
  <c r="AT551" i="1"/>
  <c r="AQ551" i="1"/>
  <c r="AN531" i="1"/>
  <c r="AT579" i="1"/>
  <c r="AQ579" i="1"/>
  <c r="AH435" i="1"/>
  <c r="AH428" i="1"/>
  <c r="AT555" i="1"/>
  <c r="AQ555" i="1"/>
  <c r="AT427" i="1"/>
  <c r="AQ427" i="1"/>
  <c r="AN459" i="1"/>
  <c r="AN541" i="1"/>
  <c r="AT524" i="1"/>
  <c r="AQ524" i="1"/>
  <c r="AT560" i="1"/>
  <c r="AQ560" i="1"/>
  <c r="AN560" i="1"/>
  <c r="AH560" i="1"/>
  <c r="AH527" i="1"/>
  <c r="AH512" i="1"/>
  <c r="AH419" i="1"/>
  <c r="AN524" i="1"/>
  <c r="AH482" i="1"/>
  <c r="AT507" i="1"/>
  <c r="AQ507" i="1"/>
  <c r="AH523" i="1"/>
  <c r="AT488" i="1"/>
  <c r="AQ488" i="1"/>
  <c r="AH488" i="1"/>
  <c r="AN488" i="1"/>
  <c r="AH584" i="1"/>
  <c r="AN547" i="1"/>
  <c r="AN533" i="1"/>
  <c r="AT585" i="1"/>
  <c r="AQ585" i="1"/>
  <c r="AN585" i="1"/>
  <c r="AT433" i="1"/>
  <c r="AQ433" i="1"/>
  <c r="AQ480" i="1"/>
  <c r="AT480" i="1"/>
  <c r="AN480" i="1"/>
  <c r="AT575" i="1"/>
  <c r="AQ575" i="1"/>
  <c r="AN575" i="1"/>
  <c r="AH447" i="1"/>
  <c r="AN411" i="1"/>
  <c r="AH483" i="1"/>
  <c r="AQ473" i="1"/>
  <c r="AT473" i="1"/>
  <c r="AH569" i="1"/>
  <c r="AQ464" i="1"/>
  <c r="AT464" i="1"/>
  <c r="AN464" i="1"/>
  <c r="AH559" i="1"/>
  <c r="AQ413" i="1"/>
  <c r="AT413" i="1"/>
  <c r="AH413" i="1"/>
  <c r="AN413" i="1"/>
  <c r="AH464" i="1"/>
  <c r="AN499" i="1"/>
  <c r="AT576" i="1"/>
  <c r="AQ576" i="1"/>
  <c r="AH576" i="1"/>
  <c r="AT448" i="1"/>
  <c r="AQ448" i="1"/>
  <c r="AN448" i="1"/>
  <c r="AQ525" i="1"/>
  <c r="AT525" i="1"/>
  <c r="AH525" i="1"/>
  <c r="AN522" i="1"/>
  <c r="AT484" i="1"/>
  <c r="AQ484" i="1"/>
  <c r="AN484" i="1"/>
  <c r="AH578" i="1"/>
  <c r="AN493" i="1"/>
  <c r="AT432" i="1"/>
  <c r="AQ432" i="1"/>
  <c r="AH432" i="1"/>
  <c r="AN432" i="1"/>
  <c r="AN419" i="1"/>
  <c r="AN561" i="1"/>
  <c r="AN476" i="1"/>
  <c r="AQ436" i="1"/>
  <c r="AT436" i="1"/>
  <c r="AH450" i="1"/>
  <c r="AQ455" i="1"/>
  <c r="AT455" i="1"/>
  <c r="AN455" i="1"/>
  <c r="AQ565" i="1"/>
  <c r="AT565" i="1"/>
  <c r="AN515" i="1"/>
  <c r="AH255" i="1"/>
  <c r="AN318" i="1"/>
  <c r="AQ399" i="1"/>
  <c r="AN257" i="1"/>
  <c r="AQ24" i="1"/>
  <c r="AT211" i="1"/>
  <c r="AQ257" i="1"/>
  <c r="AT257" i="1"/>
  <c r="AH24" i="1"/>
  <c r="AQ311" i="1"/>
  <c r="AH201" i="1"/>
  <c r="AH214" i="1"/>
  <c r="AN293" i="1"/>
  <c r="AH293" i="1"/>
  <c r="AH366" i="1"/>
  <c r="AT78" i="1"/>
  <c r="AN97" i="1"/>
  <c r="AH292" i="1"/>
  <c r="AQ92" i="1"/>
  <c r="AN24" i="1"/>
  <c r="AQ254" i="1"/>
  <c r="AQ127" i="1"/>
  <c r="AT293" i="1"/>
  <c r="AH8" i="1"/>
  <c r="AQ109" i="1"/>
  <c r="AT255" i="1"/>
  <c r="AT203" i="1"/>
  <c r="AN8" i="1"/>
  <c r="AH150" i="1"/>
  <c r="AN332" i="1"/>
  <c r="AN127" i="1"/>
  <c r="AQ150" i="1"/>
  <c r="AQ8" i="1"/>
  <c r="AT109" i="1"/>
  <c r="AT214" i="1"/>
  <c r="AT366" i="1"/>
  <c r="AT254" i="1"/>
  <c r="AN78" i="1"/>
  <c r="AT127" i="1"/>
  <c r="AQ93" i="1"/>
  <c r="AT94" i="1"/>
  <c r="AN292" i="1"/>
  <c r="AT292" i="1"/>
  <c r="AN214" i="1"/>
  <c r="AT17" i="1"/>
  <c r="AQ370" i="1"/>
  <c r="AT75" i="1"/>
  <c r="AQ66" i="1"/>
  <c r="AQ42" i="1"/>
  <c r="AN370" i="1"/>
  <c r="AT56" i="1"/>
  <c r="AH94" i="1"/>
  <c r="AN94" i="1"/>
  <c r="AQ267" i="1"/>
  <c r="AN366" i="1"/>
  <c r="AH78" i="1"/>
  <c r="AN17" i="1"/>
  <c r="AT370" i="1"/>
  <c r="AQ88" i="1"/>
  <c r="AQ75" i="1"/>
  <c r="AT66" i="1"/>
  <c r="AH75" i="1"/>
  <c r="AH61" i="1"/>
  <c r="AN145" i="1"/>
  <c r="AT271" i="1"/>
  <c r="AQ6" i="1"/>
  <c r="AN201" i="1"/>
  <c r="AH145" i="1"/>
  <c r="AH56" i="1"/>
  <c r="AN29" i="1"/>
  <c r="AH381" i="1"/>
  <c r="AT387" i="1"/>
  <c r="AN121" i="1"/>
  <c r="AN61" i="1"/>
  <c r="AQ61" i="1"/>
  <c r="AT334" i="1"/>
  <c r="AN6" i="1"/>
  <c r="AH6" i="1"/>
  <c r="AN147" i="1"/>
  <c r="AH254" i="1"/>
  <c r="AQ122" i="1"/>
  <c r="AH121" i="1"/>
  <c r="AH387" i="1"/>
  <c r="AN387" i="1"/>
  <c r="AT150" i="1"/>
  <c r="AT291" i="1"/>
  <c r="AT230" i="1"/>
  <c r="AQ121" i="1"/>
  <c r="AQ356" i="1"/>
  <c r="AN310" i="1"/>
  <c r="AQ334" i="1"/>
  <c r="AQ265" i="1"/>
  <c r="AN210" i="1"/>
  <c r="AQ145" i="1"/>
  <c r="AQ213" i="1"/>
  <c r="AT97" i="1"/>
  <c r="AQ342" i="1"/>
  <c r="AN56" i="1"/>
  <c r="AH213" i="1"/>
  <c r="AT156" i="1"/>
  <c r="AQ97" i="1"/>
  <c r="AN327" i="1"/>
  <c r="AT265" i="1"/>
  <c r="AN192" i="1"/>
  <c r="AQ156" i="1"/>
  <c r="AN342" i="1"/>
  <c r="AT53" i="1"/>
  <c r="AH240" i="1"/>
  <c r="AT180" i="1"/>
  <c r="AQ230" i="1"/>
  <c r="AH101" i="1"/>
  <c r="AH88" i="1"/>
  <c r="AH156" i="1"/>
  <c r="AT101" i="1"/>
  <c r="AQ53" i="1"/>
  <c r="AT42" i="1"/>
  <c r="AQ180" i="1"/>
  <c r="AH21" i="1"/>
  <c r="AN215" i="1"/>
  <c r="AT141" i="1"/>
  <c r="AH327" i="1"/>
  <c r="AN239" i="1"/>
  <c r="AN401" i="1"/>
  <c r="AH401" i="1"/>
  <c r="AH324" i="1"/>
  <c r="AQ223" i="1"/>
  <c r="AQ215" i="1"/>
  <c r="AQ147" i="1"/>
  <c r="AH180" i="1"/>
  <c r="AN271" i="1"/>
  <c r="AH122" i="1"/>
  <c r="AH148" i="1"/>
  <c r="AT122" i="1"/>
  <c r="AT401" i="1"/>
  <c r="AH183" i="1"/>
  <c r="AQ183" i="1"/>
  <c r="AH332" i="1"/>
  <c r="AT80" i="1"/>
  <c r="AN88" i="1"/>
  <c r="AN164" i="1"/>
  <c r="AQ239" i="1"/>
  <c r="AH116" i="1"/>
  <c r="AT381" i="1"/>
  <c r="AH37" i="1"/>
  <c r="AH222" i="1"/>
  <c r="AH265" i="1"/>
  <c r="AT288" i="1"/>
  <c r="AQ332" i="1"/>
  <c r="AH115" i="1"/>
  <c r="AT238" i="1"/>
  <c r="AH367" i="1"/>
  <c r="AN183" i="1"/>
  <c r="AQ211" i="1"/>
  <c r="AN211" i="1"/>
  <c r="AT81" i="1"/>
  <c r="AH342" i="1"/>
  <c r="AT215" i="1"/>
  <c r="AH147" i="1"/>
  <c r="AT327" i="1"/>
  <c r="AT239" i="1"/>
  <c r="AQ207" i="1"/>
  <c r="AQ80" i="1"/>
  <c r="AN65" i="1"/>
  <c r="AQ271" i="1"/>
  <c r="AN322" i="1"/>
  <c r="AQ381" i="1"/>
  <c r="AT13" i="1"/>
  <c r="AQ49" i="1"/>
  <c r="AH42" i="1"/>
  <c r="AH192" i="1"/>
  <c r="AH252" i="1"/>
  <c r="AH199" i="1"/>
  <c r="AH230" i="1"/>
  <c r="AH315" i="1"/>
  <c r="AQ336" i="1"/>
  <c r="AH93" i="1"/>
  <c r="AT206" i="1"/>
  <c r="AQ34" i="1"/>
  <c r="AQ341" i="1"/>
  <c r="AQ351" i="1"/>
  <c r="AH280" i="1"/>
  <c r="AQ37" i="1"/>
  <c r="AT324" i="1"/>
  <c r="AQ294" i="1"/>
  <c r="AH231" i="1"/>
  <c r="AH80" i="1"/>
  <c r="AT356" i="1"/>
  <c r="AT199" i="1"/>
  <c r="AT325" i="1"/>
  <c r="AH334" i="1"/>
  <c r="AT93" i="1"/>
  <c r="AQ101" i="1"/>
  <c r="AN351" i="1"/>
  <c r="AN267" i="1"/>
  <c r="AQ73" i="1"/>
  <c r="AT310" i="1"/>
  <c r="AQ222" i="1"/>
  <c r="AH294" i="1"/>
  <c r="AQ288" i="1"/>
  <c r="AQ81" i="1"/>
  <c r="AQ13" i="1"/>
  <c r="AT38" i="1"/>
  <c r="AQ116" i="1"/>
  <c r="AH310" i="1"/>
  <c r="AT29" i="1"/>
  <c r="AH141" i="1"/>
  <c r="AQ238" i="1"/>
  <c r="AQ203" i="1"/>
  <c r="AH38" i="1"/>
  <c r="AH356" i="1"/>
  <c r="AN360" i="1"/>
  <c r="AH203" i="1"/>
  <c r="AN407" i="1"/>
  <c r="AH13" i="1"/>
  <c r="AN313" i="1"/>
  <c r="AH325" i="1"/>
  <c r="AN315" i="1"/>
  <c r="AN81" i="1"/>
  <c r="AN336" i="1"/>
  <c r="AT315" i="1"/>
  <c r="AH73" i="1"/>
  <c r="AT34" i="1"/>
  <c r="AT336" i="1"/>
  <c r="AN341" i="1"/>
  <c r="AH341" i="1"/>
  <c r="AT165" i="1"/>
  <c r="AN325" i="1"/>
  <c r="AN238" i="1"/>
  <c r="AQ165" i="1"/>
  <c r="AN231" i="1"/>
  <c r="AH351" i="1"/>
  <c r="AT231" i="1"/>
  <c r="AH34" i="1"/>
  <c r="AN37" i="1"/>
  <c r="AQ324" i="1"/>
  <c r="AH343" i="1"/>
  <c r="AT343" i="1"/>
  <c r="AN294" i="1"/>
  <c r="AN288" i="1"/>
  <c r="AN53" i="1"/>
  <c r="AN229" i="1"/>
  <c r="AH29" i="1"/>
  <c r="AN73" i="1"/>
  <c r="AQ199" i="1"/>
  <c r="AQ343" i="1"/>
  <c r="AQ206" i="1"/>
  <c r="AN141" i="1"/>
  <c r="AQ38" i="1"/>
  <c r="AH119" i="1"/>
  <c r="AH207" i="1"/>
  <c r="AN291" i="1"/>
  <c r="AH66" i="1"/>
  <c r="AH219" i="1"/>
  <c r="AH267" i="1"/>
  <c r="AT65" i="1"/>
  <c r="AN285" i="1"/>
  <c r="AH84" i="1"/>
  <c r="AH229" i="1"/>
  <c r="AH165" i="1"/>
  <c r="AQ135" i="1"/>
  <c r="AQ192" i="1"/>
  <c r="AQ367" i="1"/>
  <c r="AN63" i="1"/>
  <c r="AN120" i="1"/>
  <c r="AH270" i="1"/>
  <c r="AQ219" i="1"/>
  <c r="AH65" i="1"/>
  <c r="AT207" i="1"/>
  <c r="AT160" i="1"/>
  <c r="AQ270" i="1"/>
  <c r="AH206" i="1"/>
  <c r="AH63" i="1"/>
  <c r="AN395" i="1"/>
  <c r="AH160" i="1"/>
  <c r="AQ229" i="1"/>
  <c r="AT213" i="1"/>
  <c r="AQ291" i="1"/>
  <c r="AN160" i="1"/>
  <c r="AT322" i="1"/>
  <c r="AT270" i="1"/>
  <c r="AN148" i="1"/>
  <c r="AN286" i="1"/>
  <c r="AH223" i="1"/>
  <c r="AT367" i="1"/>
  <c r="AQ63" i="1"/>
  <c r="AT21" i="1"/>
  <c r="AT286" i="1"/>
  <c r="AT219" i="1"/>
  <c r="AN223" i="1"/>
  <c r="AN137" i="1"/>
  <c r="AH322" i="1"/>
  <c r="AN109" i="1"/>
  <c r="AQ128" i="1"/>
  <c r="AT135" i="1"/>
  <c r="AT128" i="1"/>
  <c r="AT159" i="1"/>
  <c r="AH347" i="1"/>
  <c r="AT148" i="1"/>
  <c r="AT222" i="1"/>
  <c r="AQ21" i="1"/>
  <c r="AQ286" i="1"/>
  <c r="AH250" i="1"/>
  <c r="AT360" i="1"/>
  <c r="AQ360" i="1"/>
  <c r="AQ232" i="1"/>
  <c r="AN232" i="1"/>
  <c r="AT232" i="1"/>
  <c r="AN92" i="1"/>
  <c r="AH2" i="1"/>
  <c r="AT48" i="1"/>
  <c r="AQ48" i="1"/>
  <c r="AN84" i="1"/>
  <c r="AN48" i="1"/>
  <c r="AN331" i="1"/>
  <c r="AT137" i="1"/>
  <c r="AN250" i="1"/>
  <c r="AT250" i="1"/>
  <c r="AT116" i="1"/>
  <c r="AN368" i="1"/>
  <c r="AQ51" i="1"/>
  <c r="AN364" i="1"/>
  <c r="AH320" i="1"/>
  <c r="AN320" i="1"/>
  <c r="AT320" i="1"/>
  <c r="AQ2" i="1"/>
  <c r="AQ137" i="1"/>
  <c r="AH140" i="1"/>
  <c r="AH218" i="1"/>
  <c r="AQ331" i="1"/>
  <c r="AQ368" i="1"/>
  <c r="AQ140" i="1"/>
  <c r="AT51" i="1"/>
  <c r="AN51" i="1"/>
  <c r="AH92" i="1"/>
  <c r="AH135" i="1"/>
  <c r="AH72" i="1"/>
  <c r="AN228" i="1"/>
  <c r="AQ84" i="1"/>
  <c r="AN76" i="1"/>
  <c r="AT72" i="1"/>
  <c r="AQ72" i="1"/>
  <c r="AN390" i="1"/>
  <c r="AN31" i="1"/>
  <c r="AH76" i="1"/>
  <c r="AT41" i="1"/>
  <c r="AH331" i="1"/>
  <c r="AQ41" i="1"/>
  <c r="AT2" i="1"/>
  <c r="AQ196" i="1"/>
  <c r="AT368" i="1"/>
  <c r="AT140" i="1"/>
  <c r="AT196" i="1"/>
  <c r="AH403" i="1"/>
  <c r="AT49" i="1"/>
  <c r="AN196" i="1"/>
  <c r="AQ273" i="1"/>
  <c r="AT273" i="1"/>
  <c r="AH273" i="1"/>
  <c r="AH48" i="1"/>
  <c r="AH217" i="1"/>
  <c r="AT217" i="1"/>
  <c r="AQ217" i="1"/>
  <c r="AQ71" i="1"/>
  <c r="AT71" i="1"/>
  <c r="AQ221" i="1"/>
  <c r="AH338" i="1"/>
  <c r="AH260" i="1"/>
  <c r="AT364" i="1"/>
  <c r="AQ364" i="1"/>
  <c r="AH71" i="1"/>
  <c r="AH247" i="1"/>
  <c r="AN244" i="1"/>
  <c r="AQ5" i="1"/>
  <c r="AT5" i="1"/>
  <c r="AQ210" i="1"/>
  <c r="AT210" i="1"/>
  <c r="AN221" i="1"/>
  <c r="AT339" i="1"/>
  <c r="AQ339" i="1"/>
  <c r="AN339" i="1"/>
  <c r="AH272" i="1"/>
  <c r="AT357" i="1"/>
  <c r="AQ357" i="1"/>
  <c r="AN357" i="1"/>
  <c r="AN217" i="1"/>
  <c r="AT252" i="1"/>
  <c r="AQ252" i="1"/>
  <c r="AT188" i="1"/>
  <c r="AQ188" i="1"/>
  <c r="AN26" i="1"/>
  <c r="AH221" i="1"/>
  <c r="AT272" i="1"/>
  <c r="AQ272" i="1"/>
  <c r="AQ28" i="1"/>
  <c r="AT28" i="1"/>
  <c r="AH28" i="1"/>
  <c r="AH289" i="1"/>
  <c r="AN119" i="1"/>
  <c r="AH103" i="1"/>
  <c r="AT247" i="1"/>
  <c r="AQ400" i="1"/>
  <c r="AH123" i="1"/>
  <c r="AQ391" i="1"/>
  <c r="AT391" i="1"/>
  <c r="AQ159" i="1"/>
  <c r="AT164" i="1"/>
  <c r="AT103" i="1"/>
  <c r="AN123" i="1"/>
  <c r="AT119" i="1"/>
  <c r="AH400" i="1"/>
  <c r="AQ247" i="1"/>
  <c r="AT400" i="1"/>
  <c r="AT123" i="1"/>
  <c r="AT76" i="1"/>
  <c r="AT314" i="1"/>
  <c r="AQ314" i="1"/>
  <c r="AN314" i="1"/>
  <c r="AN5" i="1"/>
  <c r="AH357" i="1"/>
  <c r="AN108" i="1"/>
  <c r="AQ108" i="1"/>
  <c r="AT108" i="1"/>
  <c r="AH339" i="1"/>
  <c r="AN391" i="1"/>
  <c r="AN352" i="1"/>
  <c r="AT352" i="1"/>
  <c r="AQ352" i="1"/>
  <c r="AN71" i="1"/>
  <c r="AN103" i="1"/>
  <c r="AN188" i="1"/>
  <c r="AH5" i="1"/>
  <c r="AQ349" i="1"/>
  <c r="AT349" i="1"/>
  <c r="AN349" i="1"/>
  <c r="AH41" i="1"/>
  <c r="AN128" i="1"/>
  <c r="AH164" i="1"/>
  <c r="AH159" i="1"/>
  <c r="AH49" i="1"/>
  <c r="AQ10" i="1"/>
  <c r="AT10" i="1"/>
  <c r="AN10" i="1"/>
  <c r="AT285" i="1"/>
  <c r="AQ285" i="1"/>
  <c r="AT190" i="1"/>
  <c r="AN190" i="1"/>
  <c r="AQ190" i="1"/>
  <c r="AH190" i="1"/>
  <c r="AQ33" i="1"/>
  <c r="AN33" i="1"/>
  <c r="AT33" i="1"/>
  <c r="AH33" i="1"/>
  <c r="AT32" i="1"/>
  <c r="AQ32" i="1"/>
  <c r="AH32" i="1"/>
  <c r="AN32" i="1"/>
  <c r="AT235" i="1"/>
  <c r="AQ235" i="1"/>
  <c r="AN235" i="1"/>
  <c r="AH235" i="1"/>
  <c r="AT173" i="1"/>
  <c r="AH173" i="1"/>
  <c r="AQ173" i="1"/>
  <c r="AT358" i="1"/>
  <c r="AQ358" i="1"/>
  <c r="AN358" i="1"/>
  <c r="AH358" i="1"/>
  <c r="AT346" i="1"/>
  <c r="AQ346" i="1"/>
  <c r="AH346" i="1"/>
  <c r="AQ30" i="1"/>
  <c r="AH30" i="1"/>
  <c r="AT30" i="1"/>
  <c r="AT16" i="1"/>
  <c r="AH16" i="1"/>
  <c r="AQ16" i="1"/>
  <c r="AN16" i="1"/>
  <c r="AT269" i="1"/>
  <c r="AQ269" i="1"/>
  <c r="AH269" i="1"/>
  <c r="AT248" i="1"/>
  <c r="AQ248" i="1"/>
  <c r="AH248" i="1"/>
  <c r="AN248" i="1"/>
  <c r="AT261" i="1"/>
  <c r="AQ261" i="1"/>
  <c r="AH261" i="1"/>
  <c r="AQ301" i="1"/>
  <c r="AT301" i="1"/>
  <c r="AN301" i="1"/>
  <c r="AT404" i="1"/>
  <c r="AQ404" i="1"/>
  <c r="AH404" i="1"/>
  <c r="AT110" i="1"/>
  <c r="AQ110" i="1"/>
  <c r="AN110" i="1"/>
  <c r="AH110" i="1"/>
  <c r="AT409" i="1"/>
  <c r="AQ409" i="1"/>
  <c r="AH409" i="1"/>
  <c r="AN409" i="1"/>
  <c r="AT181" i="1"/>
  <c r="AQ181" i="1"/>
  <c r="AN181" i="1"/>
  <c r="AH181" i="1"/>
  <c r="AN87" i="1"/>
  <c r="AT87" i="1"/>
  <c r="AQ87" i="1"/>
  <c r="AQ57" i="1"/>
  <c r="AT57" i="1"/>
  <c r="AH57" i="1"/>
  <c r="AN57" i="1"/>
  <c r="AT200" i="1"/>
  <c r="AQ200" i="1"/>
  <c r="AT104" i="1"/>
  <c r="AQ104" i="1"/>
  <c r="AH104" i="1"/>
  <c r="AQ299" i="1"/>
  <c r="AT299" i="1"/>
  <c r="AN299" i="1"/>
  <c r="AQ12" i="1"/>
  <c r="AT12" i="1"/>
  <c r="AH12" i="1"/>
  <c r="AT136" i="1"/>
  <c r="AN136" i="1"/>
  <c r="AQ136" i="1"/>
  <c r="AH136" i="1"/>
  <c r="AT326" i="1"/>
  <c r="AQ326" i="1"/>
  <c r="AT178" i="1"/>
  <c r="AQ178" i="1"/>
  <c r="AH178" i="1"/>
  <c r="AN178" i="1"/>
  <c r="AQ266" i="1"/>
  <c r="AT266" i="1"/>
  <c r="AN266" i="1"/>
  <c r="AT348" i="1"/>
  <c r="AQ348" i="1"/>
  <c r="AH348" i="1"/>
  <c r="AN30" i="1"/>
  <c r="AT388" i="1"/>
  <c r="AQ388" i="1"/>
  <c r="AH205" i="1"/>
  <c r="AQ386" i="1"/>
  <c r="AT386" i="1"/>
  <c r="AN386" i="1"/>
  <c r="AT54" i="1"/>
  <c r="AQ54" i="1"/>
  <c r="AN54" i="1"/>
  <c r="AH54" i="1"/>
  <c r="AQ195" i="1"/>
  <c r="AT195" i="1"/>
  <c r="AN195" i="1"/>
  <c r="AQ134" i="1"/>
  <c r="AT134" i="1"/>
  <c r="AN134" i="1"/>
  <c r="AT233" i="1"/>
  <c r="AQ233" i="1"/>
  <c r="AN233" i="1"/>
  <c r="AH233" i="1"/>
  <c r="AQ179" i="1"/>
  <c r="AN179" i="1"/>
  <c r="AT179" i="1"/>
  <c r="AH179" i="1"/>
  <c r="AN200" i="1"/>
  <c r="AT390" i="1"/>
  <c r="AQ390" i="1"/>
  <c r="AT198" i="1"/>
  <c r="AQ198" i="1"/>
  <c r="AQ363" i="1"/>
  <c r="AT363" i="1"/>
  <c r="AN363" i="1"/>
  <c r="AT7" i="1"/>
  <c r="AQ7" i="1"/>
  <c r="AN7" i="1"/>
  <c r="AH7" i="1"/>
  <c r="AT284" i="1"/>
  <c r="AQ284" i="1"/>
  <c r="AH284" i="1"/>
  <c r="AT228" i="1"/>
  <c r="AQ228" i="1"/>
  <c r="AT379" i="1"/>
  <c r="AQ379" i="1"/>
  <c r="AN379" i="1"/>
  <c r="AT372" i="1"/>
  <c r="AQ372" i="1"/>
  <c r="AT106" i="1"/>
  <c r="AQ106" i="1"/>
  <c r="AH106" i="1"/>
  <c r="AT383" i="1"/>
  <c r="AQ383" i="1"/>
  <c r="AH383" i="1"/>
  <c r="AT125" i="1"/>
  <c r="AQ125" i="1"/>
  <c r="AH125" i="1"/>
  <c r="AT11" i="1"/>
  <c r="AQ11" i="1"/>
  <c r="AH11" i="1"/>
  <c r="AT194" i="1"/>
  <c r="AQ194" i="1"/>
  <c r="AH194" i="1"/>
  <c r="AQ112" i="1"/>
  <c r="AT112" i="1"/>
  <c r="AN112" i="1"/>
  <c r="AT392" i="1"/>
  <c r="AQ392" i="1"/>
  <c r="AH392" i="1"/>
  <c r="AN392" i="1"/>
  <c r="AT328" i="1"/>
  <c r="AQ328" i="1"/>
  <c r="AN328" i="1"/>
  <c r="AH328" i="1"/>
  <c r="AQ44" i="1"/>
  <c r="AT44" i="1"/>
  <c r="AH44" i="1"/>
  <c r="AQ176" i="1"/>
  <c r="AT176" i="1"/>
  <c r="AN176" i="1"/>
  <c r="AH176" i="1"/>
  <c r="AT205" i="1"/>
  <c r="AQ205" i="1"/>
  <c r="AT330" i="1"/>
  <c r="AQ330" i="1"/>
  <c r="AT162" i="1"/>
  <c r="AQ162" i="1"/>
  <c r="AH162" i="1"/>
  <c r="AT153" i="1"/>
  <c r="AH153" i="1"/>
  <c r="AQ153" i="1"/>
  <c r="AQ234" i="1"/>
  <c r="AT234" i="1"/>
  <c r="AH234" i="1"/>
  <c r="AT246" i="1"/>
  <c r="AQ246" i="1"/>
  <c r="AQ277" i="1"/>
  <c r="AT277" i="1"/>
  <c r="AH277" i="1"/>
  <c r="AT397" i="1"/>
  <c r="AQ397" i="1"/>
  <c r="AH397" i="1"/>
  <c r="AH326" i="1"/>
  <c r="AQ335" i="1"/>
  <c r="AT335" i="1"/>
  <c r="AN335" i="1"/>
  <c r="AT23" i="1"/>
  <c r="AQ23" i="1"/>
  <c r="AN23" i="1"/>
  <c r="AH23" i="1"/>
  <c r="AT167" i="1"/>
  <c r="AQ167" i="1"/>
  <c r="AQ132" i="1"/>
  <c r="AT132" i="1"/>
  <c r="AN132" i="1"/>
  <c r="AN167" i="1"/>
  <c r="AQ306" i="1"/>
  <c r="AT306" i="1"/>
  <c r="AT243" i="1"/>
  <c r="AQ243" i="1"/>
  <c r="AT102" i="1"/>
  <c r="AQ102" i="1"/>
  <c r="AH102" i="1"/>
  <c r="AQ371" i="1"/>
  <c r="AT371" i="1"/>
  <c r="AN371" i="1"/>
  <c r="AN184" i="1"/>
  <c r="AQ184" i="1"/>
  <c r="AT184" i="1"/>
  <c r="AT380" i="1"/>
  <c r="AQ380" i="1"/>
  <c r="AH380" i="1"/>
  <c r="AT43" i="1"/>
  <c r="AQ43" i="1"/>
  <c r="AH43" i="1"/>
  <c r="AQ227" i="1"/>
  <c r="AT227" i="1"/>
  <c r="AT300" i="1"/>
  <c r="AQ300" i="1"/>
  <c r="AH300" i="1"/>
  <c r="AQ4" i="1"/>
  <c r="AT4" i="1"/>
  <c r="AN4" i="1"/>
  <c r="AN12" i="1"/>
  <c r="AT118" i="1"/>
  <c r="AQ118" i="1"/>
  <c r="AH266" i="1"/>
  <c r="AQ158" i="1"/>
  <c r="AT158" i="1"/>
  <c r="AH158" i="1"/>
  <c r="AH335" i="1"/>
  <c r="AT290" i="1"/>
  <c r="AQ290" i="1"/>
  <c r="AN290" i="1"/>
  <c r="AH290" i="1"/>
  <c r="AN348" i="1"/>
  <c r="AQ312" i="1"/>
  <c r="AT312" i="1"/>
  <c r="AN312" i="1"/>
  <c r="AT62" i="1"/>
  <c r="AQ62" i="1"/>
  <c r="AN153" i="1"/>
  <c r="AT307" i="1"/>
  <c r="AQ307" i="1"/>
  <c r="AH243" i="1"/>
  <c r="AQ245" i="1"/>
  <c r="AT245" i="1"/>
  <c r="AN245" i="1"/>
  <c r="AT114" i="1"/>
  <c r="AQ114" i="1"/>
  <c r="AN114" i="1"/>
  <c r="AH114" i="1"/>
  <c r="AT126" i="1"/>
  <c r="AQ126" i="1"/>
  <c r="AH126" i="1"/>
  <c r="AQ14" i="1"/>
  <c r="AT14" i="1"/>
  <c r="AT124" i="1"/>
  <c r="AH124" i="1"/>
  <c r="AQ124" i="1"/>
  <c r="AT350" i="1"/>
  <c r="AQ350" i="1"/>
  <c r="AN350" i="1"/>
  <c r="AQ204" i="1"/>
  <c r="AT204" i="1"/>
  <c r="AH204" i="1"/>
  <c r="AQ226" i="1"/>
  <c r="AH226" i="1"/>
  <c r="AT226" i="1"/>
  <c r="AT303" i="1"/>
  <c r="AH303" i="1"/>
  <c r="AQ303" i="1"/>
  <c r="AN307" i="1"/>
  <c r="AH330" i="1"/>
  <c r="AQ46" i="1"/>
  <c r="AT46" i="1"/>
  <c r="AN46" i="1"/>
  <c r="AQ83" i="1"/>
  <c r="AT83" i="1"/>
  <c r="AN83" i="1"/>
  <c r="AH83" i="1"/>
  <c r="AQ202" i="1"/>
  <c r="AT202" i="1"/>
  <c r="AN202" i="1"/>
  <c r="AT79" i="1"/>
  <c r="AH79" i="1"/>
  <c r="AQ79" i="1"/>
  <c r="AT209" i="1"/>
  <c r="AQ209" i="1"/>
  <c r="AH209" i="1"/>
  <c r="AN209" i="1"/>
  <c r="AQ268" i="1"/>
  <c r="AT268" i="1"/>
  <c r="AH268" i="1"/>
  <c r="AQ259" i="1"/>
  <c r="AT259" i="1"/>
  <c r="AT39" i="1"/>
  <c r="AQ39" i="1"/>
  <c r="AN39" i="1"/>
  <c r="AT406" i="1"/>
  <c r="AQ406" i="1"/>
  <c r="AH406" i="1"/>
  <c r="AN406" i="1"/>
  <c r="AT408" i="1"/>
  <c r="AQ408" i="1"/>
  <c r="AH408" i="1"/>
  <c r="AN408" i="1"/>
  <c r="AN346" i="1"/>
  <c r="AT316" i="1"/>
  <c r="AQ316" i="1"/>
  <c r="AT340" i="1"/>
  <c r="AQ340" i="1"/>
  <c r="AH340" i="1"/>
  <c r="AH168" i="1"/>
  <c r="AQ168" i="1"/>
  <c r="AT168" i="1"/>
  <c r="AN168" i="1"/>
  <c r="AN404" i="1"/>
  <c r="AH184" i="1"/>
  <c r="AH312" i="1"/>
  <c r="AH371" i="1"/>
  <c r="AH62" i="1"/>
  <c r="AN79" i="1"/>
  <c r="AT19" i="1"/>
  <c r="AQ19" i="1"/>
  <c r="AH19" i="1"/>
  <c r="AN124" i="1"/>
  <c r="AQ15" i="1"/>
  <c r="AT15" i="1"/>
  <c r="AH15" i="1"/>
  <c r="AT157" i="1"/>
  <c r="AN157" i="1"/>
  <c r="AH157" i="1"/>
  <c r="AQ157" i="1"/>
  <c r="AN104" i="1"/>
  <c r="AQ244" i="1"/>
  <c r="AT244" i="1"/>
  <c r="AT405" i="1"/>
  <c r="AQ405" i="1"/>
  <c r="AH405" i="1"/>
  <c r="AN405" i="1"/>
  <c r="AH301" i="1"/>
  <c r="AQ31" i="1"/>
  <c r="AT31" i="1"/>
  <c r="AQ47" i="1"/>
  <c r="AT47" i="1"/>
  <c r="AT142" i="1"/>
  <c r="AQ142" i="1"/>
  <c r="AN142" i="1"/>
  <c r="AN173" i="1"/>
  <c r="AT27" i="1"/>
  <c r="AQ27" i="1"/>
  <c r="AH27" i="1"/>
  <c r="AT297" i="1"/>
  <c r="AQ297" i="1"/>
  <c r="AN297" i="1"/>
  <c r="AH297" i="1"/>
  <c r="AT26" i="1"/>
  <c r="AQ26" i="1"/>
  <c r="AQ91" i="1"/>
  <c r="AT91" i="1"/>
  <c r="AH91" i="1"/>
  <c r="AN300" i="1"/>
  <c r="AQ309" i="1"/>
  <c r="AT309" i="1"/>
  <c r="AH309" i="1"/>
  <c r="AT216" i="1"/>
  <c r="AQ216" i="1"/>
  <c r="AH216" i="1"/>
  <c r="AQ278" i="1"/>
  <c r="AT278" i="1"/>
  <c r="AH350" i="1"/>
  <c r="AT374" i="1"/>
  <c r="AQ374" i="1"/>
  <c r="AN374" i="1"/>
  <c r="AH374" i="1"/>
  <c r="AQ70" i="1"/>
  <c r="AT70" i="1"/>
  <c r="AQ395" i="1"/>
  <c r="AT395" i="1"/>
  <c r="AQ236" i="1"/>
  <c r="AT236" i="1"/>
  <c r="AH236" i="1"/>
  <c r="AQ69" i="1"/>
  <c r="AT69" i="1"/>
  <c r="AN69" i="1"/>
  <c r="AH69" i="1"/>
  <c r="AQ355" i="1"/>
  <c r="AT355" i="1"/>
  <c r="AN355" i="1"/>
  <c r="AH355" i="1"/>
  <c r="AQ99" i="1"/>
  <c r="AT99" i="1"/>
  <c r="AN99" i="1"/>
  <c r="AT100" i="1"/>
  <c r="AQ100" i="1"/>
  <c r="AH100" i="1"/>
  <c r="AN70" i="1"/>
  <c r="AQ403" i="1"/>
  <c r="AT403" i="1"/>
  <c r="AQ218" i="1"/>
  <c r="AT218" i="1"/>
  <c r="AQ344" i="1"/>
  <c r="AT344" i="1"/>
  <c r="AH344" i="1"/>
  <c r="AN344" i="1"/>
  <c r="AQ113" i="1"/>
  <c r="AT113" i="1"/>
  <c r="AH113" i="1"/>
  <c r="AT77" i="1"/>
  <c r="AQ77" i="1"/>
  <c r="AN77" i="1"/>
  <c r="AH77" i="1"/>
  <c r="AT282" i="1"/>
  <c r="AQ282" i="1"/>
  <c r="AN282" i="1"/>
  <c r="AQ143" i="1"/>
  <c r="AT143" i="1"/>
  <c r="AH143" i="1"/>
  <c r="AT385" i="1"/>
  <c r="AQ385" i="1"/>
  <c r="AT3" i="1"/>
  <c r="AQ3" i="1"/>
  <c r="AH3" i="1"/>
  <c r="AT172" i="1"/>
  <c r="AQ172" i="1"/>
  <c r="AN172" i="1"/>
  <c r="AH87" i="1"/>
  <c r="AH46" i="1"/>
  <c r="AT166" i="1"/>
  <c r="AQ166" i="1"/>
  <c r="AH166" i="1"/>
  <c r="AN166" i="1"/>
  <c r="AT369" i="1"/>
  <c r="AQ369" i="1"/>
  <c r="AH369" i="1"/>
  <c r="AQ59" i="1"/>
  <c r="AT59" i="1"/>
  <c r="AN59" i="1"/>
  <c r="AN118" i="1"/>
  <c r="AT256" i="1"/>
  <c r="AQ256" i="1"/>
  <c r="AH306" i="1"/>
  <c r="AT82" i="1"/>
  <c r="AQ82" i="1"/>
  <c r="AH82" i="1"/>
  <c r="AN62" i="1"/>
  <c r="AQ111" i="1"/>
  <c r="AT111" i="1"/>
  <c r="AN256" i="1"/>
  <c r="AT40" i="1"/>
  <c r="AH40" i="1"/>
  <c r="AQ40" i="1"/>
  <c r="AN82" i="1"/>
  <c r="AN125" i="1"/>
  <c r="AQ258" i="1"/>
  <c r="AT258" i="1"/>
  <c r="AN258" i="1"/>
  <c r="AQ347" i="1"/>
  <c r="AT347" i="1"/>
  <c r="AH256" i="1"/>
  <c r="AQ163" i="1"/>
  <c r="AT163" i="1"/>
  <c r="AH163" i="1"/>
  <c r="AN163" i="1"/>
  <c r="AH227" i="1"/>
  <c r="AQ333" i="1"/>
  <c r="AT333" i="1"/>
  <c r="AH333" i="1"/>
  <c r="AH134" i="1"/>
  <c r="AQ89" i="1"/>
  <c r="AN89" i="1"/>
  <c r="AT89" i="1"/>
  <c r="AN326" i="1"/>
  <c r="AT302" i="1"/>
  <c r="AQ302" i="1"/>
  <c r="AH302" i="1"/>
  <c r="AH132" i="1"/>
  <c r="AH4" i="1"/>
  <c r="AN309" i="1"/>
  <c r="AT338" i="1"/>
  <c r="AQ338" i="1"/>
  <c r="AT298" i="1"/>
  <c r="AQ298" i="1"/>
  <c r="AN298" i="1"/>
  <c r="AH298" i="1"/>
  <c r="AH259" i="1"/>
  <c r="AT313" i="1"/>
  <c r="AQ313" i="1"/>
  <c r="AH385" i="1"/>
  <c r="AQ191" i="1"/>
  <c r="AT191" i="1"/>
  <c r="AN191" i="1"/>
  <c r="AT85" i="1"/>
  <c r="AQ85" i="1"/>
  <c r="AH85" i="1"/>
  <c r="AN85" i="1"/>
  <c r="AQ68" i="1"/>
  <c r="AT68" i="1"/>
  <c r="AH68" i="1"/>
  <c r="AQ52" i="1"/>
  <c r="AT52" i="1"/>
  <c r="AN52" i="1"/>
  <c r="AT262" i="1"/>
  <c r="AQ262" i="1"/>
  <c r="AQ353" i="1"/>
  <c r="AT353" i="1"/>
  <c r="AN353" i="1"/>
  <c r="AT362" i="1"/>
  <c r="AQ362" i="1"/>
  <c r="AN362" i="1"/>
  <c r="AT154" i="1"/>
  <c r="AQ154" i="1"/>
  <c r="AH154" i="1"/>
  <c r="AT280" i="1"/>
  <c r="AQ280" i="1"/>
  <c r="AQ133" i="1"/>
  <c r="AT133" i="1"/>
  <c r="AH133" i="1"/>
  <c r="AN91" i="1"/>
  <c r="AQ281" i="1"/>
  <c r="AT281" i="1"/>
  <c r="AN281" i="1"/>
  <c r="AT138" i="1"/>
  <c r="AQ138" i="1"/>
  <c r="AN138" i="1"/>
  <c r="AH138" i="1"/>
  <c r="AN262" i="1"/>
  <c r="AN154" i="1"/>
  <c r="AT197" i="1"/>
  <c r="AQ197" i="1"/>
  <c r="AH197" i="1"/>
  <c r="AT170" i="1"/>
  <c r="AQ170" i="1"/>
  <c r="AH170" i="1"/>
  <c r="AQ208" i="1"/>
  <c r="AT208" i="1"/>
  <c r="AH208" i="1"/>
  <c r="AN208" i="1"/>
  <c r="AT241" i="1"/>
  <c r="AQ241" i="1"/>
  <c r="AH241" i="1"/>
  <c r="AN198" i="1"/>
  <c r="AT289" i="1"/>
  <c r="AQ289" i="1"/>
  <c r="AT402" i="1"/>
  <c r="AQ402" i="1"/>
  <c r="AH402" i="1"/>
  <c r="AN380" i="1"/>
  <c r="AQ20" i="1"/>
  <c r="AT20" i="1"/>
  <c r="AN20" i="1"/>
  <c r="AT64" i="1"/>
  <c r="AQ64" i="1"/>
  <c r="AH64" i="1"/>
  <c r="AT249" i="1"/>
  <c r="AQ249" i="1"/>
  <c r="AH249" i="1"/>
  <c r="AQ36" i="1"/>
  <c r="AT36" i="1"/>
  <c r="AN36" i="1"/>
  <c r="AT129" i="1"/>
  <c r="AQ129" i="1"/>
  <c r="AQ375" i="1"/>
  <c r="AT375" i="1"/>
  <c r="AN375" i="1"/>
  <c r="AH375" i="1"/>
  <c r="AQ115" i="1"/>
  <c r="AT115" i="1"/>
  <c r="AQ189" i="1"/>
  <c r="AT189" i="1"/>
  <c r="AH189" i="1"/>
  <c r="AN189" i="1"/>
  <c r="AT22" i="1"/>
  <c r="AQ22" i="1"/>
  <c r="AN22" i="1"/>
  <c r="AH22" i="1"/>
  <c r="AT224" i="1"/>
  <c r="AQ224" i="1"/>
  <c r="AT50" i="1"/>
  <c r="AQ50" i="1"/>
  <c r="AN50" i="1"/>
  <c r="AH50" i="1"/>
  <c r="AT120" i="1"/>
  <c r="AQ120" i="1"/>
  <c r="AT60" i="1"/>
  <c r="AQ60" i="1"/>
  <c r="AH60" i="1"/>
  <c r="AH200" i="1"/>
  <c r="AH129" i="1"/>
  <c r="AN237" i="1"/>
  <c r="AT237" i="1"/>
  <c r="AQ237" i="1"/>
  <c r="AH237" i="1"/>
  <c r="AT263" i="1"/>
  <c r="AQ263" i="1"/>
  <c r="AH263" i="1"/>
  <c r="AN204" i="1"/>
  <c r="AN388" i="1"/>
  <c r="AT186" i="1"/>
  <c r="AQ186" i="1"/>
  <c r="AH186" i="1"/>
  <c r="AN227" i="1"/>
  <c r="AQ131" i="1"/>
  <c r="AT131" i="1"/>
  <c r="AN131" i="1"/>
  <c r="AH131" i="1"/>
  <c r="AQ182" i="1"/>
  <c r="AT182" i="1"/>
  <c r="AH182" i="1"/>
  <c r="AH299" i="1"/>
  <c r="AT58" i="1"/>
  <c r="AQ58" i="1"/>
  <c r="AH58" i="1"/>
  <c r="AN58" i="1"/>
  <c r="AT177" i="1"/>
  <c r="AH177" i="1"/>
  <c r="AQ177" i="1"/>
  <c r="AN177" i="1"/>
  <c r="AQ187" i="1"/>
  <c r="AT187" i="1"/>
  <c r="AN187" i="1"/>
  <c r="AT384" i="1"/>
  <c r="AQ384" i="1"/>
  <c r="AH384" i="1"/>
  <c r="AN397" i="1"/>
  <c r="AN234" i="1"/>
  <c r="AT393" i="1"/>
  <c r="AH393" i="1"/>
  <c r="AQ393" i="1"/>
  <c r="AN393" i="1"/>
  <c r="AH316" i="1"/>
  <c r="AH47" i="1"/>
  <c r="AT35" i="1"/>
  <c r="AQ35" i="1"/>
  <c r="AH35" i="1"/>
  <c r="AT151" i="1"/>
  <c r="AQ151" i="1"/>
  <c r="AN151" i="1"/>
  <c r="AQ407" i="1"/>
  <c r="AT407" i="1"/>
  <c r="AN158" i="1"/>
  <c r="AT253" i="1"/>
  <c r="AQ253" i="1"/>
  <c r="AN253" i="1"/>
  <c r="AH253" i="1"/>
  <c r="AH372" i="1"/>
  <c r="AH14" i="1"/>
  <c r="AT149" i="1"/>
  <c r="AN149" i="1"/>
  <c r="AQ149" i="1"/>
  <c r="AH149" i="1"/>
  <c r="AT144" i="1"/>
  <c r="AQ144" i="1"/>
  <c r="AN144" i="1"/>
  <c r="AQ193" i="1"/>
  <c r="AT193" i="1"/>
  <c r="AH193" i="1"/>
  <c r="AT260" i="1"/>
  <c r="AQ260" i="1"/>
  <c r="AQ55" i="1"/>
  <c r="AT55" i="1"/>
  <c r="AH55" i="1"/>
  <c r="AH386" i="1"/>
  <c r="AH167" i="1"/>
  <c r="AH246" i="1"/>
  <c r="AT264" i="1"/>
  <c r="AQ264" i="1"/>
  <c r="AN264" i="1"/>
  <c r="AH264" i="1"/>
  <c r="AQ279" i="1"/>
  <c r="AT279" i="1"/>
  <c r="AN279" i="1"/>
  <c r="AH20" i="1"/>
  <c r="AQ171" i="1"/>
  <c r="AT171" i="1"/>
  <c r="AN171" i="1"/>
  <c r="AH171" i="1"/>
  <c r="AN284" i="1"/>
  <c r="AH187" i="1"/>
  <c r="AN384" i="1"/>
  <c r="AT146" i="1"/>
  <c r="AQ146" i="1"/>
  <c r="AH146" i="1"/>
  <c r="AN19" i="1"/>
  <c r="AN278" i="1"/>
  <c r="AN246" i="1"/>
  <c r="AN269" i="1"/>
  <c r="AQ305" i="1"/>
  <c r="AT305" i="1"/>
  <c r="AN305" i="1"/>
  <c r="AN259" i="1"/>
  <c r="AN111" i="1"/>
  <c r="AN43" i="1"/>
  <c r="AN224" i="1"/>
  <c r="AQ25" i="1"/>
  <c r="AT25" i="1"/>
  <c r="AN25" i="1"/>
  <c r="AN330" i="1"/>
  <c r="AQ174" i="1"/>
  <c r="AT174" i="1"/>
  <c r="AN174" i="1"/>
  <c r="AQ152" i="1"/>
  <c r="AT152" i="1"/>
  <c r="AN152" i="1"/>
  <c r="AQ242" i="1"/>
  <c r="AT242" i="1"/>
  <c r="AN242" i="1"/>
  <c r="AT220" i="1"/>
  <c r="AQ220" i="1"/>
  <c r="AN220" i="1"/>
  <c r="AH220" i="1"/>
  <c r="AH282" i="1"/>
  <c r="AT18" i="1"/>
  <c r="AQ18" i="1"/>
  <c r="AN18" i="1"/>
  <c r="AH18" i="1"/>
  <c r="AT225" i="1"/>
  <c r="AQ225" i="1"/>
  <c r="AH225" i="1"/>
  <c r="AN225" i="1"/>
  <c r="AQ240" i="1"/>
  <c r="AT240" i="1"/>
  <c r="AN268" i="1"/>
  <c r="AH379" i="1"/>
  <c r="AN261" i="1"/>
  <c r="AN385" i="1"/>
</calcChain>
</file>

<file path=xl/sharedStrings.xml><?xml version="1.0" encoding="utf-8"?>
<sst xmlns="http://schemas.openxmlformats.org/spreadsheetml/2006/main" count="1570" uniqueCount="401">
  <si>
    <t>Year</t>
  </si>
  <si>
    <t>Zone</t>
  </si>
  <si>
    <t>Sub Region</t>
  </si>
  <si>
    <t>District</t>
  </si>
  <si>
    <t>Division 1 - Boys</t>
  </si>
  <si>
    <t>Division 1 - Girls</t>
  </si>
  <si>
    <t>Division 1 - Total</t>
  </si>
  <si>
    <t>Division 2 - Boys</t>
  </si>
  <si>
    <t>Division 2 - Girls</t>
  </si>
  <si>
    <t>Division 2 - Total</t>
  </si>
  <si>
    <t>Division 3 - Boys</t>
  </si>
  <si>
    <t>Division 3 - Girls</t>
  </si>
  <si>
    <t>Division 3 - Total</t>
  </si>
  <si>
    <t>Division 4 - Boys</t>
  </si>
  <si>
    <t>Division 4 - Girls</t>
  </si>
  <si>
    <t>Division 4 - Total</t>
  </si>
  <si>
    <t>Division U - Boys</t>
  </si>
  <si>
    <t>Division U - Girls</t>
  </si>
  <si>
    <t>Division U - Total</t>
  </si>
  <si>
    <t>Division X - Boys</t>
  </si>
  <si>
    <t>Division X - Girls</t>
  </si>
  <si>
    <t>Division X - Total</t>
  </si>
  <si>
    <t>Registered - Boys</t>
  </si>
  <si>
    <t>Registered - Girls</t>
  </si>
  <si>
    <t>Registered - Total</t>
  </si>
  <si>
    <t>Sat - Boys</t>
  </si>
  <si>
    <t>Sat - Girls</t>
  </si>
  <si>
    <t>Sat - Total</t>
  </si>
  <si>
    <t>Passed - Boys</t>
  </si>
  <si>
    <t>Passed - Girls</t>
  </si>
  <si>
    <t>Passed - Total</t>
  </si>
  <si>
    <t>Pass Rate - Boys</t>
  </si>
  <si>
    <t>Pass Rate - Girls</t>
  </si>
  <si>
    <t>Pass Rate - Total</t>
  </si>
  <si>
    <t>Pass Division 1_2_3 Boys</t>
  </si>
  <si>
    <t>Pass Division 1_2_3 Girls</t>
  </si>
  <si>
    <t>Pass Division 1_2_3 Total</t>
  </si>
  <si>
    <t>Pass Rate Division 1_2_3 Boys</t>
  </si>
  <si>
    <t>Pass Rate Division 1_2_3 Girls</t>
  </si>
  <si>
    <t>Pass Rate Division 1_2_3 Total</t>
  </si>
  <si>
    <t>Pass Rate Division 1 Boys</t>
  </si>
  <si>
    <t>Pass Rate Division 1 Girls</t>
  </si>
  <si>
    <t>Pass Rate Division 1 Total</t>
  </si>
  <si>
    <t>Failure Rate -  Boys</t>
  </si>
  <si>
    <t>Failure Rate - Girls</t>
  </si>
  <si>
    <t>Failure Rate - Total</t>
  </si>
  <si>
    <t>Abseentism Rate - Boys</t>
  </si>
  <si>
    <t>Abseentism Rate - Girls</t>
  </si>
  <si>
    <t>Abseentism Rate - Total</t>
  </si>
  <si>
    <t>Other</t>
  </si>
  <si>
    <t>South Buganda</t>
  </si>
  <si>
    <t>Rakai</t>
  </si>
  <si>
    <t>Kigezi</t>
  </si>
  <si>
    <t>Rubanda</t>
  </si>
  <si>
    <t>Ankole</t>
  </si>
  <si>
    <t>Rubirizi</t>
  </si>
  <si>
    <t>Rukiga</t>
  </si>
  <si>
    <t>Rukungiri</t>
  </si>
  <si>
    <t>Rwampara</t>
  </si>
  <si>
    <t>Teso</t>
  </si>
  <si>
    <t>Serere</t>
  </si>
  <si>
    <t>Sheema</t>
  </si>
  <si>
    <t>Elgon</t>
  </si>
  <si>
    <t>Sironko</t>
  </si>
  <si>
    <t>Soroti</t>
  </si>
  <si>
    <t>Ssembabule</t>
  </si>
  <si>
    <t>AZO</t>
  </si>
  <si>
    <t>West Nile</t>
  </si>
  <si>
    <t>Terego</t>
  </si>
  <si>
    <t>KMD</t>
  </si>
  <si>
    <t>Bukedi</t>
  </si>
  <si>
    <t>Tororo</t>
  </si>
  <si>
    <t>Wakiso</t>
  </si>
  <si>
    <t>Yumbe</t>
  </si>
  <si>
    <t>MZO</t>
  </si>
  <si>
    <t>Karamoja</t>
  </si>
  <si>
    <t>Abim</t>
  </si>
  <si>
    <t>Adjumani</t>
  </si>
  <si>
    <t>Acholi</t>
  </si>
  <si>
    <t>Agago</t>
  </si>
  <si>
    <t>Lango</t>
  </si>
  <si>
    <t>Alebtong</t>
  </si>
  <si>
    <t>Amolatar</t>
  </si>
  <si>
    <t>Amuria</t>
  </si>
  <si>
    <t>Amuru</t>
  </si>
  <si>
    <t>Apac</t>
  </si>
  <si>
    <t>Arua</t>
  </si>
  <si>
    <t>Budaka</t>
  </si>
  <si>
    <t>Bududa</t>
  </si>
  <si>
    <t>Busoga</t>
  </si>
  <si>
    <t>Bugiri</t>
  </si>
  <si>
    <t>Bugweri</t>
  </si>
  <si>
    <t>Buhweju</t>
  </si>
  <si>
    <t>North Buganda</t>
  </si>
  <si>
    <t>Buikwe</t>
  </si>
  <si>
    <t>Bukedea</t>
  </si>
  <si>
    <t>Bukomansimbi</t>
  </si>
  <si>
    <t>Bukwo</t>
  </si>
  <si>
    <t>Bulambuli</t>
  </si>
  <si>
    <t>Bunyoro</t>
  </si>
  <si>
    <t>Buliisa</t>
  </si>
  <si>
    <t>Toro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</si>
  <si>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</si>
  <si>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</si>
  <si>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</si>
  <si>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</si>
  <si>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</si>
  <si>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</si>
  <si>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</si>
  <si>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</si>
  <si>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</si>
  <si>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</si>
  <si>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</si>
  <si>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</si>
  <si>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</si>
  <si>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</si>
  <si>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</si>
  <si>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FZO</t>
  </si>
  <si>
    <t>Isingiro</t>
  </si>
  <si>
    <t>Jinja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</si>
  <si>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</si>
  <si>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</si>
  <si>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</si>
  <si>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</si>
  <si>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</si>
  <si>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</si>
  <si>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</si>
  <si>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</si>
  <si>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</si>
  <si>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</si>
  <si>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</si>
  <si>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</si>
  <si>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</si>
  <si>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</si>
  <si>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</si>
  <si>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Amudat</t>
  </si>
  <si>
    <t>Kasese</t>
  </si>
  <si>
    <t>Kassanda</t>
  </si>
  <si>
    <t>Katakwi</t>
  </si>
  <si>
    <t>Kayunga</t>
  </si>
  <si>
    <t>Kazo</t>
  </si>
  <si>
    <t>Kibaale</t>
  </si>
  <si>
    <t>Kiboga</t>
  </si>
  <si>
    <t>Kibuku</t>
  </si>
  <si>
    <t>Kikuube</t>
  </si>
  <si>
    <t>Kiruhura</t>
  </si>
  <si>
    <t>Kiryandongo</t>
  </si>
  <si>
    <t>Kisoro</t>
  </si>
  <si>
    <t>Kitagwenda</t>
  </si>
  <si>
    <t>Kitgum</t>
  </si>
  <si>
    <t>Koboko</t>
  </si>
  <si>
    <t>Kole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</si>
  <si>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</si>
  <si>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</si>
  <si>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</si>
  <si>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</si>
  <si>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</si>
  <si>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</si>
  <si>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</si>
  <si>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</si>
  <si>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</si>
  <si>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</si>
  <si>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Luweero</t>
  </si>
  <si>
    <t>Lwengo</t>
  </si>
  <si>
    <t>Lyantonde</t>
  </si>
  <si>
    <t>Madi 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</si>
  <si>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</si>
  <si>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</si>
  <si>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</si>
  <si>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</si>
  <si>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</si>
  <si>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</si>
  <si>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</si>
  <si>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</si>
  <si>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</si>
  <si>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Moyo</t>
  </si>
  <si>
    <t>Mpigi</t>
  </si>
  <si>
    <t>Mubende</t>
  </si>
  <si>
    <t>Mukono</t>
  </si>
  <si>
    <t>Kaabong</t>
  </si>
  <si>
    <t>Nakaseke</t>
  </si>
  <si>
    <t>Nakasongola</t>
  </si>
  <si>
    <t>Namayingo</t>
  </si>
  <si>
    <t>Namisindwa</t>
  </si>
  <si>
    <t>Namutumba</t>
  </si>
  <si>
    <t>Nebbi</t>
  </si>
  <si>
    <t>Ngora</t>
  </si>
  <si>
    <t>Ntoroko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</si>
  <si>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</si>
  <si>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</si>
  <si>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</si>
  <si>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</si>
  <si>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</si>
  <si>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</si>
  <si>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</si>
  <si>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</si>
  <si>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</si>
  <si>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Zombo</t>
  </si>
  <si>
    <t>Karenga</t>
  </si>
  <si>
    <t>Kotido</t>
  </si>
  <si>
    <t>Moroto</t>
  </si>
  <si>
    <t>Nabilatuk</t>
  </si>
  <si>
    <t>Nakapiripirit</t>
  </si>
  <si>
    <t>Napak</t>
  </si>
  <si>
    <t>Category</t>
  </si>
  <si>
    <t>Division 1 - Female</t>
  </si>
  <si>
    <t>Division - Male</t>
  </si>
  <si>
    <t>Division 2 - Female</t>
  </si>
  <si>
    <t>Division 2 - Male</t>
  </si>
  <si>
    <t>Division 3 - Female</t>
  </si>
  <si>
    <t>Division 3 - Male</t>
  </si>
  <si>
    <t>Division 4 - Female</t>
  </si>
  <si>
    <t>Division 4 - Male</t>
  </si>
  <si>
    <t>Division U - Female</t>
  </si>
  <si>
    <t>Division U - Male</t>
  </si>
  <si>
    <t>Absent - Female</t>
  </si>
  <si>
    <t>Absent - Male</t>
  </si>
  <si>
    <t>Blind</t>
  </si>
  <si>
    <t>Low Vision</t>
  </si>
  <si>
    <t>Deaf</t>
  </si>
  <si>
    <t>Physically Handicapped</t>
  </si>
  <si>
    <t>Dyslexic</t>
  </si>
  <si>
    <t>Others (Need no assistance)</t>
  </si>
  <si>
    <t>ABIM</t>
  </si>
  <si>
    <t>ADJUMANI</t>
  </si>
  <si>
    <t>AGAGO</t>
  </si>
  <si>
    <t>ALEBTONG</t>
  </si>
  <si>
    <t>AMOLATAR</t>
  </si>
  <si>
    <t>AMUDAT</t>
  </si>
  <si>
    <t>AMURIA</t>
  </si>
  <si>
    <t>AMURU</t>
  </si>
  <si>
    <t>APAC_M_C</t>
  </si>
  <si>
    <t>APAC</t>
  </si>
  <si>
    <t>ARUA_M_C</t>
  </si>
  <si>
    <t>ARUA</t>
  </si>
  <si>
    <t>BUDAKA</t>
  </si>
  <si>
    <t>BUDUDA</t>
  </si>
  <si>
    <t>BUGIRI_M_C</t>
  </si>
  <si>
    <t>BUGIRI</t>
  </si>
  <si>
    <t>BUGWERI</t>
  </si>
  <si>
    <t>BUHWEJU</t>
  </si>
  <si>
    <t>BUKWE</t>
  </si>
  <si>
    <t>BUKEDEA</t>
  </si>
  <si>
    <t>BUKOMANSIMBI</t>
  </si>
  <si>
    <t>BUIKWE</t>
  </si>
  <si>
    <t>BULAMBULI</t>
  </si>
  <si>
    <t>BULISA</t>
  </si>
  <si>
    <t>BUNDIBUGYO</t>
  </si>
  <si>
    <t>BUNYANGABU</t>
  </si>
  <si>
    <t>BUSHENYI_M_C</t>
  </si>
  <si>
    <t>BUSHENYI</t>
  </si>
  <si>
    <t>BUSIA_M_C</t>
  </si>
  <si>
    <t>BUSIA</t>
  </si>
  <si>
    <t>BUTALEJA</t>
  </si>
  <si>
    <t>BUTAMBALA</t>
  </si>
  <si>
    <t>BUTEBO</t>
  </si>
  <si>
    <t>BUVUMA</t>
  </si>
  <si>
    <t>BUYENDE</t>
  </si>
  <si>
    <t>DOKOLO</t>
  </si>
  <si>
    <t>ENTEBBE_M_C</t>
  </si>
  <si>
    <t>FORTPORTAL</t>
  </si>
  <si>
    <t>GOMBA</t>
  </si>
  <si>
    <t>GULU_CITY</t>
  </si>
  <si>
    <t>GULU</t>
  </si>
  <si>
    <t>HOIMA_CITY</t>
  </si>
  <si>
    <t>HOIMA</t>
  </si>
  <si>
    <t>IBANDA_M_C</t>
  </si>
  <si>
    <t>IBANDA</t>
  </si>
  <si>
    <t>IGANGA_M_C</t>
  </si>
  <si>
    <t>IGANGA</t>
  </si>
  <si>
    <t>ISINGIRO</t>
  </si>
  <si>
    <t>JINJA_CITY</t>
  </si>
  <si>
    <t>JINJA</t>
  </si>
  <si>
    <t>KAABONG</t>
  </si>
  <si>
    <t>KABALE_M_C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</si>
  <si>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</si>
  <si>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</si>
  <si>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</si>
  <si>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</si>
  <si>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</si>
  <si>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</si>
  <si>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</si>
  <si>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</si>
  <si>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</si>
  <si>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</si>
  <si>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KAMULI_M_C</t>
  </si>
  <si>
    <t>KAMULI</t>
  </si>
  <si>
    <t>KAMWENGE</t>
  </si>
  <si>
    <t>KANUNGU</t>
  </si>
  <si>
    <t>KAPCHORWA_M_C</t>
  </si>
  <si>
    <t>KAPCHORWA</t>
  </si>
  <si>
    <t>KAPELEBYONG</t>
  </si>
  <si>
    <t>KARENGA</t>
  </si>
  <si>
    <t>KASESE_M_C</t>
  </si>
  <si>
    <t>KASESE</t>
  </si>
  <si>
    <t>KASSANDA</t>
  </si>
  <si>
    <t>KATAKWI</t>
  </si>
  <si>
    <t>KAYUNGA</t>
  </si>
  <si>
    <t>KAZO</t>
  </si>
  <si>
    <t>KIBAALE</t>
  </si>
  <si>
    <t>KIBOGA</t>
  </si>
  <si>
    <t>KIBUKU</t>
  </si>
  <si>
    <t>KIKUUBE</t>
  </si>
  <si>
    <t>KIRA_M_C</t>
  </si>
  <si>
    <t>KIRUHURA</t>
  </si>
  <si>
    <t>KIRYANDONGO</t>
  </si>
  <si>
    <t>KISORO_M_C</t>
  </si>
  <si>
    <t>KISORO</t>
  </si>
  <si>
    <t>KITAGWENDA</t>
  </si>
  <si>
    <t>KITGUM_M_C</t>
  </si>
  <si>
    <t>KITGUM</t>
  </si>
  <si>
    <t>KOBOKO_M_C</t>
  </si>
  <si>
    <t>KOBOKO</t>
  </si>
  <si>
    <t>KOLE</t>
  </si>
  <si>
    <t>KOTIDO_M_C</t>
  </si>
  <si>
    <t>KOTIDO</t>
  </si>
  <si>
    <t>KUMI_M_C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</si>
  <si>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</si>
  <si>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</si>
  <si>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</si>
  <si>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</si>
  <si>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</si>
  <si>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</si>
  <si>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</si>
  <si>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</si>
  <si>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LIRA_M_C</t>
  </si>
  <si>
    <t>LIRA</t>
  </si>
  <si>
    <t>LUGAZI_M_C</t>
  </si>
  <si>
    <t>LUUKA</t>
  </si>
  <si>
    <t>LUWERO</t>
  </si>
  <si>
    <t>LWENGO</t>
  </si>
  <si>
    <t>LYANTONDE</t>
  </si>
  <si>
    <t>MADI_OKOLLO</t>
  </si>
  <si>
    <t>MAKINDYE</t>
  </si>
  <si>
    <t>SSABAGABO</t>
  </si>
  <si>
    <t>MANAFWA</t>
  </si>
  <si>
    <t>MARACHA</t>
  </si>
  <si>
    <t>MASAKA_CITY</t>
  </si>
  <si>
    <t>MASAKA</t>
  </si>
  <si>
    <t>MASINDI_M_C</t>
  </si>
  <si>
    <t>MASINDI</t>
  </si>
  <si>
    <t>MAYUGE</t>
  </si>
  <si>
    <t>MBALE_M_C</t>
  </si>
  <si>
    <t>MBALE</t>
  </si>
  <si>
    <t>MBARARA_M_C</t>
  </si>
  <si>
    <t>MBARARA</t>
  </si>
  <si>
    <t>MITOOMA</t>
  </si>
  <si>
    <t>MITIYANA_M_C</t>
  </si>
  <si>
    <t>MITIYANA</t>
  </si>
  <si>
    <t>MOROTO_M_C</t>
  </si>
  <si>
    <t>MOROTO</t>
  </si>
  <si>
    <t>MOYO</t>
  </si>
  <si>
    <t>MPIGI</t>
  </si>
  <si>
    <t>MUBENDE_M_C</t>
  </si>
  <si>
    <t>MUBENDE</t>
  </si>
  <si>
    <t>MUKONO_M_C</t>
  </si>
  <si>
    <t>MUKONO</t>
  </si>
  <si>
    <t>NABILATUK</t>
  </si>
  <si>
    <t>NAPAKIRIPIRIT</t>
  </si>
  <si>
    <t>NAKASEKE</t>
  </si>
  <si>
    <t>NAKASONGOLA</t>
  </si>
  <si>
    <t>NAMAYINGO</t>
  </si>
  <si>
    <t>NAMISINDWA</t>
  </si>
  <si>
    <t>NAMUTUMBA</t>
  </si>
  <si>
    <t>NANSANA_M_C</t>
  </si>
  <si>
    <t>NAPAK</t>
  </si>
  <si>
    <t>NEBBI_M_C</t>
  </si>
  <si>
    <t>NEBBI</t>
  </si>
  <si>
    <t>NGORA</t>
  </si>
  <si>
    <t>NJERU_M_C</t>
  </si>
  <si>
    <t>NTOROKO</t>
  </si>
  <si>
    <t>NTUNGAMO_M_C</t>
  </si>
  <si>
    <t>NTUNGAMO</t>
  </si>
  <si>
    <t>NWOYA</t>
  </si>
  <si>
    <t>OBONGI</t>
  </si>
  <si>
    <t>OMORO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</si>
  <si>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</si>
  <si>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</si>
  <si>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</si>
  <si>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</si>
  <si>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</si>
  <si>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</si>
  <si>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</si>
  <si>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</si>
  <si>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</si>
  <si>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RUKUNGIRI_M_C</t>
  </si>
  <si>
    <t>RUKUNGIRI</t>
  </si>
  <si>
    <t>RWAMPARA</t>
  </si>
  <si>
    <t>SERERE</t>
  </si>
  <si>
    <t>SHEEMA_M_C</t>
  </si>
  <si>
    <t>SHEEMA</t>
  </si>
  <si>
    <t>SIRONKO</t>
  </si>
  <si>
    <t>SOROTI_M_C</t>
  </si>
  <si>
    <t>SOROTI</t>
  </si>
  <si>
    <t>SSEMBABULE</t>
  </si>
  <si>
    <t>TEREGO</t>
  </si>
  <si>
    <t>TORORO_M_C</t>
  </si>
  <si>
    <t>TORORO</t>
  </si>
  <si>
    <t>WAKISO</t>
  </si>
  <si>
    <t>YUMBE</t>
  </si>
  <si>
    <t>ZOMBO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</si>
</sst>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587"/>
  <sheetViews>
    <sheetView tabSelected="1" workbookViewId="0">
      <pane ySplit="1" topLeftCell="A423" activePane="bottomLeft" state="frozen"/>
      <selection activeCell="D1" sqref="D1"/>
      <selection pane="bottomLeft" activeCell="D420" sqref="D420"/>
    </sheetView>
  </sheetViews>
  <sheetFormatPr baseColWidth="10" defaultColWidth="12.6640625" defaultRowHeight="15.75" customHeight="1" x14ac:dyDescent="0.15"/>
  <cols>
    <col min="1" max="1" width="5.1640625" bestFit="1" customWidth="1"/>
    <col min="2" max="2" width="5.5" bestFit="1" customWidth="1"/>
    <col min="3" max="3" width="13.5" bestFit="1" customWidth="1"/>
    <col min="4" max="4" width="12.33203125" bestFit="1" customWidth="1"/>
    <col min="5" max="5" width="13.83203125" bestFit="1" customWidth="1"/>
    <col min="6" max="6" width="13.33203125" bestFit="1" customWidth="1"/>
    <col min="7" max="8" width="13.83203125" bestFit="1" customWidth="1"/>
    <col min="9" max="9" width="13.33203125" bestFit="1" customWidth="1"/>
    <col min="10" max="11" width="13.83203125" bestFit="1" customWidth="1"/>
    <col min="12" max="12" width="13.33203125" bestFit="1" customWidth="1"/>
    <col min="13" max="14" width="13.83203125" bestFit="1" customWidth="1"/>
    <col min="15" max="15" width="13.33203125" bestFit="1" customWidth="1"/>
    <col min="16" max="16" width="13.83203125" bestFit="1" customWidth="1"/>
    <col min="17" max="17" width="14" bestFit="1" customWidth="1"/>
    <col min="18" max="18" width="13.5" bestFit="1" customWidth="1"/>
    <col min="19" max="20" width="14" bestFit="1" customWidth="1"/>
    <col min="21" max="21" width="13.5" bestFit="1" customWidth="1"/>
    <col min="22" max="22" width="14" bestFit="1" customWidth="1"/>
    <col min="23" max="23" width="14.83203125" bestFit="1" customWidth="1"/>
    <col min="24" max="24" width="14.33203125" bestFit="1" customWidth="1"/>
    <col min="25" max="25" width="14.83203125" bestFit="1" customWidth="1"/>
    <col min="26" max="26" width="9.1640625" bestFit="1" customWidth="1"/>
    <col min="27" max="27" width="8.6640625" bestFit="1" customWidth="1"/>
    <col min="28" max="28" width="9.1640625" bestFit="1" customWidth="1"/>
    <col min="29" max="29" width="12.33203125" bestFit="1" customWidth="1"/>
    <col min="30" max="30" width="11.83203125" bestFit="1" customWidth="1"/>
    <col min="31" max="31" width="12.33203125" bestFit="1" customWidth="1"/>
    <col min="32" max="32" width="14.5" bestFit="1" customWidth="1"/>
    <col min="33" max="33" width="14" bestFit="1" customWidth="1"/>
    <col min="34" max="34" width="14.5" bestFit="1" customWidth="1"/>
    <col min="35" max="35" width="21.5" bestFit="1" customWidth="1"/>
    <col min="36" max="36" width="20.83203125" bestFit="1" customWidth="1"/>
    <col min="37" max="37" width="21.5" bestFit="1" customWidth="1"/>
    <col min="38" max="38" width="25.6640625" bestFit="1" customWidth="1"/>
    <col min="39" max="39" width="25.1640625" bestFit="1" customWidth="1"/>
    <col min="40" max="40" width="25.6640625" bestFit="1" customWidth="1"/>
    <col min="41" max="41" width="21.6640625" bestFit="1" customWidth="1"/>
    <col min="42" max="42" width="21" bestFit="1" customWidth="1"/>
    <col min="43" max="43" width="21.6640625" bestFit="1" customWidth="1"/>
    <col min="44" max="44" width="16.5" bestFit="1" customWidth="1"/>
    <col min="45" max="45" width="15.33203125" bestFit="1" customWidth="1"/>
    <col min="46" max="46" width="15.83203125" bestFit="1" customWidth="1"/>
    <col min="47" max="47" width="19.83203125" bestFit="1" customWidth="1"/>
    <col min="48" max="48" width="19.33203125" bestFit="1" customWidth="1"/>
    <col min="49" max="49" width="19.83203125" bestFit="1" customWidth="1"/>
  </cols>
  <sheetData>
    <row r="1" spans="1:4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.75" customHeight="1" x14ac:dyDescent="0.15">
      <c r="A2" s="1">
        <v>2024</v>
      </c>
      <c r="B2" s="1" t="s">
        <v>49</v>
      </c>
      <c r="C2" s="1" t="s">
        <v>50</v>
      </c>
      <c r="D2" s="1" t="s">
        <v>51</v>
      </c>
      <c r="E2" s="1">
        <v>309</v>
      </c>
      <c r="F2" s="1">
        <v>282</v>
      </c>
      <c r="G2" s="1">
        <v>591</v>
      </c>
      <c r="H2" s="1">
        <v>1534</v>
      </c>
      <c r="I2" s="1">
        <v>2098</v>
      </c>
      <c r="J2" s="1">
        <v>3632</v>
      </c>
      <c r="K2" s="1">
        <v>276</v>
      </c>
      <c r="L2" s="1">
        <v>425</v>
      </c>
      <c r="M2" s="1">
        <v>701</v>
      </c>
      <c r="N2" s="1">
        <v>94</v>
      </c>
      <c r="O2" s="1">
        <v>143</v>
      </c>
      <c r="P2" s="1">
        <v>237</v>
      </c>
      <c r="Q2" s="1">
        <v>46</v>
      </c>
      <c r="R2" s="1">
        <v>75</v>
      </c>
      <c r="S2" s="1">
        <v>121</v>
      </c>
      <c r="T2" s="1">
        <v>57</v>
      </c>
      <c r="U2" s="1">
        <v>65</v>
      </c>
      <c r="V2" s="1">
        <v>122</v>
      </c>
      <c r="W2" s="1">
        <f t="shared" ref="W2:X2" si="0">SUM(E2,H2,K2,N2,Q2,T2)</f>
        <v>2316</v>
      </c>
      <c r="X2" s="1">
        <f t="shared" si="0"/>
        <v>3088</v>
      </c>
      <c r="Y2" s="1">
        <f t="shared" ref="Y2:Y256" si="1">SUM(W2:X2)</f>
        <v>5404</v>
      </c>
      <c r="Z2" s="1">
        <f t="shared" ref="Z2:AA2" si="2">W2-T2</f>
        <v>2259</v>
      </c>
      <c r="AA2" s="1">
        <f t="shared" si="2"/>
        <v>3023</v>
      </c>
      <c r="AB2" s="1">
        <f t="shared" ref="AB2:AB256" si="3">SUM(Z2:AA2)</f>
        <v>5282</v>
      </c>
      <c r="AC2" s="1">
        <f t="shared" ref="AC2:AD2" si="4">SUM(E2,H2,K2,N2)</f>
        <v>2213</v>
      </c>
      <c r="AD2" s="1">
        <f t="shared" si="4"/>
        <v>2948</v>
      </c>
      <c r="AE2" s="1">
        <f t="shared" ref="AE2:AE256" si="5">SUM(AC2:AD2)</f>
        <v>5161</v>
      </c>
      <c r="AF2" s="2">
        <f t="shared" ref="AF2:AH2" si="6">AC2/Z2</f>
        <v>0.9796370075254538</v>
      </c>
      <c r="AG2" s="2">
        <f t="shared" si="6"/>
        <v>0.97519020840224946</v>
      </c>
      <c r="AH2" s="2">
        <f t="shared" si="6"/>
        <v>0.97709201060204465</v>
      </c>
      <c r="AI2" s="1">
        <f t="shared" ref="AI2:AJ2" si="7">SUM(E2,H2,K2)</f>
        <v>2119</v>
      </c>
      <c r="AJ2" s="1">
        <f t="shared" si="7"/>
        <v>2805</v>
      </c>
      <c r="AK2" s="1">
        <f t="shared" ref="AK2:AK256" si="8">SUM(AI2:AJ2)</f>
        <v>4924</v>
      </c>
      <c r="AL2" s="2">
        <f t="shared" ref="AL2:AN2" si="9">AI2/Z2</f>
        <v>0.93802567507746792</v>
      </c>
      <c r="AM2" s="2">
        <f t="shared" si="9"/>
        <v>0.92788620575587166</v>
      </c>
      <c r="AN2" s="2">
        <f t="shared" si="9"/>
        <v>0.93222264293828094</v>
      </c>
      <c r="AO2" s="2">
        <f t="shared" ref="AO2:AQ2" si="10">E2/Z2</f>
        <v>0.13678618857901725</v>
      </c>
      <c r="AP2" s="2">
        <f t="shared" si="10"/>
        <v>9.3284816407542173E-2</v>
      </c>
      <c r="AQ2" s="2">
        <f t="shared" si="10"/>
        <v>0.11188943581976524</v>
      </c>
      <c r="AR2" s="2">
        <f t="shared" ref="AR2:AR256" si="11">R2/Z2</f>
        <v>3.3200531208499334E-2</v>
      </c>
      <c r="AS2" s="2">
        <f t="shared" ref="AS2:AT2" si="12">R2/AA2</f>
        <v>2.4809791597750579E-2</v>
      </c>
      <c r="AT2" s="2">
        <f t="shared" si="12"/>
        <v>2.2907989397955322E-2</v>
      </c>
      <c r="AU2" s="2">
        <f t="shared" ref="AU2:AW17" si="13">T2/W2</f>
        <v>2.4611398963730571E-2</v>
      </c>
      <c r="AV2" s="2">
        <f t="shared" si="13"/>
        <v>2.104922279792746E-2</v>
      </c>
      <c r="AW2" s="2">
        <f t="shared" si="13"/>
        <v>2.2575869726128794E-2</v>
      </c>
    </row>
    <row r="3" spans="1:49" ht="15.75" customHeight="1" x14ac:dyDescent="0.15">
      <c r="A3" s="1">
        <v>2024</v>
      </c>
      <c r="B3" s="1" t="s">
        <v>49</v>
      </c>
      <c r="C3" s="1" t="s">
        <v>52</v>
      </c>
      <c r="D3" s="1" t="s">
        <v>53</v>
      </c>
      <c r="E3" s="1">
        <v>136</v>
      </c>
      <c r="F3" s="1">
        <v>113</v>
      </c>
      <c r="G3" s="1">
        <v>249</v>
      </c>
      <c r="H3" s="1">
        <v>702</v>
      </c>
      <c r="I3" s="1">
        <v>907</v>
      </c>
      <c r="J3" s="1">
        <v>1609</v>
      </c>
      <c r="K3" s="1">
        <v>330</v>
      </c>
      <c r="L3" s="1">
        <v>602</v>
      </c>
      <c r="M3" s="1">
        <v>932</v>
      </c>
      <c r="N3" s="1">
        <v>134</v>
      </c>
      <c r="O3" s="1">
        <v>182</v>
      </c>
      <c r="P3" s="1">
        <v>316</v>
      </c>
      <c r="Q3" s="1">
        <v>89</v>
      </c>
      <c r="R3" s="1">
        <v>189</v>
      </c>
      <c r="S3" s="1">
        <v>278</v>
      </c>
      <c r="T3" s="1">
        <v>24</v>
      </c>
      <c r="U3" s="1">
        <v>52</v>
      </c>
      <c r="V3" s="1">
        <v>76</v>
      </c>
      <c r="W3" s="1">
        <f t="shared" ref="W3:X3" si="14">SUM(E3,H3,K3,N3,Q3,T3)</f>
        <v>1415</v>
      </c>
      <c r="X3" s="1">
        <f t="shared" si="14"/>
        <v>2045</v>
      </c>
      <c r="Y3" s="1">
        <f t="shared" si="1"/>
        <v>3460</v>
      </c>
      <c r="Z3" s="1">
        <f t="shared" ref="Z3:AA3" si="15">W3-T3</f>
        <v>1391</v>
      </c>
      <c r="AA3" s="1">
        <f t="shared" si="15"/>
        <v>1993</v>
      </c>
      <c r="AB3" s="1">
        <f t="shared" si="3"/>
        <v>3384</v>
      </c>
      <c r="AC3" s="1">
        <f t="shared" ref="AC3:AD3" si="16">SUM(E3,H3,K3,N3)</f>
        <v>1302</v>
      </c>
      <c r="AD3" s="1">
        <f t="shared" si="16"/>
        <v>1804</v>
      </c>
      <c r="AE3" s="1">
        <f t="shared" si="5"/>
        <v>3106</v>
      </c>
      <c r="AF3" s="2">
        <f t="shared" ref="AF3:AH3" si="17">AC3/Z3</f>
        <v>0.93601725377426315</v>
      </c>
      <c r="AG3" s="2">
        <f t="shared" si="17"/>
        <v>0.9051680883090818</v>
      </c>
      <c r="AH3" s="2">
        <f t="shared" si="17"/>
        <v>0.9178486997635934</v>
      </c>
      <c r="AI3" s="1">
        <f t="shared" ref="AI3:AJ3" si="18">SUM(E3,H3,K3)</f>
        <v>1168</v>
      </c>
      <c r="AJ3" s="1">
        <f t="shared" si="18"/>
        <v>1622</v>
      </c>
      <c r="AK3" s="1">
        <f t="shared" si="8"/>
        <v>2790</v>
      </c>
      <c r="AL3" s="2">
        <f t="shared" ref="AL3:AN3" si="19">AI3/Z3</f>
        <v>0.83968368080517608</v>
      </c>
      <c r="AM3" s="2">
        <f t="shared" si="19"/>
        <v>0.81384846964375313</v>
      </c>
      <c r="AN3" s="2">
        <f t="shared" si="19"/>
        <v>0.82446808510638303</v>
      </c>
      <c r="AO3" s="2">
        <f t="shared" ref="AO3:AQ3" si="20">E3/Z3</f>
        <v>9.7771387491013662E-2</v>
      </c>
      <c r="AP3" s="2">
        <f t="shared" si="20"/>
        <v>5.6698444555945811E-2</v>
      </c>
      <c r="AQ3" s="2">
        <f t="shared" si="20"/>
        <v>7.3581560283687938E-2</v>
      </c>
      <c r="AR3" s="2">
        <f t="shared" si="11"/>
        <v>0.13587347232207045</v>
      </c>
      <c r="AS3" s="2">
        <f t="shared" ref="AS3:AT3" si="21">R3/AA3</f>
        <v>9.4831911690918216E-2</v>
      </c>
      <c r="AT3" s="2">
        <f t="shared" si="21"/>
        <v>8.2151300236406613E-2</v>
      </c>
      <c r="AU3" s="2">
        <f t="shared" ref="AU3:AW3" si="22">T3/W3</f>
        <v>1.6961130742049468E-2</v>
      </c>
      <c r="AV3" s="2">
        <f t="shared" si="13"/>
        <v>2.5427872860635695E-2</v>
      </c>
      <c r="AW3" s="2">
        <f t="shared" si="13"/>
        <v>2.1965317919075144E-2</v>
      </c>
    </row>
    <row r="4" spans="1:49" ht="15.75" customHeight="1" x14ac:dyDescent="0.15">
      <c r="A4" s="1">
        <v>2024</v>
      </c>
      <c r="B4" s="1" t="s">
        <v>49</v>
      </c>
      <c r="C4" s="1" t="s">
        <v>54</v>
      </c>
      <c r="D4" s="1" t="s">
        <v>55</v>
      </c>
      <c r="E4" s="1">
        <v>341</v>
      </c>
      <c r="F4" s="1">
        <v>352</v>
      </c>
      <c r="G4" s="1">
        <v>693</v>
      </c>
      <c r="H4" s="1">
        <v>857</v>
      </c>
      <c r="I4" s="1">
        <v>1019</v>
      </c>
      <c r="J4" s="1">
        <v>1876</v>
      </c>
      <c r="K4" s="1">
        <v>120</v>
      </c>
      <c r="L4" s="1">
        <v>169</v>
      </c>
      <c r="M4" s="1">
        <v>289</v>
      </c>
      <c r="N4" s="1">
        <v>32</v>
      </c>
      <c r="O4" s="1">
        <v>52</v>
      </c>
      <c r="P4" s="1">
        <v>84</v>
      </c>
      <c r="Q4" s="1">
        <v>13</v>
      </c>
      <c r="R4" s="1">
        <v>14</v>
      </c>
      <c r="S4" s="1">
        <v>27</v>
      </c>
      <c r="T4" s="1">
        <v>6</v>
      </c>
      <c r="U4" s="1">
        <v>22</v>
      </c>
      <c r="V4" s="1">
        <v>28</v>
      </c>
      <c r="W4" s="1">
        <f t="shared" ref="W4:X4" si="23">SUM(E4,H4,K4,N4,Q4,T4)</f>
        <v>1369</v>
      </c>
      <c r="X4" s="1">
        <f t="shared" si="23"/>
        <v>1628</v>
      </c>
      <c r="Y4" s="1">
        <f t="shared" si="1"/>
        <v>2997</v>
      </c>
      <c r="Z4" s="1">
        <f t="shared" ref="Z4:AA4" si="24">W4-T4</f>
        <v>1363</v>
      </c>
      <c r="AA4" s="1">
        <f t="shared" si="24"/>
        <v>1606</v>
      </c>
      <c r="AB4" s="1">
        <f t="shared" si="3"/>
        <v>2969</v>
      </c>
      <c r="AC4" s="1">
        <f t="shared" ref="AC4:AD4" si="25">SUM(E4,H4,K4,N4)</f>
        <v>1350</v>
      </c>
      <c r="AD4" s="1">
        <f t="shared" si="25"/>
        <v>1592</v>
      </c>
      <c r="AE4" s="1">
        <f t="shared" si="5"/>
        <v>2942</v>
      </c>
      <c r="AF4" s="2">
        <f t="shared" ref="AF4:AH4" si="26">AC4/Z4</f>
        <v>0.99046221570066029</v>
      </c>
      <c r="AG4" s="2">
        <f t="shared" si="26"/>
        <v>0.99128268991282686</v>
      </c>
      <c r="AH4" s="2">
        <f t="shared" si="26"/>
        <v>0.99090602896598179</v>
      </c>
      <c r="AI4" s="1">
        <f t="shared" ref="AI4:AJ4" si="27">SUM(E4,H4,K4)</f>
        <v>1318</v>
      </c>
      <c r="AJ4" s="1">
        <f t="shared" si="27"/>
        <v>1540</v>
      </c>
      <c r="AK4" s="1">
        <f t="shared" si="8"/>
        <v>2858</v>
      </c>
      <c r="AL4" s="2">
        <f t="shared" ref="AL4:AN4" si="28">AI4/Z4</f>
        <v>0.96698459280997795</v>
      </c>
      <c r="AM4" s="2">
        <f t="shared" si="28"/>
        <v>0.95890410958904104</v>
      </c>
      <c r="AN4" s="2">
        <f t="shared" si="28"/>
        <v>0.96261367463792524</v>
      </c>
      <c r="AO4" s="2">
        <f t="shared" ref="AO4:AQ4" si="29">E4/Z4</f>
        <v>0.25018341892883345</v>
      </c>
      <c r="AP4" s="2">
        <f t="shared" si="29"/>
        <v>0.21917808219178081</v>
      </c>
      <c r="AQ4" s="2">
        <f t="shared" si="29"/>
        <v>0.23341192320646684</v>
      </c>
      <c r="AR4" s="2">
        <f t="shared" si="11"/>
        <v>1.0271460014673514E-2</v>
      </c>
      <c r="AS4" s="2">
        <f t="shared" ref="AS4:AT4" si="30">R4/AA4</f>
        <v>8.717310087173101E-3</v>
      </c>
      <c r="AT4" s="2">
        <f t="shared" si="30"/>
        <v>9.0939710340181886E-3</v>
      </c>
      <c r="AU4" s="2">
        <f t="shared" ref="AU4:AW4" si="31">T4/W4</f>
        <v>4.3827611395178961E-3</v>
      </c>
      <c r="AV4" s="2">
        <f t="shared" si="13"/>
        <v>1.3513513513513514E-2</v>
      </c>
      <c r="AW4" s="2">
        <f t="shared" si="13"/>
        <v>9.3426760093426754E-3</v>
      </c>
    </row>
    <row r="5" spans="1:49" ht="15.75" customHeight="1" x14ac:dyDescent="0.15">
      <c r="A5" s="1">
        <v>2024</v>
      </c>
      <c r="B5" s="1" t="s">
        <v>49</v>
      </c>
      <c r="C5" s="1" t="s">
        <v>52</v>
      </c>
      <c r="D5" s="1" t="s">
        <v>56</v>
      </c>
      <c r="E5" s="1">
        <v>130</v>
      </c>
      <c r="F5" s="1">
        <v>89</v>
      </c>
      <c r="G5" s="1">
        <v>219</v>
      </c>
      <c r="H5" s="1">
        <v>581</v>
      </c>
      <c r="I5" s="1">
        <v>701</v>
      </c>
      <c r="J5" s="1">
        <v>1282</v>
      </c>
      <c r="K5" s="1">
        <v>176</v>
      </c>
      <c r="L5" s="1">
        <v>272</v>
      </c>
      <c r="M5" s="1">
        <v>448</v>
      </c>
      <c r="N5" s="1">
        <v>47</v>
      </c>
      <c r="O5" s="1">
        <v>80</v>
      </c>
      <c r="P5" s="1">
        <v>127</v>
      </c>
      <c r="Q5" s="1">
        <v>22</v>
      </c>
      <c r="R5" s="1">
        <v>53</v>
      </c>
      <c r="S5" s="1">
        <v>75</v>
      </c>
      <c r="T5" s="1">
        <v>12</v>
      </c>
      <c r="U5" s="1">
        <v>12</v>
      </c>
      <c r="V5" s="1">
        <v>24</v>
      </c>
      <c r="W5" s="1">
        <f t="shared" ref="W5:X5" si="32">SUM(E5,H5,K5,N5,Q5,T5)</f>
        <v>968</v>
      </c>
      <c r="X5" s="1">
        <f t="shared" si="32"/>
        <v>1207</v>
      </c>
      <c r="Y5" s="1">
        <f t="shared" si="1"/>
        <v>2175</v>
      </c>
      <c r="Z5" s="1">
        <f t="shared" ref="Z5:AA5" si="33">W5-T5</f>
        <v>956</v>
      </c>
      <c r="AA5" s="1">
        <f t="shared" si="33"/>
        <v>1195</v>
      </c>
      <c r="AB5" s="1">
        <f t="shared" si="3"/>
        <v>2151</v>
      </c>
      <c r="AC5" s="1">
        <f t="shared" ref="AC5:AD5" si="34">SUM(E5,H5,K5,N5)</f>
        <v>934</v>
      </c>
      <c r="AD5" s="1">
        <f t="shared" si="34"/>
        <v>1142</v>
      </c>
      <c r="AE5" s="1">
        <f t="shared" si="5"/>
        <v>2076</v>
      </c>
      <c r="AF5" s="2">
        <f t="shared" ref="AF5:AH5" si="35">AC5/Z5</f>
        <v>0.97698744769874479</v>
      </c>
      <c r="AG5" s="2">
        <f t="shared" si="35"/>
        <v>0.95564853556485352</v>
      </c>
      <c r="AH5" s="2">
        <f t="shared" si="35"/>
        <v>0.96513249651324962</v>
      </c>
      <c r="AI5" s="1">
        <f t="shared" ref="AI5:AJ5" si="36">SUM(E5,H5,K5)</f>
        <v>887</v>
      </c>
      <c r="AJ5" s="1">
        <f t="shared" si="36"/>
        <v>1062</v>
      </c>
      <c r="AK5" s="1">
        <f t="shared" si="8"/>
        <v>1949</v>
      </c>
      <c r="AL5" s="2">
        <f t="shared" ref="AL5:AN5" si="37">AI5/Z5</f>
        <v>0.92782426778242677</v>
      </c>
      <c r="AM5" s="2">
        <f t="shared" si="37"/>
        <v>0.8887029288702929</v>
      </c>
      <c r="AN5" s="2">
        <f t="shared" si="37"/>
        <v>0.90609019060901907</v>
      </c>
      <c r="AO5" s="2">
        <f t="shared" ref="AO5:AQ5" si="38">E5/Z5</f>
        <v>0.13598326359832635</v>
      </c>
      <c r="AP5" s="2">
        <f t="shared" si="38"/>
        <v>7.4476987447698748E-2</v>
      </c>
      <c r="AQ5" s="2">
        <f t="shared" si="38"/>
        <v>0.10181311018131102</v>
      </c>
      <c r="AR5" s="2">
        <f t="shared" si="11"/>
        <v>5.5439330543933053E-2</v>
      </c>
      <c r="AS5" s="2">
        <f t="shared" ref="AS5:AT5" si="39">R5/AA5</f>
        <v>4.4351464435146447E-2</v>
      </c>
      <c r="AT5" s="2">
        <f t="shared" si="39"/>
        <v>3.4867503486750349E-2</v>
      </c>
      <c r="AU5" s="2">
        <f t="shared" ref="AU5:AW5" si="40">T5/W5</f>
        <v>1.2396694214876033E-2</v>
      </c>
      <c r="AV5" s="2">
        <f t="shared" si="13"/>
        <v>9.9420049710024858E-3</v>
      </c>
      <c r="AW5" s="2">
        <f t="shared" si="13"/>
        <v>1.1034482758620689E-2</v>
      </c>
    </row>
    <row r="6" spans="1:49" ht="15.75" customHeight="1" x14ac:dyDescent="0.15">
      <c r="A6" s="1">
        <v>2024</v>
      </c>
      <c r="B6" s="1" t="s">
        <v>49</v>
      </c>
      <c r="C6" s="1" t="s">
        <v>52</v>
      </c>
      <c r="D6" s="1" t="s">
        <v>57</v>
      </c>
      <c r="E6" s="1">
        <v>624</v>
      </c>
      <c r="F6" s="1">
        <v>524</v>
      </c>
      <c r="G6" s="1">
        <v>1148</v>
      </c>
      <c r="H6" s="1">
        <v>1983</v>
      </c>
      <c r="I6" s="1">
        <v>2344</v>
      </c>
      <c r="J6" s="1">
        <v>4327</v>
      </c>
      <c r="K6" s="1">
        <v>671</v>
      </c>
      <c r="L6" s="1">
        <v>1039</v>
      </c>
      <c r="M6" s="1">
        <v>1710</v>
      </c>
      <c r="N6" s="1">
        <v>167</v>
      </c>
      <c r="O6" s="1">
        <v>246</v>
      </c>
      <c r="P6" s="1">
        <v>413</v>
      </c>
      <c r="Q6" s="1">
        <v>81</v>
      </c>
      <c r="R6" s="1">
        <v>117</v>
      </c>
      <c r="S6" s="1">
        <v>198</v>
      </c>
      <c r="T6" s="1">
        <v>37</v>
      </c>
      <c r="U6" s="1">
        <v>45</v>
      </c>
      <c r="V6" s="1">
        <v>82</v>
      </c>
      <c r="W6" s="1">
        <f t="shared" ref="W6:X6" si="41">SUM(E6,H6,K6,N6,Q6,T6)</f>
        <v>3563</v>
      </c>
      <c r="X6" s="1">
        <f t="shared" si="41"/>
        <v>4315</v>
      </c>
      <c r="Y6" s="1">
        <f t="shared" si="1"/>
        <v>7878</v>
      </c>
      <c r="Z6" s="1">
        <f t="shared" ref="Z6:AA6" si="42">W6-T6</f>
        <v>3526</v>
      </c>
      <c r="AA6" s="1">
        <f t="shared" si="42"/>
        <v>4270</v>
      </c>
      <c r="AB6" s="1">
        <f t="shared" si="3"/>
        <v>7796</v>
      </c>
      <c r="AC6" s="1">
        <f t="shared" ref="AC6:AD6" si="43">SUM(E6,H6,K6,N6)</f>
        <v>3445</v>
      </c>
      <c r="AD6" s="1">
        <f t="shared" si="43"/>
        <v>4153</v>
      </c>
      <c r="AE6" s="1">
        <f t="shared" si="5"/>
        <v>7598</v>
      </c>
      <c r="AF6" s="2">
        <f t="shared" ref="AF6:AH6" si="44">AC6/Z6</f>
        <v>0.97702779353374924</v>
      </c>
      <c r="AG6" s="2">
        <f t="shared" si="44"/>
        <v>0.97259953161592505</v>
      </c>
      <c r="AH6" s="2">
        <f t="shared" si="44"/>
        <v>0.97460236018471014</v>
      </c>
      <c r="AI6" s="1">
        <f t="shared" ref="AI6:AJ6" si="45">SUM(E6,H6,K6)</f>
        <v>3278</v>
      </c>
      <c r="AJ6" s="1">
        <f t="shared" si="45"/>
        <v>3907</v>
      </c>
      <c r="AK6" s="1">
        <f t="shared" si="8"/>
        <v>7185</v>
      </c>
      <c r="AL6" s="2">
        <f t="shared" ref="AL6:AN6" si="46">AI6/Z6</f>
        <v>0.92966534316505955</v>
      </c>
      <c r="AM6" s="2">
        <f t="shared" si="46"/>
        <v>0.91498829039812646</v>
      </c>
      <c r="AN6" s="2">
        <f t="shared" si="46"/>
        <v>0.92162647511544382</v>
      </c>
      <c r="AO6" s="2">
        <f t="shared" ref="AO6:AQ6" si="47">E6/Z6</f>
        <v>0.17697107203630175</v>
      </c>
      <c r="AP6" s="2">
        <f t="shared" si="47"/>
        <v>0.12271662763466042</v>
      </c>
      <c r="AQ6" s="2">
        <f t="shared" si="47"/>
        <v>0.14725500256541815</v>
      </c>
      <c r="AR6" s="2">
        <f t="shared" si="11"/>
        <v>3.3182076006806581E-2</v>
      </c>
      <c r="AS6" s="2">
        <f t="shared" ref="AS6:AT6" si="48">R6/AA6</f>
        <v>2.7400468384074943E-2</v>
      </c>
      <c r="AT6" s="2">
        <f t="shared" si="48"/>
        <v>2.5397639815289891E-2</v>
      </c>
      <c r="AU6" s="2">
        <f t="shared" ref="AU6:AW6" si="49">T6/W6</f>
        <v>1.0384507437552624E-2</v>
      </c>
      <c r="AV6" s="2">
        <f t="shared" si="13"/>
        <v>1.0428736964078795E-2</v>
      </c>
      <c r="AW6" s="2">
        <f t="shared" si="13"/>
        <v>1.0408733181010408E-2</v>
      </c>
    </row>
    <row r="7" spans="1:49" ht="15.75" customHeight="1" x14ac:dyDescent="0.15">
      <c r="A7" s="1">
        <v>2024</v>
      </c>
      <c r="B7" s="1" t="s">
        <v>49</v>
      </c>
      <c r="C7" s="1" t="s">
        <v>54</v>
      </c>
      <c r="D7" s="1" t="s">
        <v>58</v>
      </c>
      <c r="E7" s="1">
        <v>343</v>
      </c>
      <c r="F7" s="1">
        <v>269</v>
      </c>
      <c r="G7" s="1">
        <v>612</v>
      </c>
      <c r="H7" s="1">
        <v>786</v>
      </c>
      <c r="I7" s="1">
        <v>1039</v>
      </c>
      <c r="J7" s="1">
        <v>1825</v>
      </c>
      <c r="K7" s="1">
        <v>117</v>
      </c>
      <c r="L7" s="1">
        <v>186</v>
      </c>
      <c r="M7" s="1">
        <v>303</v>
      </c>
      <c r="N7" s="1">
        <v>46</v>
      </c>
      <c r="O7" s="1">
        <v>66</v>
      </c>
      <c r="P7" s="1">
        <v>112</v>
      </c>
      <c r="Q7" s="1">
        <v>16</v>
      </c>
      <c r="R7" s="1">
        <v>21</v>
      </c>
      <c r="S7" s="1">
        <v>37</v>
      </c>
      <c r="T7" s="1">
        <v>19</v>
      </c>
      <c r="U7" s="1">
        <v>16</v>
      </c>
      <c r="V7" s="1">
        <v>35</v>
      </c>
      <c r="W7" s="1">
        <f t="shared" ref="W7:X7" si="50">SUM(E7,H7,K7,N7,Q7,T7)</f>
        <v>1327</v>
      </c>
      <c r="X7" s="1">
        <f t="shared" si="50"/>
        <v>1597</v>
      </c>
      <c r="Y7" s="1">
        <f t="shared" si="1"/>
        <v>2924</v>
      </c>
      <c r="Z7" s="1">
        <f t="shared" ref="Z7:AA7" si="51">W7-T7</f>
        <v>1308</v>
      </c>
      <c r="AA7" s="1">
        <f t="shared" si="51"/>
        <v>1581</v>
      </c>
      <c r="AB7" s="1">
        <f t="shared" si="3"/>
        <v>2889</v>
      </c>
      <c r="AC7" s="1">
        <f t="shared" ref="AC7:AD7" si="52">SUM(E7,H7,K7,N7)</f>
        <v>1292</v>
      </c>
      <c r="AD7" s="1">
        <f t="shared" si="52"/>
        <v>1560</v>
      </c>
      <c r="AE7" s="1">
        <f t="shared" si="5"/>
        <v>2852</v>
      </c>
      <c r="AF7" s="2">
        <f t="shared" ref="AF7:AH7" si="53">AC7/Z7</f>
        <v>0.98776758409785936</v>
      </c>
      <c r="AG7" s="2">
        <f t="shared" si="53"/>
        <v>0.98671726755218214</v>
      </c>
      <c r="AH7" s="2">
        <f t="shared" si="53"/>
        <v>0.98719280027691247</v>
      </c>
      <c r="AI7" s="1">
        <f t="shared" ref="AI7:AJ7" si="54">SUM(E7,H7,K7)</f>
        <v>1246</v>
      </c>
      <c r="AJ7" s="1">
        <f t="shared" si="54"/>
        <v>1494</v>
      </c>
      <c r="AK7" s="1">
        <f t="shared" si="8"/>
        <v>2740</v>
      </c>
      <c r="AL7" s="2">
        <f t="shared" ref="AL7:AN7" si="55">AI7/Z7</f>
        <v>0.95259938837920488</v>
      </c>
      <c r="AM7" s="2">
        <f t="shared" si="55"/>
        <v>0.94497153700189751</v>
      </c>
      <c r="AN7" s="2">
        <f t="shared" si="55"/>
        <v>0.9484250605745933</v>
      </c>
      <c r="AO7" s="2">
        <f t="shared" ref="AO7:AQ7" si="56">E7/Z7</f>
        <v>0.26223241590214069</v>
      </c>
      <c r="AP7" s="2">
        <f t="shared" si="56"/>
        <v>0.17014547754585704</v>
      </c>
      <c r="AQ7" s="2">
        <f t="shared" si="56"/>
        <v>0.21183800623052959</v>
      </c>
      <c r="AR7" s="2">
        <f t="shared" si="11"/>
        <v>1.6055045871559634E-2</v>
      </c>
      <c r="AS7" s="2">
        <f t="shared" ref="AS7:AT7" si="57">R7/AA7</f>
        <v>1.3282732447817837E-2</v>
      </c>
      <c r="AT7" s="2">
        <f t="shared" si="57"/>
        <v>1.2807199723087574E-2</v>
      </c>
      <c r="AU7" s="2">
        <f t="shared" ref="AU7:AW7" si="58">T7/W7</f>
        <v>1.4318010550113038E-2</v>
      </c>
      <c r="AV7" s="2">
        <f t="shared" si="13"/>
        <v>1.0018785222291797E-2</v>
      </c>
      <c r="AW7" s="2">
        <f t="shared" si="13"/>
        <v>1.1969904240766074E-2</v>
      </c>
    </row>
    <row r="8" spans="1:49" ht="15.75" customHeight="1" x14ac:dyDescent="0.15">
      <c r="A8" s="1">
        <v>2024</v>
      </c>
      <c r="B8" s="1" t="s">
        <v>49</v>
      </c>
      <c r="C8" s="1" t="s">
        <v>59</v>
      </c>
      <c r="D8" s="1" t="s">
        <v>60</v>
      </c>
      <c r="E8" s="1">
        <v>43</v>
      </c>
      <c r="F8" s="1">
        <v>21</v>
      </c>
      <c r="G8" s="1">
        <v>64</v>
      </c>
      <c r="H8" s="1">
        <v>1067</v>
      </c>
      <c r="I8" s="1">
        <v>929</v>
      </c>
      <c r="J8" s="1">
        <v>1996</v>
      </c>
      <c r="K8" s="1">
        <v>928</v>
      </c>
      <c r="L8" s="1">
        <v>1259</v>
      </c>
      <c r="M8" s="1">
        <v>2187</v>
      </c>
      <c r="N8" s="1">
        <v>437</v>
      </c>
      <c r="O8" s="1">
        <v>643</v>
      </c>
      <c r="P8" s="1">
        <v>1080</v>
      </c>
      <c r="Q8" s="1">
        <v>536</v>
      </c>
      <c r="R8" s="1">
        <v>719</v>
      </c>
      <c r="S8" s="1">
        <v>1255</v>
      </c>
      <c r="T8" s="1">
        <v>21</v>
      </c>
      <c r="U8" s="1">
        <v>24</v>
      </c>
      <c r="V8" s="1">
        <v>45</v>
      </c>
      <c r="W8" s="1">
        <f t="shared" ref="W8:X8" si="59">SUM(E8,H8,K8,N8,Q8,T8)</f>
        <v>3032</v>
      </c>
      <c r="X8" s="1">
        <f t="shared" si="59"/>
        <v>3595</v>
      </c>
      <c r="Y8" s="1">
        <f t="shared" si="1"/>
        <v>6627</v>
      </c>
      <c r="Z8" s="1">
        <f t="shared" ref="Z8:AA8" si="60">W8-T8</f>
        <v>3011</v>
      </c>
      <c r="AA8" s="1">
        <f t="shared" si="60"/>
        <v>3571</v>
      </c>
      <c r="AB8" s="1">
        <f t="shared" si="3"/>
        <v>6582</v>
      </c>
      <c r="AC8" s="1">
        <f t="shared" ref="AC8:AD8" si="61">SUM(E8,H8,K8,N8)</f>
        <v>2475</v>
      </c>
      <c r="AD8" s="1">
        <f t="shared" si="61"/>
        <v>2852</v>
      </c>
      <c r="AE8" s="1">
        <f t="shared" si="5"/>
        <v>5327</v>
      </c>
      <c r="AF8" s="2">
        <f t="shared" ref="AF8:AH8" si="62">AC8/Z8</f>
        <v>0.8219860511457987</v>
      </c>
      <c r="AG8" s="2">
        <f t="shared" si="62"/>
        <v>0.79865583870064405</v>
      </c>
      <c r="AH8" s="2">
        <f t="shared" si="62"/>
        <v>0.80932847158918264</v>
      </c>
      <c r="AI8" s="1">
        <f t="shared" ref="AI8:AJ8" si="63">SUM(E8,H8,K8)</f>
        <v>2038</v>
      </c>
      <c r="AJ8" s="1">
        <f t="shared" si="63"/>
        <v>2209</v>
      </c>
      <c r="AK8" s="1">
        <f t="shared" si="8"/>
        <v>4247</v>
      </c>
      <c r="AL8" s="2">
        <f t="shared" ref="AL8:AN8" si="64">AI8/Z8</f>
        <v>0.67685154433742944</v>
      </c>
      <c r="AM8" s="2">
        <f t="shared" si="64"/>
        <v>0.61859423130775693</v>
      </c>
      <c r="AN8" s="2">
        <f t="shared" si="64"/>
        <v>0.64524460650258275</v>
      </c>
      <c r="AO8" s="2">
        <f t="shared" ref="AO8:AQ8" si="65">E8/Z8</f>
        <v>1.4280969777482564E-2</v>
      </c>
      <c r="AP8" s="2">
        <f t="shared" si="65"/>
        <v>5.8807056846821616E-3</v>
      </c>
      <c r="AQ8" s="2">
        <f t="shared" si="65"/>
        <v>9.7234883014281365E-3</v>
      </c>
      <c r="AR8" s="2">
        <f t="shared" si="11"/>
        <v>0.23879109930255729</v>
      </c>
      <c r="AS8" s="2">
        <f t="shared" ref="AS8:AT8" si="66">R8/AA8</f>
        <v>0.20134416129935592</v>
      </c>
      <c r="AT8" s="2">
        <f t="shared" si="66"/>
        <v>0.19067152841081739</v>
      </c>
      <c r="AU8" s="2">
        <f t="shared" ref="AU8:AW8" si="67">T8/W8</f>
        <v>6.9261213720316619E-3</v>
      </c>
      <c r="AV8" s="2">
        <f t="shared" si="13"/>
        <v>6.6759388038942977E-3</v>
      </c>
      <c r="AW8" s="2">
        <f t="shared" si="13"/>
        <v>6.7904028972385691E-3</v>
      </c>
    </row>
    <row r="9" spans="1:49" ht="15.75" customHeight="1" x14ac:dyDescent="0.15">
      <c r="A9" s="1">
        <v>2024</v>
      </c>
      <c r="B9" s="1" t="s">
        <v>49</v>
      </c>
      <c r="C9" s="1" t="s">
        <v>54</v>
      </c>
      <c r="D9" s="1" t="s">
        <v>61</v>
      </c>
      <c r="E9" s="1">
        <v>800</v>
      </c>
      <c r="F9" s="1">
        <v>634</v>
      </c>
      <c r="G9" s="1">
        <v>1434</v>
      </c>
      <c r="H9" s="1">
        <v>1807</v>
      </c>
      <c r="I9" s="1">
        <v>2057</v>
      </c>
      <c r="J9" s="1">
        <v>3864</v>
      </c>
      <c r="K9" s="1">
        <v>265</v>
      </c>
      <c r="L9" s="1">
        <v>379</v>
      </c>
      <c r="M9" s="1">
        <v>644</v>
      </c>
      <c r="N9" s="1">
        <v>111</v>
      </c>
      <c r="O9" s="1">
        <v>115</v>
      </c>
      <c r="P9" s="1">
        <v>226</v>
      </c>
      <c r="Q9" s="1">
        <v>64</v>
      </c>
      <c r="R9" s="1">
        <v>68</v>
      </c>
      <c r="S9" s="1">
        <v>132</v>
      </c>
      <c r="T9" s="1">
        <v>32</v>
      </c>
      <c r="U9" s="1">
        <v>24</v>
      </c>
      <c r="V9" s="1">
        <v>56</v>
      </c>
      <c r="W9" s="1">
        <f t="shared" ref="W9:X9" si="68">SUM(E9,H9,K9,N9,Q9,T9)</f>
        <v>3079</v>
      </c>
      <c r="X9" s="1">
        <f t="shared" si="68"/>
        <v>3277</v>
      </c>
      <c r="Y9" s="1">
        <f t="shared" si="1"/>
        <v>6356</v>
      </c>
      <c r="Z9" s="1">
        <f t="shared" ref="Z9:AA9" si="69">W9-T9</f>
        <v>3047</v>
      </c>
      <c r="AA9" s="1">
        <f t="shared" si="69"/>
        <v>3253</v>
      </c>
      <c r="AB9" s="1">
        <f t="shared" si="3"/>
        <v>6300</v>
      </c>
      <c r="AC9" s="1">
        <f t="shared" ref="AC9:AD9" si="70">SUM(E9,H9,K9,N9)</f>
        <v>2983</v>
      </c>
      <c r="AD9" s="1">
        <f t="shared" si="70"/>
        <v>3185</v>
      </c>
      <c r="AE9" s="1">
        <f t="shared" si="5"/>
        <v>6168</v>
      </c>
      <c r="AF9" s="2">
        <f t="shared" ref="AF9:AH9" si="71">AC9/Z9</f>
        <v>0.97899573350836888</v>
      </c>
      <c r="AG9" s="2">
        <f t="shared" si="71"/>
        <v>0.97909621887488474</v>
      </c>
      <c r="AH9" s="2">
        <f t="shared" si="71"/>
        <v>0.97904761904761906</v>
      </c>
      <c r="AI9" s="1">
        <f t="shared" ref="AI9:AJ9" si="72">SUM(E9,H9,K9)</f>
        <v>2872</v>
      </c>
      <c r="AJ9" s="1">
        <f t="shared" si="72"/>
        <v>3070</v>
      </c>
      <c r="AK9" s="1">
        <f t="shared" si="8"/>
        <v>5942</v>
      </c>
      <c r="AL9" s="2">
        <f t="shared" ref="AL9:AN9" si="73">AI9/Z9</f>
        <v>0.94256645881194623</v>
      </c>
      <c r="AM9" s="2">
        <f t="shared" si="73"/>
        <v>0.94374423608976332</v>
      </c>
      <c r="AN9" s="2">
        <f t="shared" si="73"/>
        <v>0.94317460317460322</v>
      </c>
      <c r="AO9" s="2">
        <f t="shared" ref="AO9:AQ9" si="74">E9/Z9</f>
        <v>0.26255333114538892</v>
      </c>
      <c r="AP9" s="2">
        <f t="shared" si="74"/>
        <v>0.19489701813710422</v>
      </c>
      <c r="AQ9" s="2">
        <f t="shared" si="74"/>
        <v>0.22761904761904761</v>
      </c>
      <c r="AR9" s="2">
        <f t="shared" si="11"/>
        <v>2.2317033147358056E-2</v>
      </c>
      <c r="AS9" s="2">
        <f t="shared" ref="AS9:AT9" si="75">R9/AA9</f>
        <v>2.0903781125115279E-2</v>
      </c>
      <c r="AT9" s="2">
        <f t="shared" si="75"/>
        <v>2.0952380952380951E-2</v>
      </c>
      <c r="AU9" s="2">
        <f t="shared" ref="AU9:AW9" si="76">T9/W9</f>
        <v>1.039298473530367E-2</v>
      </c>
      <c r="AV9" s="2">
        <f t="shared" si="13"/>
        <v>7.3237717424473603E-3</v>
      </c>
      <c r="AW9" s="2">
        <f t="shared" si="13"/>
        <v>8.8105726872246704E-3</v>
      </c>
    </row>
    <row r="10" spans="1:49" ht="15.75" customHeight="1" x14ac:dyDescent="0.15">
      <c r="A10" s="1">
        <v>2024</v>
      </c>
      <c r="B10" s="1" t="s">
        <v>49</v>
      </c>
      <c r="C10" s="1" t="s">
        <v>62</v>
      </c>
      <c r="D10" s="1" t="s">
        <v>63</v>
      </c>
      <c r="E10" s="1">
        <v>81</v>
      </c>
      <c r="F10" s="1">
        <v>47</v>
      </c>
      <c r="G10" s="1">
        <v>128</v>
      </c>
      <c r="H10" s="1">
        <v>865</v>
      </c>
      <c r="I10" s="1">
        <v>799</v>
      </c>
      <c r="J10" s="1">
        <v>1664</v>
      </c>
      <c r="K10" s="1">
        <v>724</v>
      </c>
      <c r="L10" s="1">
        <v>1001</v>
      </c>
      <c r="M10" s="1">
        <v>1725</v>
      </c>
      <c r="N10" s="1">
        <v>380</v>
      </c>
      <c r="O10" s="1">
        <v>437</v>
      </c>
      <c r="P10" s="1">
        <v>817</v>
      </c>
      <c r="Q10" s="1">
        <v>378</v>
      </c>
      <c r="R10" s="1">
        <v>618</v>
      </c>
      <c r="S10" s="1">
        <v>996</v>
      </c>
      <c r="T10" s="1">
        <v>30</v>
      </c>
      <c r="U10" s="1">
        <v>48</v>
      </c>
      <c r="V10" s="1">
        <v>78</v>
      </c>
      <c r="W10" s="1">
        <f t="shared" ref="W10:X10" si="77">SUM(E10,H10,K10,N10,Q10,T10)</f>
        <v>2458</v>
      </c>
      <c r="X10" s="1">
        <f t="shared" si="77"/>
        <v>2950</v>
      </c>
      <c r="Y10" s="1">
        <f t="shared" si="1"/>
        <v>5408</v>
      </c>
      <c r="Z10" s="1">
        <f t="shared" ref="Z10:AA10" si="78">W10-T10</f>
        <v>2428</v>
      </c>
      <c r="AA10" s="1">
        <f t="shared" si="78"/>
        <v>2902</v>
      </c>
      <c r="AB10" s="1">
        <f t="shared" si="3"/>
        <v>5330</v>
      </c>
      <c r="AC10" s="1">
        <f t="shared" ref="AC10:AD10" si="79">SUM(E10,H10,K10,N10)</f>
        <v>2050</v>
      </c>
      <c r="AD10" s="1">
        <f t="shared" si="79"/>
        <v>2284</v>
      </c>
      <c r="AE10" s="1">
        <f t="shared" si="5"/>
        <v>4334</v>
      </c>
      <c r="AF10" s="2">
        <f t="shared" ref="AF10:AH10" si="80">AC10/Z10</f>
        <v>0.8443163097199341</v>
      </c>
      <c r="AG10" s="2">
        <f t="shared" si="80"/>
        <v>0.78704341833218472</v>
      </c>
      <c r="AH10" s="2">
        <f t="shared" si="80"/>
        <v>0.81313320825515945</v>
      </c>
      <c r="AI10" s="1">
        <f t="shared" ref="AI10:AJ10" si="81">SUM(E10,H10,K10)</f>
        <v>1670</v>
      </c>
      <c r="AJ10" s="1">
        <f t="shared" si="81"/>
        <v>1847</v>
      </c>
      <c r="AK10" s="1">
        <f t="shared" si="8"/>
        <v>3517</v>
      </c>
      <c r="AL10" s="2">
        <f t="shared" ref="AL10:AN10" si="82">AI10/Z10</f>
        <v>0.68780889621087316</v>
      </c>
      <c r="AM10" s="2">
        <f t="shared" si="82"/>
        <v>0.63645761543762924</v>
      </c>
      <c r="AN10" s="2">
        <f t="shared" si="82"/>
        <v>0.65984990619136963</v>
      </c>
      <c r="AO10" s="2">
        <f t="shared" ref="AO10:AQ10" si="83">E10/Z10</f>
        <v>3.3360790774299834E-2</v>
      </c>
      <c r="AP10" s="2">
        <f t="shared" si="83"/>
        <v>1.6195727084769126E-2</v>
      </c>
      <c r="AQ10" s="2">
        <f t="shared" si="83"/>
        <v>2.4015009380863039E-2</v>
      </c>
      <c r="AR10" s="2">
        <f t="shared" si="11"/>
        <v>0.2545304777594728</v>
      </c>
      <c r="AS10" s="2">
        <f t="shared" ref="AS10:AT10" si="84">R10/AA10</f>
        <v>0.21295658166781531</v>
      </c>
      <c r="AT10" s="2">
        <f t="shared" si="84"/>
        <v>0.18686679174484053</v>
      </c>
      <c r="AU10" s="2">
        <f t="shared" ref="AU10:AW10" si="85">T10/W10</f>
        <v>1.2205044751830757E-2</v>
      </c>
      <c r="AV10" s="2">
        <f t="shared" si="13"/>
        <v>1.6271186440677966E-2</v>
      </c>
      <c r="AW10" s="2">
        <f t="shared" si="13"/>
        <v>1.4423076923076924E-2</v>
      </c>
    </row>
    <row r="11" spans="1:49" ht="15.75" customHeight="1" x14ac:dyDescent="0.15">
      <c r="A11" s="1">
        <v>2024</v>
      </c>
      <c r="B11" s="1" t="s">
        <v>49</v>
      </c>
      <c r="C11" s="1" t="s">
        <v>59</v>
      </c>
      <c r="D11" s="1" t="s">
        <v>64</v>
      </c>
      <c r="E11" s="1">
        <v>230</v>
      </c>
      <c r="F11" s="1">
        <v>194</v>
      </c>
      <c r="G11" s="1">
        <v>424</v>
      </c>
      <c r="H11" s="1">
        <v>1499</v>
      </c>
      <c r="I11" s="1">
        <v>1476</v>
      </c>
      <c r="J11" s="1">
        <v>2975</v>
      </c>
      <c r="K11" s="1">
        <v>982</v>
      </c>
      <c r="L11" s="1">
        <v>1292</v>
      </c>
      <c r="M11" s="1">
        <v>2274</v>
      </c>
      <c r="N11" s="1">
        <v>466</v>
      </c>
      <c r="O11" s="1">
        <v>507</v>
      </c>
      <c r="P11" s="1">
        <v>973</v>
      </c>
      <c r="Q11" s="1">
        <v>447</v>
      </c>
      <c r="R11" s="1">
        <v>650</v>
      </c>
      <c r="S11" s="1">
        <v>1097</v>
      </c>
      <c r="T11" s="1">
        <v>23</v>
      </c>
      <c r="U11" s="1">
        <v>27</v>
      </c>
      <c r="V11" s="1">
        <v>50</v>
      </c>
      <c r="W11" s="1">
        <f t="shared" ref="W11:X11" si="86">SUM(E11,H11,K11,N11,Q11,T11)</f>
        <v>3647</v>
      </c>
      <c r="X11" s="1">
        <f t="shared" si="86"/>
        <v>4146</v>
      </c>
      <c r="Y11" s="1">
        <f t="shared" si="1"/>
        <v>7793</v>
      </c>
      <c r="Z11" s="1">
        <f t="shared" ref="Z11:AA11" si="87">W11-T11</f>
        <v>3624</v>
      </c>
      <c r="AA11" s="1">
        <f t="shared" si="87"/>
        <v>4119</v>
      </c>
      <c r="AB11" s="1">
        <f t="shared" si="3"/>
        <v>7743</v>
      </c>
      <c r="AC11" s="1">
        <f t="shared" ref="AC11:AD11" si="88">SUM(E11,H11,K11,N11)</f>
        <v>3177</v>
      </c>
      <c r="AD11" s="1">
        <f t="shared" si="88"/>
        <v>3469</v>
      </c>
      <c r="AE11" s="1">
        <f t="shared" si="5"/>
        <v>6646</v>
      </c>
      <c r="AF11" s="2">
        <f t="shared" ref="AF11:AH11" si="89">AC11/Z11</f>
        <v>0.8766556291390728</v>
      </c>
      <c r="AG11" s="2">
        <f t="shared" si="89"/>
        <v>0.8421947074532653</v>
      </c>
      <c r="AH11" s="2">
        <f t="shared" si="89"/>
        <v>0.8583236471651815</v>
      </c>
      <c r="AI11" s="1">
        <f t="shared" ref="AI11:AJ11" si="90">SUM(E11,H11,K11)</f>
        <v>2711</v>
      </c>
      <c r="AJ11" s="1">
        <f t="shared" si="90"/>
        <v>2962</v>
      </c>
      <c r="AK11" s="1">
        <f t="shared" si="8"/>
        <v>5673</v>
      </c>
      <c r="AL11" s="2">
        <f t="shared" ref="AL11:AN11" si="91">AI11/Z11</f>
        <v>0.7480684326710817</v>
      </c>
      <c r="AM11" s="2">
        <f t="shared" si="91"/>
        <v>0.71910657926681232</v>
      </c>
      <c r="AN11" s="2">
        <f t="shared" si="91"/>
        <v>0.73266175900813635</v>
      </c>
      <c r="AO11" s="2">
        <f t="shared" ref="AO11:AQ11" si="92">E11/Z11</f>
        <v>6.3465783664459166E-2</v>
      </c>
      <c r="AP11" s="2">
        <f t="shared" si="92"/>
        <v>4.7098810390871569E-2</v>
      </c>
      <c r="AQ11" s="2">
        <f t="shared" si="92"/>
        <v>5.4759137285289937E-2</v>
      </c>
      <c r="AR11" s="2">
        <f t="shared" si="11"/>
        <v>0.1793598233995585</v>
      </c>
      <c r="AS11" s="2">
        <f t="shared" ref="AS11:AT11" si="93">R11/AA11</f>
        <v>0.15780529254673464</v>
      </c>
      <c r="AT11" s="2">
        <f t="shared" si="93"/>
        <v>0.14167635283481855</v>
      </c>
      <c r="AU11" s="2">
        <f t="shared" ref="AU11:AW11" si="94">T11/W11</f>
        <v>6.3065533315053469E-3</v>
      </c>
      <c r="AV11" s="2">
        <f t="shared" si="13"/>
        <v>6.5123010130246021E-3</v>
      </c>
      <c r="AW11" s="2">
        <f t="shared" si="13"/>
        <v>6.416014371872193E-3</v>
      </c>
    </row>
    <row r="12" spans="1:49" ht="15.75" customHeight="1" x14ac:dyDescent="0.15">
      <c r="A12" s="1">
        <v>2024</v>
      </c>
      <c r="B12" s="1" t="s">
        <v>49</v>
      </c>
      <c r="C12" s="1" t="s">
        <v>50</v>
      </c>
      <c r="D12" s="1" t="s">
        <v>65</v>
      </c>
      <c r="E12" s="1">
        <v>292</v>
      </c>
      <c r="F12" s="1">
        <v>217</v>
      </c>
      <c r="G12" s="1">
        <v>509</v>
      </c>
      <c r="H12" s="1">
        <v>1311</v>
      </c>
      <c r="I12" s="1">
        <v>1389</v>
      </c>
      <c r="J12" s="1">
        <v>2700</v>
      </c>
      <c r="K12" s="1">
        <v>468</v>
      </c>
      <c r="L12" s="1">
        <v>762</v>
      </c>
      <c r="M12" s="1">
        <v>1230</v>
      </c>
      <c r="N12" s="1">
        <v>247</v>
      </c>
      <c r="O12" s="1">
        <v>333</v>
      </c>
      <c r="P12" s="1">
        <v>580</v>
      </c>
      <c r="Q12" s="1">
        <v>171</v>
      </c>
      <c r="R12" s="1">
        <v>282</v>
      </c>
      <c r="S12" s="1">
        <v>453</v>
      </c>
      <c r="T12" s="1">
        <v>69</v>
      </c>
      <c r="U12" s="1">
        <v>85</v>
      </c>
      <c r="V12" s="1">
        <v>154</v>
      </c>
      <c r="W12" s="1">
        <f t="shared" ref="W12:X12" si="95">SUM(E12,H12,K12,N12,Q12,T12)</f>
        <v>2558</v>
      </c>
      <c r="X12" s="1">
        <f t="shared" si="95"/>
        <v>3068</v>
      </c>
      <c r="Y12" s="1">
        <f t="shared" si="1"/>
        <v>5626</v>
      </c>
      <c r="Z12" s="1">
        <f t="shared" ref="Z12:AA12" si="96">W12-T12</f>
        <v>2489</v>
      </c>
      <c r="AA12" s="1">
        <f t="shared" si="96"/>
        <v>2983</v>
      </c>
      <c r="AB12" s="1">
        <f t="shared" si="3"/>
        <v>5472</v>
      </c>
      <c r="AC12" s="1">
        <f t="shared" ref="AC12:AD12" si="97">SUM(E12,H12,K12,N12)</f>
        <v>2318</v>
      </c>
      <c r="AD12" s="1">
        <f t="shared" si="97"/>
        <v>2701</v>
      </c>
      <c r="AE12" s="1">
        <f t="shared" si="5"/>
        <v>5019</v>
      </c>
      <c r="AF12" s="2">
        <f t="shared" ref="AF12:AH12" si="98">AC12/Z12</f>
        <v>0.93129770992366412</v>
      </c>
      <c r="AG12" s="2">
        <f t="shared" si="98"/>
        <v>0.90546429768689241</v>
      </c>
      <c r="AH12" s="2">
        <f t="shared" si="98"/>
        <v>0.91721491228070173</v>
      </c>
      <c r="AI12" s="1">
        <f t="shared" ref="AI12:AJ12" si="99">SUM(E12,H12,K12)</f>
        <v>2071</v>
      </c>
      <c r="AJ12" s="1">
        <f t="shared" si="99"/>
        <v>2368</v>
      </c>
      <c r="AK12" s="1">
        <f t="shared" si="8"/>
        <v>4439</v>
      </c>
      <c r="AL12" s="2">
        <f t="shared" ref="AL12:AN12" si="100">AI12/Z12</f>
        <v>0.83206106870229013</v>
      </c>
      <c r="AM12" s="2">
        <f t="shared" si="100"/>
        <v>0.79383171304056321</v>
      </c>
      <c r="AN12" s="2">
        <f t="shared" si="100"/>
        <v>0.81122076023391809</v>
      </c>
      <c r="AO12" s="2">
        <f t="shared" ref="AO12:AQ12" si="101">E12/Z12</f>
        <v>0.11731619124146243</v>
      </c>
      <c r="AP12" s="2">
        <f t="shared" si="101"/>
        <v>7.2745558162923232E-2</v>
      </c>
      <c r="AQ12" s="2">
        <f t="shared" si="101"/>
        <v>9.3019005847953209E-2</v>
      </c>
      <c r="AR12" s="2">
        <f t="shared" si="11"/>
        <v>0.11329851345922057</v>
      </c>
      <c r="AS12" s="2">
        <f t="shared" ref="AS12:AT12" si="102">R12/AA12</f>
        <v>9.4535702313107609E-2</v>
      </c>
      <c r="AT12" s="2">
        <f t="shared" si="102"/>
        <v>8.2785087719298239E-2</v>
      </c>
      <c r="AU12" s="2">
        <f t="shared" ref="AU12:AW12" si="103">T12/W12</f>
        <v>2.697419859265051E-2</v>
      </c>
      <c r="AV12" s="2">
        <f t="shared" si="13"/>
        <v>2.7705345501955671E-2</v>
      </c>
      <c r="AW12" s="2">
        <f t="shared" si="13"/>
        <v>2.7372911482403128E-2</v>
      </c>
    </row>
    <row r="13" spans="1:49" ht="15.75" customHeight="1" x14ac:dyDescent="0.15">
      <c r="A13" s="1">
        <v>2024</v>
      </c>
      <c r="B13" s="1" t="s">
        <v>66</v>
      </c>
      <c r="C13" s="1" t="s">
        <v>67</v>
      </c>
      <c r="D13" s="1" t="s">
        <v>68</v>
      </c>
      <c r="E13" s="1">
        <v>42</v>
      </c>
      <c r="F13" s="1">
        <v>5</v>
      </c>
      <c r="G13" s="1">
        <v>47</v>
      </c>
      <c r="H13" s="1">
        <v>1132</v>
      </c>
      <c r="I13" s="1">
        <v>335</v>
      </c>
      <c r="J13" s="1">
        <v>1467</v>
      </c>
      <c r="K13" s="1">
        <v>993</v>
      </c>
      <c r="L13" s="1">
        <v>706</v>
      </c>
      <c r="M13" s="1">
        <v>1699</v>
      </c>
      <c r="N13" s="1">
        <v>575</v>
      </c>
      <c r="O13" s="1">
        <v>284</v>
      </c>
      <c r="P13" s="1">
        <v>859</v>
      </c>
      <c r="Q13" s="1">
        <v>323</v>
      </c>
      <c r="R13" s="1">
        <v>296</v>
      </c>
      <c r="S13" s="1">
        <v>619</v>
      </c>
      <c r="T13" s="1">
        <v>45</v>
      </c>
      <c r="U13" s="1">
        <v>34</v>
      </c>
      <c r="V13" s="1">
        <v>79</v>
      </c>
      <c r="W13" s="1">
        <f t="shared" ref="W13:X13" si="104">SUM(E13,H13,K13,N13,Q13,T13)</f>
        <v>3110</v>
      </c>
      <c r="X13" s="1">
        <f t="shared" si="104"/>
        <v>1660</v>
      </c>
      <c r="Y13" s="1">
        <f t="shared" si="1"/>
        <v>4770</v>
      </c>
      <c r="Z13" s="1">
        <f t="shared" ref="Z13:AA13" si="105">W13-T13</f>
        <v>3065</v>
      </c>
      <c r="AA13" s="1">
        <f t="shared" si="105"/>
        <v>1626</v>
      </c>
      <c r="AB13" s="1">
        <f t="shared" si="3"/>
        <v>4691</v>
      </c>
      <c r="AC13" s="1">
        <f t="shared" ref="AC13:AD13" si="106">SUM(E13,H13,K13,N13)</f>
        <v>2742</v>
      </c>
      <c r="AD13" s="1">
        <f t="shared" si="106"/>
        <v>1330</v>
      </c>
      <c r="AE13" s="1">
        <f t="shared" si="5"/>
        <v>4072</v>
      </c>
      <c r="AF13" s="2">
        <f t="shared" ref="AF13:AH13" si="107">AC13/Z13</f>
        <v>0.8946166394779772</v>
      </c>
      <c r="AG13" s="2">
        <f t="shared" si="107"/>
        <v>0.81795817958179584</v>
      </c>
      <c r="AH13" s="2">
        <f t="shared" si="107"/>
        <v>0.86804519292261773</v>
      </c>
      <c r="AI13" s="1">
        <f t="shared" ref="AI13:AJ13" si="108">SUM(E13,H13,K13)</f>
        <v>2167</v>
      </c>
      <c r="AJ13" s="1">
        <f t="shared" si="108"/>
        <v>1046</v>
      </c>
      <c r="AK13" s="1">
        <f t="shared" si="8"/>
        <v>3213</v>
      </c>
      <c r="AL13" s="2">
        <f t="shared" ref="AL13:AN13" si="109">AI13/Z13</f>
        <v>0.70701468189233274</v>
      </c>
      <c r="AM13" s="2">
        <f t="shared" si="109"/>
        <v>0.64329643296432959</v>
      </c>
      <c r="AN13" s="2">
        <f t="shared" si="109"/>
        <v>0.68492858665529743</v>
      </c>
      <c r="AO13" s="2">
        <f t="shared" ref="AO13:AQ13" si="110">E13/Z13</f>
        <v>1.3703099510603589E-2</v>
      </c>
      <c r="AP13" s="2">
        <f t="shared" si="110"/>
        <v>3.0750307503075031E-3</v>
      </c>
      <c r="AQ13" s="2">
        <f t="shared" si="110"/>
        <v>1.0019185674696228E-2</v>
      </c>
      <c r="AR13" s="2">
        <f t="shared" si="11"/>
        <v>9.6574225122349103E-2</v>
      </c>
      <c r="AS13" s="2">
        <f t="shared" ref="AS13:AT13" si="111">R13/AA13</f>
        <v>0.18204182041820419</v>
      </c>
      <c r="AT13" s="2">
        <f t="shared" si="111"/>
        <v>0.13195480707738222</v>
      </c>
      <c r="AU13" s="2">
        <f t="shared" ref="AU13:AW13" si="112">T13/W13</f>
        <v>1.4469453376205787E-2</v>
      </c>
      <c r="AV13" s="2">
        <f t="shared" si="13"/>
        <v>2.0481927710843374E-2</v>
      </c>
      <c r="AW13" s="2">
        <f t="shared" si="13"/>
        <v>1.6561844863731655E-2</v>
      </c>
    </row>
    <row r="14" spans="1:49" ht="15.75" customHeight="1" x14ac:dyDescent="0.15">
      <c r="A14" s="1">
        <v>2024</v>
      </c>
      <c r="B14" s="1" t="s">
        <v>69</v>
      </c>
      <c r="C14" s="1" t="s">
        <v>70</v>
      </c>
      <c r="D14" s="1" t="s">
        <v>71</v>
      </c>
      <c r="E14" s="1">
        <v>316</v>
      </c>
      <c r="F14" s="1">
        <v>237</v>
      </c>
      <c r="G14" s="1">
        <v>553</v>
      </c>
      <c r="H14" s="1">
        <v>2062</v>
      </c>
      <c r="I14" s="1">
        <v>1934</v>
      </c>
      <c r="J14" s="1">
        <v>3996</v>
      </c>
      <c r="K14" s="1">
        <v>1267</v>
      </c>
      <c r="L14" s="1">
        <v>1474</v>
      </c>
      <c r="M14" s="1">
        <v>2741</v>
      </c>
      <c r="N14" s="1">
        <v>560</v>
      </c>
      <c r="O14" s="1">
        <v>738</v>
      </c>
      <c r="P14" s="1">
        <v>1298</v>
      </c>
      <c r="Q14" s="1">
        <v>601</v>
      </c>
      <c r="R14" s="1">
        <v>765</v>
      </c>
      <c r="S14" s="1">
        <v>1366</v>
      </c>
      <c r="T14" s="1">
        <v>54</v>
      </c>
      <c r="U14" s="1">
        <v>83</v>
      </c>
      <c r="V14" s="1">
        <v>137</v>
      </c>
      <c r="W14" s="1">
        <f t="shared" ref="W14:X14" si="113">SUM(E14,H14,K14,N14,Q14,T14)</f>
        <v>4860</v>
      </c>
      <c r="X14" s="1">
        <f t="shared" si="113"/>
        <v>5231</v>
      </c>
      <c r="Y14" s="1">
        <f t="shared" si="1"/>
        <v>10091</v>
      </c>
      <c r="Z14" s="1">
        <f t="shared" ref="Z14:AA14" si="114">W14-T14</f>
        <v>4806</v>
      </c>
      <c r="AA14" s="1">
        <f t="shared" si="114"/>
        <v>5148</v>
      </c>
      <c r="AB14" s="1">
        <f t="shared" si="3"/>
        <v>9954</v>
      </c>
      <c r="AC14" s="1">
        <f t="shared" ref="AC14:AD14" si="115">SUM(E14,H14,K14,N14)</f>
        <v>4205</v>
      </c>
      <c r="AD14" s="1">
        <f t="shared" si="115"/>
        <v>4383</v>
      </c>
      <c r="AE14" s="1">
        <f t="shared" si="5"/>
        <v>8588</v>
      </c>
      <c r="AF14" s="2">
        <f t="shared" ref="AF14:AH14" si="116">AC14/Z14</f>
        <v>0.87494798168955468</v>
      </c>
      <c r="AG14" s="2">
        <f t="shared" si="116"/>
        <v>0.85139860139860135</v>
      </c>
      <c r="AH14" s="2">
        <f t="shared" si="116"/>
        <v>0.86276873618645766</v>
      </c>
      <c r="AI14" s="1">
        <f t="shared" ref="AI14:AJ14" si="117">SUM(E14,H14,K14)</f>
        <v>3645</v>
      </c>
      <c r="AJ14" s="1">
        <f t="shared" si="117"/>
        <v>3645</v>
      </c>
      <c r="AK14" s="1">
        <f t="shared" si="8"/>
        <v>7290</v>
      </c>
      <c r="AL14" s="2">
        <f t="shared" ref="AL14:AN14" si="118">AI14/Z14</f>
        <v>0.7584269662921348</v>
      </c>
      <c r="AM14" s="2">
        <f t="shared" si="118"/>
        <v>0.70804195804195802</v>
      </c>
      <c r="AN14" s="2">
        <f t="shared" si="118"/>
        <v>0.73236889692585894</v>
      </c>
      <c r="AO14" s="2">
        <f t="shared" ref="AO14:AQ14" si="119">E14/Z14</f>
        <v>6.5751144402829795E-2</v>
      </c>
      <c r="AP14" s="2">
        <f t="shared" si="119"/>
        <v>4.603729603729604E-2</v>
      </c>
      <c r="AQ14" s="2">
        <f t="shared" si="119"/>
        <v>5.5555555555555552E-2</v>
      </c>
      <c r="AR14" s="2">
        <f t="shared" si="11"/>
        <v>0.15917602996254682</v>
      </c>
      <c r="AS14" s="2">
        <f t="shared" ref="AS14:AT14" si="120">R14/AA14</f>
        <v>0.14860139860139859</v>
      </c>
      <c r="AT14" s="2">
        <f t="shared" si="120"/>
        <v>0.13723126381354228</v>
      </c>
      <c r="AU14" s="2">
        <f t="shared" ref="AU14:AW14" si="121">T14/W14</f>
        <v>1.1111111111111112E-2</v>
      </c>
      <c r="AV14" s="2">
        <f t="shared" si="13"/>
        <v>1.5866947046453833E-2</v>
      </c>
      <c r="AW14" s="2">
        <f t="shared" si="13"/>
        <v>1.3576454266177783E-2</v>
      </c>
    </row>
    <row r="15" spans="1:49" ht="15.75" customHeight="1" x14ac:dyDescent="0.15">
      <c r="A15" s="1">
        <v>2024</v>
      </c>
      <c r="B15" s="1" t="s">
        <v>69</v>
      </c>
      <c r="C15" s="1" t="s">
        <v>50</v>
      </c>
      <c r="D15" s="1" t="s">
        <v>72</v>
      </c>
      <c r="E15" s="1">
        <v>7785</v>
      </c>
      <c r="F15" s="1">
        <v>7204</v>
      </c>
      <c r="G15" s="1">
        <v>14989</v>
      </c>
      <c r="H15" s="1">
        <v>19170</v>
      </c>
      <c r="I15" s="1">
        <v>22492</v>
      </c>
      <c r="J15" s="1">
        <v>41662</v>
      </c>
      <c r="K15" s="1">
        <v>3766</v>
      </c>
      <c r="L15" s="1">
        <v>5393</v>
      </c>
      <c r="M15" s="1">
        <v>9159</v>
      </c>
      <c r="N15" s="1">
        <v>1606</v>
      </c>
      <c r="O15" s="1">
        <v>2027</v>
      </c>
      <c r="P15" s="1">
        <v>3633</v>
      </c>
      <c r="Q15" s="1">
        <v>1314</v>
      </c>
      <c r="R15" s="1">
        <v>1340</v>
      </c>
      <c r="S15" s="1">
        <v>2654</v>
      </c>
      <c r="T15" s="1">
        <v>366</v>
      </c>
      <c r="U15" s="1">
        <v>423</v>
      </c>
      <c r="V15" s="1">
        <v>789</v>
      </c>
      <c r="W15" s="1">
        <f t="shared" ref="W15:X15" si="122">SUM(E15,H15,K15,N15,Q15,T15)</f>
        <v>34007</v>
      </c>
      <c r="X15" s="1">
        <f t="shared" si="122"/>
        <v>38879</v>
      </c>
      <c r="Y15" s="1">
        <f t="shared" si="1"/>
        <v>72886</v>
      </c>
      <c r="Z15" s="1">
        <f t="shared" ref="Z15:AA15" si="123">W15-T15</f>
        <v>33641</v>
      </c>
      <c r="AA15" s="1">
        <f t="shared" si="123"/>
        <v>38456</v>
      </c>
      <c r="AB15" s="1">
        <f t="shared" si="3"/>
        <v>72097</v>
      </c>
      <c r="AC15" s="1">
        <f t="shared" ref="AC15:AD15" si="124">SUM(E15,H15,K15,N15)</f>
        <v>32327</v>
      </c>
      <c r="AD15" s="1">
        <f t="shared" si="124"/>
        <v>37116</v>
      </c>
      <c r="AE15" s="1">
        <f t="shared" si="5"/>
        <v>69443</v>
      </c>
      <c r="AF15" s="2">
        <f t="shared" ref="AF15:AH15" si="125">AC15/Z15</f>
        <v>0.96094051900954192</v>
      </c>
      <c r="AG15" s="2">
        <f t="shared" si="125"/>
        <v>0.96515498231745367</v>
      </c>
      <c r="AH15" s="2">
        <f t="shared" si="125"/>
        <v>0.96318848218372466</v>
      </c>
      <c r="AI15" s="1">
        <f t="shared" ref="AI15:AJ15" si="126">SUM(E15,H15,K15)</f>
        <v>30721</v>
      </c>
      <c r="AJ15" s="1">
        <f t="shared" si="126"/>
        <v>35089</v>
      </c>
      <c r="AK15" s="1">
        <f t="shared" si="8"/>
        <v>65810</v>
      </c>
      <c r="AL15" s="2">
        <f t="shared" ref="AL15:AN15" si="127">AI15/Z15</f>
        <v>0.91320115335453766</v>
      </c>
      <c r="AM15" s="2">
        <f t="shared" si="127"/>
        <v>0.91244539213646769</v>
      </c>
      <c r="AN15" s="2">
        <f t="shared" si="127"/>
        <v>0.91279803597930564</v>
      </c>
      <c r="AO15" s="2">
        <f t="shared" ref="AO15:AQ15" si="128">E15/Z15</f>
        <v>0.2314140483338783</v>
      </c>
      <c r="AP15" s="2">
        <f t="shared" si="128"/>
        <v>0.18733097566049511</v>
      </c>
      <c r="AQ15" s="2">
        <f t="shared" si="128"/>
        <v>0.2079004674258291</v>
      </c>
      <c r="AR15" s="2">
        <f t="shared" si="11"/>
        <v>3.9832347433191639E-2</v>
      </c>
      <c r="AS15" s="2">
        <f t="shared" ref="AS15:AT15" si="129">R15/AA15</f>
        <v>3.4845017682546289E-2</v>
      </c>
      <c r="AT15" s="2">
        <f t="shared" si="129"/>
        <v>3.6811517816275292E-2</v>
      </c>
      <c r="AU15" s="2">
        <f t="shared" ref="AU15:AW15" si="130">T15/W15</f>
        <v>1.0762490075572676E-2</v>
      </c>
      <c r="AV15" s="2">
        <f t="shared" si="13"/>
        <v>1.0879909462691942E-2</v>
      </c>
      <c r="AW15" s="2">
        <f t="shared" si="13"/>
        <v>1.0825124166506599E-2</v>
      </c>
    </row>
    <row r="16" spans="1:49" ht="15.75" customHeight="1" x14ac:dyDescent="0.15">
      <c r="A16" s="1">
        <v>2024</v>
      </c>
      <c r="B16" s="1" t="s">
        <v>66</v>
      </c>
      <c r="C16" s="1" t="s">
        <v>67</v>
      </c>
      <c r="D16" s="1" t="s">
        <v>73</v>
      </c>
      <c r="E16" s="1">
        <v>56</v>
      </c>
      <c r="F16" s="1">
        <v>28</v>
      </c>
      <c r="G16" s="1">
        <v>84</v>
      </c>
      <c r="H16" s="1">
        <v>1387</v>
      </c>
      <c r="I16" s="1">
        <v>691</v>
      </c>
      <c r="J16" s="1">
        <v>2078</v>
      </c>
      <c r="K16" s="1">
        <v>986</v>
      </c>
      <c r="L16" s="1">
        <v>878</v>
      </c>
      <c r="M16" s="1">
        <v>1864</v>
      </c>
      <c r="N16" s="1">
        <v>567</v>
      </c>
      <c r="O16" s="1">
        <v>395</v>
      </c>
      <c r="P16" s="1">
        <v>962</v>
      </c>
      <c r="Q16" s="1">
        <v>370</v>
      </c>
      <c r="R16" s="1">
        <v>356</v>
      </c>
      <c r="S16" s="1">
        <v>726</v>
      </c>
      <c r="T16" s="1">
        <v>39</v>
      </c>
      <c r="U16" s="1">
        <v>48</v>
      </c>
      <c r="V16" s="1">
        <v>87</v>
      </c>
      <c r="W16" s="1">
        <f t="shared" ref="W16:X16" si="131">SUM(E16,H16,K16,N16,Q16,T16)</f>
        <v>3405</v>
      </c>
      <c r="X16" s="1">
        <f t="shared" si="131"/>
        <v>2396</v>
      </c>
      <c r="Y16" s="1">
        <f t="shared" si="1"/>
        <v>5801</v>
      </c>
      <c r="Z16" s="1">
        <f t="shared" ref="Z16:AA16" si="132">W16-T16</f>
        <v>3366</v>
      </c>
      <c r="AA16" s="1">
        <f t="shared" si="132"/>
        <v>2348</v>
      </c>
      <c r="AB16" s="1">
        <f t="shared" si="3"/>
        <v>5714</v>
      </c>
      <c r="AC16" s="1">
        <f t="shared" ref="AC16:AD16" si="133">SUM(E16,H16,K16,N16)</f>
        <v>2996</v>
      </c>
      <c r="AD16" s="1">
        <f t="shared" si="133"/>
        <v>1992</v>
      </c>
      <c r="AE16" s="1">
        <f t="shared" si="5"/>
        <v>4988</v>
      </c>
      <c r="AF16" s="2">
        <f t="shared" ref="AF16:AH16" si="134">AC16/Z16</f>
        <v>0.89007724301841951</v>
      </c>
      <c r="AG16" s="2">
        <f t="shared" si="134"/>
        <v>0.848381601362862</v>
      </c>
      <c r="AH16" s="2">
        <f t="shared" si="134"/>
        <v>0.87294364718235917</v>
      </c>
      <c r="AI16" s="1">
        <f t="shared" ref="AI16:AJ16" si="135">SUM(E16,H16,K16)</f>
        <v>2429</v>
      </c>
      <c r="AJ16" s="1">
        <f t="shared" si="135"/>
        <v>1597</v>
      </c>
      <c r="AK16" s="1">
        <f t="shared" si="8"/>
        <v>4026</v>
      </c>
      <c r="AL16" s="2">
        <f t="shared" ref="AL16:AN16" si="136">AI16/Z16</f>
        <v>0.72162804515745693</v>
      </c>
      <c r="AM16" s="2">
        <f t="shared" si="136"/>
        <v>0.68015332197614986</v>
      </c>
      <c r="AN16" s="2">
        <f t="shared" si="136"/>
        <v>0.70458522926146305</v>
      </c>
      <c r="AO16" s="2">
        <f t="shared" ref="AO16:AQ16" si="137">E16/Z16</f>
        <v>1.6636957813428402E-2</v>
      </c>
      <c r="AP16" s="2">
        <f t="shared" si="137"/>
        <v>1.192504258943782E-2</v>
      </c>
      <c r="AQ16" s="2">
        <f t="shared" si="137"/>
        <v>1.4700735036751837E-2</v>
      </c>
      <c r="AR16" s="2">
        <f t="shared" si="11"/>
        <v>0.10576351752822341</v>
      </c>
      <c r="AS16" s="2">
        <f t="shared" ref="AS16:AT16" si="138">R16/AA16</f>
        <v>0.151618398637138</v>
      </c>
      <c r="AT16" s="2">
        <f t="shared" si="138"/>
        <v>0.12705635281764088</v>
      </c>
      <c r="AU16" s="2">
        <f t="shared" ref="AU16:AW16" si="139">T16/W16</f>
        <v>1.145374449339207E-2</v>
      </c>
      <c r="AV16" s="2">
        <f t="shared" si="13"/>
        <v>2.003338898163606E-2</v>
      </c>
      <c r="AW16" s="2">
        <f t="shared" si="13"/>
        <v>1.4997414238924324E-2</v>
      </c>
    </row>
    <row r="17" spans="1:49" ht="15.75" customHeight="1" x14ac:dyDescent="0.15">
      <c r="A17" s="1">
        <v>2024</v>
      </c>
      <c r="B17" s="1" t="s">
        <v>74</v>
      </c>
      <c r="C17" s="1" t="s">
        <v>75</v>
      </c>
      <c r="D17" s="1" t="s">
        <v>76</v>
      </c>
      <c r="E17" s="1">
        <v>10</v>
      </c>
      <c r="F17" s="1">
        <v>1</v>
      </c>
      <c r="G17" s="1">
        <v>11</v>
      </c>
      <c r="H17" s="1">
        <v>411</v>
      </c>
      <c r="I17" s="1">
        <v>232</v>
      </c>
      <c r="J17" s="1">
        <v>643</v>
      </c>
      <c r="K17" s="1">
        <v>226</v>
      </c>
      <c r="L17" s="1">
        <v>225</v>
      </c>
      <c r="M17" s="1">
        <v>451</v>
      </c>
      <c r="N17" s="1">
        <v>101</v>
      </c>
      <c r="O17" s="1">
        <v>74</v>
      </c>
      <c r="P17" s="1">
        <v>175</v>
      </c>
      <c r="Q17" s="1">
        <v>88</v>
      </c>
      <c r="R17" s="1">
        <v>122</v>
      </c>
      <c r="S17" s="1">
        <v>210</v>
      </c>
      <c r="T17" s="1">
        <v>3</v>
      </c>
      <c r="U17" s="1">
        <v>7</v>
      </c>
      <c r="V17" s="1">
        <v>10</v>
      </c>
      <c r="W17" s="1">
        <f t="shared" ref="W17:X17" si="140">SUM(E17,H17,K17,N17,Q17,T17)</f>
        <v>839</v>
      </c>
      <c r="X17" s="1">
        <f t="shared" si="140"/>
        <v>661</v>
      </c>
      <c r="Y17" s="1">
        <f t="shared" si="1"/>
        <v>1500</v>
      </c>
      <c r="Z17" s="1">
        <f t="shared" ref="Z17:AA17" si="141">W17-T17</f>
        <v>836</v>
      </c>
      <c r="AA17" s="1">
        <f t="shared" si="141"/>
        <v>654</v>
      </c>
      <c r="AB17" s="1">
        <f t="shared" si="3"/>
        <v>1490</v>
      </c>
      <c r="AC17" s="1">
        <f t="shared" ref="AC17:AD17" si="142">SUM(E17,H17,K17,N17)</f>
        <v>748</v>
      </c>
      <c r="AD17" s="1">
        <f t="shared" si="142"/>
        <v>532</v>
      </c>
      <c r="AE17" s="1">
        <f t="shared" si="5"/>
        <v>1280</v>
      </c>
      <c r="AF17" s="2">
        <f t="shared" ref="AF17:AH17" si="143">AC17/Z17</f>
        <v>0.89473684210526316</v>
      </c>
      <c r="AG17" s="2">
        <f t="shared" si="143"/>
        <v>0.81345565749235471</v>
      </c>
      <c r="AH17" s="2">
        <f t="shared" si="143"/>
        <v>0.85906040268456374</v>
      </c>
      <c r="AI17" s="1">
        <f t="shared" ref="AI17:AJ17" si="144">SUM(E17,H17,K17)</f>
        <v>647</v>
      </c>
      <c r="AJ17" s="1">
        <f t="shared" si="144"/>
        <v>458</v>
      </c>
      <c r="AK17" s="1">
        <f t="shared" si="8"/>
        <v>1105</v>
      </c>
      <c r="AL17" s="2">
        <f t="shared" ref="AL17:AN17" si="145">AI17/Z17</f>
        <v>0.77392344497607657</v>
      </c>
      <c r="AM17" s="2">
        <f t="shared" si="145"/>
        <v>0.70030581039755346</v>
      </c>
      <c r="AN17" s="2">
        <f t="shared" si="145"/>
        <v>0.74161073825503354</v>
      </c>
      <c r="AO17" s="2">
        <f t="shared" ref="AO17:AQ17" si="146">E17/Z17</f>
        <v>1.1961722488038277E-2</v>
      </c>
      <c r="AP17" s="2">
        <f t="shared" si="146"/>
        <v>1.5290519877675841E-3</v>
      </c>
      <c r="AQ17" s="2">
        <f t="shared" si="146"/>
        <v>7.3825503355704697E-3</v>
      </c>
      <c r="AR17" s="2">
        <f t="shared" si="11"/>
        <v>0.145933014354067</v>
      </c>
      <c r="AS17" s="2">
        <f t="shared" ref="AS17:AT17" si="147">R17/AA17</f>
        <v>0.18654434250764526</v>
      </c>
      <c r="AT17" s="2">
        <f t="shared" si="147"/>
        <v>0.14093959731543623</v>
      </c>
      <c r="AU17" s="2">
        <f t="shared" ref="AU17:AW17" si="148">T17/W17</f>
        <v>3.5756853396901071E-3</v>
      </c>
      <c r="AV17" s="2">
        <f t="shared" si="13"/>
        <v>1.059001512859304E-2</v>
      </c>
      <c r="AW17" s="2">
        <f t="shared" si="13"/>
        <v>6.6666666666666671E-3</v>
      </c>
    </row>
    <row r="18" spans="1:49" ht="15.75" customHeight="1" x14ac:dyDescent="0.15">
      <c r="A18" s="1">
        <v>2024</v>
      </c>
      <c r="B18" s="1" t="s">
        <v>66</v>
      </c>
      <c r="C18" s="1" t="s">
        <v>67</v>
      </c>
      <c r="D18" s="1" t="s">
        <v>77</v>
      </c>
      <c r="E18" s="1">
        <v>104</v>
      </c>
      <c r="F18" s="1">
        <v>43</v>
      </c>
      <c r="G18" s="1">
        <v>147</v>
      </c>
      <c r="H18" s="1">
        <v>1079</v>
      </c>
      <c r="I18" s="1">
        <v>572</v>
      </c>
      <c r="J18" s="1">
        <v>1651</v>
      </c>
      <c r="K18" s="1">
        <v>1022</v>
      </c>
      <c r="L18" s="1">
        <v>865</v>
      </c>
      <c r="M18" s="1">
        <v>1887</v>
      </c>
      <c r="N18" s="1">
        <v>575</v>
      </c>
      <c r="O18" s="1">
        <v>435</v>
      </c>
      <c r="P18" s="1">
        <v>1010</v>
      </c>
      <c r="Q18" s="1">
        <v>309</v>
      </c>
      <c r="R18" s="1">
        <v>451</v>
      </c>
      <c r="S18" s="1">
        <v>760</v>
      </c>
      <c r="T18" s="1">
        <v>27</v>
      </c>
      <c r="U18" s="1">
        <v>20</v>
      </c>
      <c r="V18" s="1">
        <v>47</v>
      </c>
      <c r="W18" s="1">
        <f t="shared" ref="W18:X18" si="149">SUM(E18,H18,K18,N18,Q18,T18)</f>
        <v>3116</v>
      </c>
      <c r="X18" s="1">
        <f t="shared" si="149"/>
        <v>2386</v>
      </c>
      <c r="Y18" s="1">
        <f t="shared" si="1"/>
        <v>5502</v>
      </c>
      <c r="Z18" s="1">
        <f t="shared" ref="Z18:AA18" si="150">W18-T18</f>
        <v>3089</v>
      </c>
      <c r="AA18" s="1">
        <f t="shared" si="150"/>
        <v>2366</v>
      </c>
      <c r="AB18" s="1">
        <f t="shared" si="3"/>
        <v>5455</v>
      </c>
      <c r="AC18" s="1">
        <f t="shared" ref="AC18:AD18" si="151">SUM(E18,H18,K18,N18)</f>
        <v>2780</v>
      </c>
      <c r="AD18" s="1">
        <f t="shared" si="151"/>
        <v>1915</v>
      </c>
      <c r="AE18" s="1">
        <f t="shared" si="5"/>
        <v>4695</v>
      </c>
      <c r="AF18" s="2">
        <f t="shared" ref="AF18:AH18" si="152">AC18/Z18</f>
        <v>0.89996762706377464</v>
      </c>
      <c r="AG18" s="2">
        <f t="shared" si="152"/>
        <v>0.80938292476754015</v>
      </c>
      <c r="AH18" s="2">
        <f t="shared" si="152"/>
        <v>0.86067827681026576</v>
      </c>
      <c r="AI18" s="1">
        <f t="shared" ref="AI18:AJ18" si="153">SUM(E18,H18,K18)</f>
        <v>2205</v>
      </c>
      <c r="AJ18" s="1">
        <f t="shared" si="153"/>
        <v>1480</v>
      </c>
      <c r="AK18" s="1">
        <f t="shared" si="8"/>
        <v>3685</v>
      </c>
      <c r="AL18" s="2">
        <f t="shared" ref="AL18:AN18" si="154">AI18/Z18</f>
        <v>0.71382324376820983</v>
      </c>
      <c r="AM18" s="2">
        <f t="shared" si="154"/>
        <v>0.62552831783601015</v>
      </c>
      <c r="AN18" s="2">
        <f t="shared" si="154"/>
        <v>0.67552703941338221</v>
      </c>
      <c r="AO18" s="2">
        <f t="shared" ref="AO18:AQ18" si="155">E18/Z18</f>
        <v>3.3667853674328264E-2</v>
      </c>
      <c r="AP18" s="2">
        <f t="shared" si="155"/>
        <v>1.8174133558748945E-2</v>
      </c>
      <c r="AQ18" s="2">
        <f t="shared" si="155"/>
        <v>2.6947754353803848E-2</v>
      </c>
      <c r="AR18" s="2">
        <f t="shared" si="11"/>
        <v>0.14600194237617353</v>
      </c>
      <c r="AS18" s="2">
        <f t="shared" ref="AS18:AT18" si="156">R18/AA18</f>
        <v>0.19061707523245985</v>
      </c>
      <c r="AT18" s="2">
        <f t="shared" si="156"/>
        <v>0.13932172318973418</v>
      </c>
      <c r="AU18" s="2">
        <f t="shared" ref="AU18:AW33" si="157">T18/W18</f>
        <v>8.6649550706033376E-3</v>
      </c>
      <c r="AV18" s="2">
        <f t="shared" si="157"/>
        <v>8.3822296730930428E-3</v>
      </c>
      <c r="AW18" s="2">
        <f t="shared" si="157"/>
        <v>8.5423482370047248E-3</v>
      </c>
    </row>
    <row r="19" spans="1:49" ht="15.75" customHeight="1" x14ac:dyDescent="0.15">
      <c r="A19" s="1">
        <v>2024</v>
      </c>
      <c r="B19" s="1" t="s">
        <v>49</v>
      </c>
      <c r="C19" s="1" t="s">
        <v>78</v>
      </c>
      <c r="D19" s="1" t="s">
        <v>79</v>
      </c>
      <c r="E19" s="1">
        <v>41</v>
      </c>
      <c r="F19" s="1">
        <v>26</v>
      </c>
      <c r="G19" s="1">
        <v>67</v>
      </c>
      <c r="H19" s="1">
        <v>1002</v>
      </c>
      <c r="I19" s="1">
        <v>515</v>
      </c>
      <c r="J19" s="1">
        <v>1517</v>
      </c>
      <c r="K19" s="1">
        <v>557</v>
      </c>
      <c r="L19" s="1">
        <v>555</v>
      </c>
      <c r="M19" s="1">
        <v>1112</v>
      </c>
      <c r="N19" s="1">
        <v>381</v>
      </c>
      <c r="O19" s="1">
        <v>268</v>
      </c>
      <c r="P19" s="1">
        <v>649</v>
      </c>
      <c r="Q19" s="1">
        <v>240</v>
      </c>
      <c r="R19" s="1">
        <v>369</v>
      </c>
      <c r="S19" s="1">
        <v>609</v>
      </c>
      <c r="T19" s="1">
        <v>15</v>
      </c>
      <c r="U19" s="1">
        <v>21</v>
      </c>
      <c r="V19" s="1">
        <v>36</v>
      </c>
      <c r="W19" s="1">
        <f t="shared" ref="W19:X19" si="158">SUM(E19,H19,K19,N19,Q19,T19)</f>
        <v>2236</v>
      </c>
      <c r="X19" s="1">
        <f t="shared" si="158"/>
        <v>1754</v>
      </c>
      <c r="Y19" s="1">
        <f t="shared" si="1"/>
        <v>3990</v>
      </c>
      <c r="Z19" s="1">
        <f t="shared" ref="Z19:AA19" si="159">W19-T19</f>
        <v>2221</v>
      </c>
      <c r="AA19" s="1">
        <f t="shared" si="159"/>
        <v>1733</v>
      </c>
      <c r="AB19" s="1">
        <f t="shared" si="3"/>
        <v>3954</v>
      </c>
      <c r="AC19" s="1">
        <f t="shared" ref="AC19:AD19" si="160">SUM(E19,H19,K19,N19)</f>
        <v>1981</v>
      </c>
      <c r="AD19" s="1">
        <f t="shared" si="160"/>
        <v>1364</v>
      </c>
      <c r="AE19" s="1">
        <f t="shared" si="5"/>
        <v>3345</v>
      </c>
      <c r="AF19" s="2">
        <f t="shared" ref="AF19:AH19" si="161">AC19/Z19</f>
        <v>0.89194056731202165</v>
      </c>
      <c r="AG19" s="2">
        <f t="shared" si="161"/>
        <v>0.78707443739180616</v>
      </c>
      <c r="AH19" s="2">
        <f t="shared" si="161"/>
        <v>0.84597875569044001</v>
      </c>
      <c r="AI19" s="1">
        <f t="shared" ref="AI19:AJ19" si="162">SUM(E19,H19,K19)</f>
        <v>1600</v>
      </c>
      <c r="AJ19" s="1">
        <f t="shared" si="162"/>
        <v>1096</v>
      </c>
      <c r="AK19" s="1">
        <f t="shared" si="8"/>
        <v>2696</v>
      </c>
      <c r="AL19" s="2">
        <f t="shared" ref="AL19:AN19" si="163">AI19/Z19</f>
        <v>0.72039621791985597</v>
      </c>
      <c r="AM19" s="2">
        <f t="shared" si="163"/>
        <v>0.63242931332948649</v>
      </c>
      <c r="AN19" s="2">
        <f t="shared" si="163"/>
        <v>0.68184117349519469</v>
      </c>
      <c r="AO19" s="2">
        <f t="shared" ref="AO19:AQ19" si="164">E19/Z19</f>
        <v>1.846015308419631E-2</v>
      </c>
      <c r="AP19" s="2">
        <f t="shared" si="164"/>
        <v>1.5002885170225043E-2</v>
      </c>
      <c r="AQ19" s="2">
        <f t="shared" si="164"/>
        <v>1.6944865958523014E-2</v>
      </c>
      <c r="AR19" s="2">
        <f t="shared" si="11"/>
        <v>0.16614137775776677</v>
      </c>
      <c r="AS19" s="2">
        <f t="shared" ref="AS19:AT19" si="165">R19/AA19</f>
        <v>0.2129255626081939</v>
      </c>
      <c r="AT19" s="2">
        <f t="shared" si="165"/>
        <v>0.15402124430955993</v>
      </c>
      <c r="AU19" s="2">
        <f t="shared" ref="AU19:AW19" si="166">T19/W19</f>
        <v>6.7084078711985686E-3</v>
      </c>
      <c r="AV19" s="2">
        <f t="shared" si="157"/>
        <v>1.1972633979475485E-2</v>
      </c>
      <c r="AW19" s="2">
        <f t="shared" si="157"/>
        <v>9.0225563909774441E-3</v>
      </c>
    </row>
    <row r="20" spans="1:49" ht="15.75" customHeight="1" x14ac:dyDescent="0.15">
      <c r="A20" s="1">
        <v>2024</v>
      </c>
      <c r="B20" s="1" t="s">
        <v>49</v>
      </c>
      <c r="C20" s="1" t="s">
        <v>80</v>
      </c>
      <c r="D20" s="1" t="s">
        <v>81</v>
      </c>
      <c r="E20" s="1">
        <v>38</v>
      </c>
      <c r="F20" s="1">
        <v>21</v>
      </c>
      <c r="G20" s="1">
        <v>59</v>
      </c>
      <c r="H20" s="1">
        <v>773</v>
      </c>
      <c r="I20" s="1">
        <v>589</v>
      </c>
      <c r="J20" s="1">
        <v>1362</v>
      </c>
      <c r="K20" s="1">
        <v>501</v>
      </c>
      <c r="L20" s="1">
        <v>583</v>
      </c>
      <c r="M20" s="1">
        <v>1084</v>
      </c>
      <c r="N20" s="1">
        <v>287</v>
      </c>
      <c r="O20" s="1">
        <v>272</v>
      </c>
      <c r="P20" s="1">
        <v>559</v>
      </c>
      <c r="Q20" s="1">
        <v>432</v>
      </c>
      <c r="R20" s="1">
        <v>452</v>
      </c>
      <c r="S20" s="1">
        <v>884</v>
      </c>
      <c r="T20" s="1">
        <v>24</v>
      </c>
      <c r="U20" s="1">
        <v>27</v>
      </c>
      <c r="V20" s="1">
        <v>51</v>
      </c>
      <c r="W20" s="1">
        <f t="shared" ref="W20:X20" si="167">SUM(E20,H20,K20,N20,Q20,T20)</f>
        <v>2055</v>
      </c>
      <c r="X20" s="1">
        <f t="shared" si="167"/>
        <v>1944</v>
      </c>
      <c r="Y20" s="1">
        <f t="shared" si="1"/>
        <v>3999</v>
      </c>
      <c r="Z20" s="1">
        <f t="shared" ref="Z20:AA20" si="168">W20-T20</f>
        <v>2031</v>
      </c>
      <c r="AA20" s="1">
        <f t="shared" si="168"/>
        <v>1917</v>
      </c>
      <c r="AB20" s="1">
        <f t="shared" si="3"/>
        <v>3948</v>
      </c>
      <c r="AC20" s="1">
        <f t="shared" ref="AC20:AD20" si="169">SUM(E20,H20,K20,N20)</f>
        <v>1599</v>
      </c>
      <c r="AD20" s="1">
        <f t="shared" si="169"/>
        <v>1465</v>
      </c>
      <c r="AE20" s="1">
        <f t="shared" si="5"/>
        <v>3064</v>
      </c>
      <c r="AF20" s="2">
        <f t="shared" ref="AF20:AH20" si="170">AC20/Z20</f>
        <v>0.78729689807976366</v>
      </c>
      <c r="AG20" s="2">
        <f t="shared" si="170"/>
        <v>0.76421491914449657</v>
      </c>
      <c r="AH20" s="2">
        <f t="shared" si="170"/>
        <v>0.77608915906788245</v>
      </c>
      <c r="AI20" s="1">
        <f t="shared" ref="AI20:AJ20" si="171">SUM(E20,H20,K20)</f>
        <v>1312</v>
      </c>
      <c r="AJ20" s="1">
        <f t="shared" si="171"/>
        <v>1193</v>
      </c>
      <c r="AK20" s="1">
        <f t="shared" si="8"/>
        <v>2505</v>
      </c>
      <c r="AL20" s="2">
        <f t="shared" ref="AL20:AN20" si="172">AI20/Z20</f>
        <v>0.64598719842442143</v>
      </c>
      <c r="AM20" s="2">
        <f t="shared" si="172"/>
        <v>0.62232655190401664</v>
      </c>
      <c r="AN20" s="2">
        <f t="shared" si="172"/>
        <v>0.63449848024316113</v>
      </c>
      <c r="AO20" s="2">
        <f t="shared" ref="AO20:AQ20" si="173">E20/Z20</f>
        <v>1.8709995076317085E-2</v>
      </c>
      <c r="AP20" s="2">
        <f t="shared" si="173"/>
        <v>1.0954616588419406E-2</v>
      </c>
      <c r="AQ20" s="2">
        <f t="shared" si="173"/>
        <v>1.4944275582573455E-2</v>
      </c>
      <c r="AR20" s="2">
        <f t="shared" si="11"/>
        <v>0.22255046774987691</v>
      </c>
      <c r="AS20" s="2">
        <f t="shared" ref="AS20:AT20" si="174">R20/AA20</f>
        <v>0.2357850808555034</v>
      </c>
      <c r="AT20" s="2">
        <f t="shared" si="174"/>
        <v>0.22391084093211752</v>
      </c>
      <c r="AU20" s="2">
        <f t="shared" ref="AU20:AW20" si="175">T20/W20</f>
        <v>1.167883211678832E-2</v>
      </c>
      <c r="AV20" s="2">
        <f t="shared" si="157"/>
        <v>1.3888888888888888E-2</v>
      </c>
      <c r="AW20" s="2">
        <f t="shared" si="157"/>
        <v>1.2753188297074268E-2</v>
      </c>
    </row>
    <row r="21" spans="1:49" ht="15.75" customHeight="1" x14ac:dyDescent="0.15">
      <c r="A21" s="1">
        <v>2024</v>
      </c>
      <c r="B21" s="1" t="s">
        <v>49</v>
      </c>
      <c r="C21" s="1" t="s">
        <v>80</v>
      </c>
      <c r="D21" s="1" t="s">
        <v>82</v>
      </c>
      <c r="E21" s="1">
        <v>41</v>
      </c>
      <c r="F21" s="1">
        <v>21</v>
      </c>
      <c r="G21" s="1">
        <v>62</v>
      </c>
      <c r="H21" s="1">
        <v>620</v>
      </c>
      <c r="I21" s="1">
        <v>468</v>
      </c>
      <c r="J21" s="1">
        <v>1088</v>
      </c>
      <c r="K21" s="1">
        <v>278</v>
      </c>
      <c r="L21" s="1">
        <v>304</v>
      </c>
      <c r="M21" s="1">
        <v>582</v>
      </c>
      <c r="N21" s="1">
        <v>179</v>
      </c>
      <c r="O21" s="1">
        <v>192</v>
      </c>
      <c r="P21" s="1">
        <v>371</v>
      </c>
      <c r="Q21" s="1">
        <v>212</v>
      </c>
      <c r="R21" s="1">
        <v>241</v>
      </c>
      <c r="S21" s="1">
        <v>453</v>
      </c>
      <c r="T21" s="1">
        <v>15</v>
      </c>
      <c r="U21" s="1">
        <v>6</v>
      </c>
      <c r="V21" s="1">
        <v>21</v>
      </c>
      <c r="W21" s="1">
        <f t="shared" ref="W21:X21" si="176">SUM(E21,H21,K21,N21,Q21,T21)</f>
        <v>1345</v>
      </c>
      <c r="X21" s="1">
        <f t="shared" si="176"/>
        <v>1232</v>
      </c>
      <c r="Y21" s="1">
        <f t="shared" si="1"/>
        <v>2577</v>
      </c>
      <c r="Z21" s="1">
        <f t="shared" ref="Z21:AA21" si="177">W21-T21</f>
        <v>1330</v>
      </c>
      <c r="AA21" s="1">
        <f t="shared" si="177"/>
        <v>1226</v>
      </c>
      <c r="AB21" s="1">
        <f t="shared" si="3"/>
        <v>2556</v>
      </c>
      <c r="AC21" s="1">
        <f t="shared" ref="AC21:AD21" si="178">SUM(E21,H21,K21,N21)</f>
        <v>1118</v>
      </c>
      <c r="AD21" s="1">
        <f t="shared" si="178"/>
        <v>985</v>
      </c>
      <c r="AE21" s="1">
        <f t="shared" si="5"/>
        <v>2103</v>
      </c>
      <c r="AF21" s="2">
        <f t="shared" ref="AF21:AH21" si="179">AC21/Z21</f>
        <v>0.84060150375939846</v>
      </c>
      <c r="AG21" s="2">
        <f t="shared" si="179"/>
        <v>0.80342577487765088</v>
      </c>
      <c r="AH21" s="2">
        <f t="shared" si="179"/>
        <v>0.82276995305164324</v>
      </c>
      <c r="AI21" s="1">
        <f t="shared" ref="AI21:AJ21" si="180">SUM(E21,H21,K21)</f>
        <v>939</v>
      </c>
      <c r="AJ21" s="1">
        <f t="shared" si="180"/>
        <v>793</v>
      </c>
      <c r="AK21" s="1">
        <f t="shared" si="8"/>
        <v>1732</v>
      </c>
      <c r="AL21" s="2">
        <f t="shared" ref="AL21:AN21" si="181">AI21/Z21</f>
        <v>0.70601503759398498</v>
      </c>
      <c r="AM21" s="2">
        <f t="shared" si="181"/>
        <v>0.64681892332789559</v>
      </c>
      <c r="AN21" s="2">
        <f t="shared" si="181"/>
        <v>0.67762128325508608</v>
      </c>
      <c r="AO21" s="2">
        <f t="shared" ref="AO21:AQ21" si="182">E21/Z21</f>
        <v>3.0827067669172932E-2</v>
      </c>
      <c r="AP21" s="2">
        <f t="shared" si="182"/>
        <v>1.7128874388254486E-2</v>
      </c>
      <c r="AQ21" s="2">
        <f t="shared" si="182"/>
        <v>2.4256651017214397E-2</v>
      </c>
      <c r="AR21" s="2">
        <f t="shared" si="11"/>
        <v>0.181203007518797</v>
      </c>
      <c r="AS21" s="2">
        <f t="shared" ref="AS21:AT21" si="183">R21/AA21</f>
        <v>0.19657422512234909</v>
      </c>
      <c r="AT21" s="2">
        <f t="shared" si="183"/>
        <v>0.17723004694835681</v>
      </c>
      <c r="AU21" s="2">
        <f t="shared" ref="AU21:AW21" si="184">T21/W21</f>
        <v>1.1152416356877323E-2</v>
      </c>
      <c r="AV21" s="2">
        <f t="shared" si="157"/>
        <v>4.87012987012987E-3</v>
      </c>
      <c r="AW21" s="2">
        <f t="shared" si="157"/>
        <v>8.1490104772991845E-3</v>
      </c>
    </row>
    <row r="22" spans="1:49" ht="15.75" customHeight="1" x14ac:dyDescent="0.15">
      <c r="A22" s="1">
        <v>2023</v>
      </c>
      <c r="B22" s="1" t="s">
        <v>74</v>
      </c>
      <c r="C22" s="1" t="s">
        <v>75</v>
      </c>
      <c r="D22" s="1" t="s">
        <v>76</v>
      </c>
      <c r="E22" s="1">
        <v>22</v>
      </c>
      <c r="F22" s="1">
        <v>6</v>
      </c>
      <c r="G22" s="1">
        <v>28</v>
      </c>
      <c r="H22" s="1">
        <v>439</v>
      </c>
      <c r="I22" s="1">
        <v>259</v>
      </c>
      <c r="J22" s="1">
        <v>698</v>
      </c>
      <c r="K22" s="1">
        <v>212</v>
      </c>
      <c r="L22" s="1">
        <v>204</v>
      </c>
      <c r="M22" s="1">
        <v>416</v>
      </c>
      <c r="N22" s="1">
        <v>83</v>
      </c>
      <c r="O22" s="1">
        <v>79</v>
      </c>
      <c r="P22" s="1">
        <v>162</v>
      </c>
      <c r="Q22" s="1">
        <v>74</v>
      </c>
      <c r="R22" s="1">
        <v>78</v>
      </c>
      <c r="S22" s="1">
        <v>152</v>
      </c>
      <c r="T22" s="1">
        <v>13</v>
      </c>
      <c r="U22" s="1">
        <v>8</v>
      </c>
      <c r="V22" s="1">
        <v>21</v>
      </c>
      <c r="W22" s="1">
        <f t="shared" ref="W22:X22" si="185">SUM(E22,H22,K22,N22,Q22,T22)</f>
        <v>843</v>
      </c>
      <c r="X22" s="1">
        <f t="shared" si="185"/>
        <v>634</v>
      </c>
      <c r="Y22" s="1">
        <f t="shared" si="1"/>
        <v>1477</v>
      </c>
      <c r="Z22" s="1">
        <f t="shared" ref="Z22:AA22" si="186">W22-T22</f>
        <v>830</v>
      </c>
      <c r="AA22" s="1">
        <f t="shared" si="186"/>
        <v>626</v>
      </c>
      <c r="AB22" s="1">
        <f t="shared" si="3"/>
        <v>1456</v>
      </c>
      <c r="AC22" s="1">
        <f t="shared" ref="AC22:AD22" si="187">SUM(E22,H22,K22,N22)</f>
        <v>756</v>
      </c>
      <c r="AD22" s="1">
        <f t="shared" si="187"/>
        <v>548</v>
      </c>
      <c r="AE22" s="1">
        <f t="shared" si="5"/>
        <v>1304</v>
      </c>
      <c r="AF22" s="2">
        <f t="shared" ref="AF22:AH22" si="188">AC22/Z22</f>
        <v>0.91084337349397593</v>
      </c>
      <c r="AG22" s="2">
        <f t="shared" si="188"/>
        <v>0.87539936102236426</v>
      </c>
      <c r="AH22" s="2">
        <f t="shared" si="188"/>
        <v>0.89560439560439564</v>
      </c>
      <c r="AI22" s="1">
        <f t="shared" ref="AI22:AJ22" si="189">SUM(E22,H22,K22)</f>
        <v>673</v>
      </c>
      <c r="AJ22" s="1">
        <f t="shared" si="189"/>
        <v>469</v>
      </c>
      <c r="AK22" s="1">
        <f t="shared" si="8"/>
        <v>1142</v>
      </c>
      <c r="AL22" s="2">
        <f t="shared" ref="AL22:AN22" si="190">AI22/Z22</f>
        <v>0.81084337349397595</v>
      </c>
      <c r="AM22" s="2">
        <f t="shared" si="190"/>
        <v>0.74920127795527158</v>
      </c>
      <c r="AN22" s="2">
        <f t="shared" si="190"/>
        <v>0.78434065934065933</v>
      </c>
      <c r="AO22" s="2">
        <f t="shared" ref="AO22:AQ22" si="191">E22/Z22</f>
        <v>2.6506024096385541E-2</v>
      </c>
      <c r="AP22" s="2">
        <f t="shared" si="191"/>
        <v>9.5846645367412137E-3</v>
      </c>
      <c r="AQ22" s="2">
        <f t="shared" si="191"/>
        <v>1.9230769230769232E-2</v>
      </c>
      <c r="AR22" s="2">
        <f t="shared" si="11"/>
        <v>9.3975903614457831E-2</v>
      </c>
      <c r="AS22" s="2">
        <f t="shared" ref="AS22:AT22" si="192">R22/AA22</f>
        <v>0.12460063897763578</v>
      </c>
      <c r="AT22" s="2">
        <f t="shared" si="192"/>
        <v>0.1043956043956044</v>
      </c>
      <c r="AU22" s="2">
        <f t="shared" ref="AU22:AW22" si="193">T22/W22</f>
        <v>1.542111506524318E-2</v>
      </c>
      <c r="AV22" s="2">
        <f t="shared" si="157"/>
        <v>1.2618296529968454E-2</v>
      </c>
      <c r="AW22" s="2">
        <f t="shared" si="157"/>
        <v>1.4218009478672985E-2</v>
      </c>
    </row>
    <row r="23" spans="1:49" ht="15.75" customHeight="1" x14ac:dyDescent="0.15">
      <c r="A23" s="1">
        <v>2024</v>
      </c>
      <c r="B23" s="1" t="s">
        <v>49</v>
      </c>
      <c r="C23" s="1" t="s">
        <v>59</v>
      </c>
      <c r="D23" s="1" t="s">
        <v>83</v>
      </c>
      <c r="E23" s="1">
        <v>21</v>
      </c>
      <c r="F23" s="1">
        <v>21</v>
      </c>
      <c r="G23" s="1">
        <v>42</v>
      </c>
      <c r="H23" s="1">
        <v>656</v>
      </c>
      <c r="I23" s="1">
        <v>562</v>
      </c>
      <c r="J23" s="1">
        <v>1218</v>
      </c>
      <c r="K23" s="1">
        <v>532</v>
      </c>
      <c r="L23" s="1">
        <v>641</v>
      </c>
      <c r="M23" s="1">
        <v>1173</v>
      </c>
      <c r="N23" s="1">
        <v>305</v>
      </c>
      <c r="O23" s="1">
        <v>252</v>
      </c>
      <c r="P23" s="1">
        <v>557</v>
      </c>
      <c r="Q23" s="1">
        <v>279</v>
      </c>
      <c r="R23" s="1">
        <v>422</v>
      </c>
      <c r="S23" s="1">
        <v>701</v>
      </c>
      <c r="T23" s="1">
        <v>16</v>
      </c>
      <c r="U23" s="1">
        <v>15</v>
      </c>
      <c r="V23" s="1">
        <v>31</v>
      </c>
      <c r="W23" s="1">
        <f t="shared" ref="W23:X23" si="194">SUM(E23,H23,K23,N23,Q23,T23)</f>
        <v>1809</v>
      </c>
      <c r="X23" s="1">
        <f t="shared" si="194"/>
        <v>1913</v>
      </c>
      <c r="Y23" s="1">
        <f t="shared" si="1"/>
        <v>3722</v>
      </c>
      <c r="Z23" s="1">
        <f t="shared" ref="Z23:AA23" si="195">W23-T23</f>
        <v>1793</v>
      </c>
      <c r="AA23" s="1">
        <f t="shared" si="195"/>
        <v>1898</v>
      </c>
      <c r="AB23" s="1">
        <f t="shared" si="3"/>
        <v>3691</v>
      </c>
      <c r="AC23" s="1">
        <f t="shared" ref="AC23:AD23" si="196">SUM(E23,H23,K23,N23)</f>
        <v>1514</v>
      </c>
      <c r="AD23" s="1">
        <f t="shared" si="196"/>
        <v>1476</v>
      </c>
      <c r="AE23" s="1">
        <f t="shared" si="5"/>
        <v>2990</v>
      </c>
      <c r="AF23" s="2">
        <f t="shared" ref="AF23:AH23" si="197">AC23/Z23</f>
        <v>0.84439486893474625</v>
      </c>
      <c r="AG23" s="2">
        <f t="shared" si="197"/>
        <v>0.7776606954689147</v>
      </c>
      <c r="AH23" s="2">
        <f t="shared" si="197"/>
        <v>0.81007856949336221</v>
      </c>
      <c r="AI23" s="1">
        <f t="shared" ref="AI23:AJ23" si="198">SUM(E23,H23,K23)</f>
        <v>1209</v>
      </c>
      <c r="AJ23" s="1">
        <f t="shared" si="198"/>
        <v>1224</v>
      </c>
      <c r="AK23" s="1">
        <f t="shared" si="8"/>
        <v>2433</v>
      </c>
      <c r="AL23" s="2">
        <f t="shared" ref="AL23:AN23" si="199">AI23/Z23</f>
        <v>0.67428890128276631</v>
      </c>
      <c r="AM23" s="2">
        <f t="shared" si="199"/>
        <v>0.64488935721812435</v>
      </c>
      <c r="AN23" s="2">
        <f t="shared" si="199"/>
        <v>0.6591709563803847</v>
      </c>
      <c r="AO23" s="2">
        <f t="shared" ref="AO23:AQ23" si="200">E23/Z23</f>
        <v>1.1712214166201896E-2</v>
      </c>
      <c r="AP23" s="2">
        <f t="shared" si="200"/>
        <v>1.1064278187565859E-2</v>
      </c>
      <c r="AQ23" s="2">
        <f t="shared" si="200"/>
        <v>1.1379030073150907E-2</v>
      </c>
      <c r="AR23" s="2">
        <f t="shared" si="11"/>
        <v>0.23535973229224763</v>
      </c>
      <c r="AS23" s="2">
        <f t="shared" ref="AS23:AT23" si="201">R23/AA23</f>
        <v>0.22233930453108536</v>
      </c>
      <c r="AT23" s="2">
        <f t="shared" si="201"/>
        <v>0.18992143050663776</v>
      </c>
      <c r="AU23" s="2">
        <f t="shared" ref="AU23:AW23" si="202">T23/W23</f>
        <v>8.8446655610834712E-3</v>
      </c>
      <c r="AV23" s="2">
        <f t="shared" si="157"/>
        <v>7.8410872974385773E-3</v>
      </c>
      <c r="AW23" s="2">
        <f t="shared" si="157"/>
        <v>8.3288554540569583E-3</v>
      </c>
    </row>
    <row r="24" spans="1:49" ht="15.75" customHeight="1" x14ac:dyDescent="0.15">
      <c r="A24" s="1">
        <v>2024</v>
      </c>
      <c r="B24" s="1" t="s">
        <v>49</v>
      </c>
      <c r="C24" s="1" t="s">
        <v>78</v>
      </c>
      <c r="D24" s="1" t="s">
        <v>84</v>
      </c>
      <c r="E24" s="1">
        <v>56</v>
      </c>
      <c r="F24" s="1">
        <v>17</v>
      </c>
      <c r="G24" s="1">
        <v>73</v>
      </c>
      <c r="H24" s="1">
        <v>830</v>
      </c>
      <c r="I24" s="1">
        <v>410</v>
      </c>
      <c r="J24" s="1">
        <v>1240</v>
      </c>
      <c r="K24" s="1">
        <v>522</v>
      </c>
      <c r="L24" s="1">
        <v>467</v>
      </c>
      <c r="M24" s="1">
        <v>989</v>
      </c>
      <c r="N24" s="1">
        <v>424</v>
      </c>
      <c r="O24" s="1">
        <v>279</v>
      </c>
      <c r="P24" s="1">
        <v>703</v>
      </c>
      <c r="Q24" s="1">
        <v>245</v>
      </c>
      <c r="R24" s="1">
        <v>350</v>
      </c>
      <c r="S24" s="1">
        <v>595</v>
      </c>
      <c r="T24" s="1">
        <v>31</v>
      </c>
      <c r="U24" s="1">
        <v>28</v>
      </c>
      <c r="V24" s="1">
        <v>59</v>
      </c>
      <c r="W24" s="1">
        <f t="shared" ref="W24:X24" si="203">SUM(E24,H24,K24,N24,Q24,T24)</f>
        <v>2108</v>
      </c>
      <c r="X24" s="1">
        <f t="shared" si="203"/>
        <v>1551</v>
      </c>
      <c r="Y24" s="1">
        <f t="shared" si="1"/>
        <v>3659</v>
      </c>
      <c r="Z24" s="1">
        <f t="shared" ref="Z24:AA24" si="204">W24-T24</f>
        <v>2077</v>
      </c>
      <c r="AA24" s="1">
        <f t="shared" si="204"/>
        <v>1523</v>
      </c>
      <c r="AB24" s="1">
        <f t="shared" si="3"/>
        <v>3600</v>
      </c>
      <c r="AC24" s="1">
        <f t="shared" ref="AC24:AD24" si="205">SUM(E24,H24,K24,N24)</f>
        <v>1832</v>
      </c>
      <c r="AD24" s="1">
        <f t="shared" si="205"/>
        <v>1173</v>
      </c>
      <c r="AE24" s="1">
        <f t="shared" si="5"/>
        <v>3005</v>
      </c>
      <c r="AF24" s="2">
        <f t="shared" ref="AF24:AH24" si="206">AC24/Z24</f>
        <v>0.88204140587385649</v>
      </c>
      <c r="AG24" s="2">
        <f t="shared" si="206"/>
        <v>0.77019041365725538</v>
      </c>
      <c r="AH24" s="2">
        <f t="shared" si="206"/>
        <v>0.83472222222222225</v>
      </c>
      <c r="AI24" s="1">
        <f t="shared" ref="AI24:AJ24" si="207">SUM(E24,H24,K24)</f>
        <v>1408</v>
      </c>
      <c r="AJ24" s="1">
        <f t="shared" si="207"/>
        <v>894</v>
      </c>
      <c r="AK24" s="1">
        <f t="shared" si="8"/>
        <v>2302</v>
      </c>
      <c r="AL24" s="2">
        <f t="shared" ref="AL24:AN24" si="208">AI24/Z24</f>
        <v>0.67790081848820416</v>
      </c>
      <c r="AM24" s="2">
        <f t="shared" si="208"/>
        <v>0.58699934340118187</v>
      </c>
      <c r="AN24" s="2">
        <f t="shared" si="208"/>
        <v>0.63944444444444448</v>
      </c>
      <c r="AO24" s="2">
        <f t="shared" ref="AO24:AQ24" si="209">E24/Z24</f>
        <v>2.6961964371689937E-2</v>
      </c>
      <c r="AP24" s="2">
        <f t="shared" si="209"/>
        <v>1.1162179908076166E-2</v>
      </c>
      <c r="AQ24" s="2">
        <f t="shared" si="209"/>
        <v>2.0277777777777777E-2</v>
      </c>
      <c r="AR24" s="2">
        <f t="shared" si="11"/>
        <v>0.16851227732306212</v>
      </c>
      <c r="AS24" s="2">
        <f t="shared" ref="AS24:AT24" si="210">R24/AA24</f>
        <v>0.22980958634274459</v>
      </c>
      <c r="AT24" s="2">
        <f t="shared" si="210"/>
        <v>0.16527777777777777</v>
      </c>
      <c r="AU24" s="2">
        <f t="shared" ref="AU24:AW24" si="211">T24/W24</f>
        <v>1.4705882352941176E-2</v>
      </c>
      <c r="AV24" s="2">
        <f t="shared" si="157"/>
        <v>1.8052869116698903E-2</v>
      </c>
      <c r="AW24" s="2">
        <f t="shared" si="157"/>
        <v>1.6124624214266192E-2</v>
      </c>
    </row>
    <row r="25" spans="1:49" ht="15.75" customHeight="1" x14ac:dyDescent="0.15">
      <c r="A25" s="1">
        <v>2024</v>
      </c>
      <c r="B25" s="1" t="s">
        <v>49</v>
      </c>
      <c r="C25" s="1" t="s">
        <v>80</v>
      </c>
      <c r="D25" s="1" t="s">
        <v>85</v>
      </c>
      <c r="E25" s="1">
        <v>78</v>
      </c>
      <c r="F25" s="1">
        <v>30</v>
      </c>
      <c r="G25" s="1">
        <v>108</v>
      </c>
      <c r="H25" s="1">
        <v>681</v>
      </c>
      <c r="I25" s="1">
        <v>485</v>
      </c>
      <c r="J25" s="1">
        <v>1166</v>
      </c>
      <c r="K25" s="1">
        <v>260</v>
      </c>
      <c r="L25" s="1">
        <v>378</v>
      </c>
      <c r="M25" s="1">
        <v>638</v>
      </c>
      <c r="N25" s="1">
        <v>170</v>
      </c>
      <c r="O25" s="1">
        <v>159</v>
      </c>
      <c r="P25" s="1">
        <v>329</v>
      </c>
      <c r="Q25" s="1">
        <v>145</v>
      </c>
      <c r="R25" s="1">
        <v>166</v>
      </c>
      <c r="S25" s="1">
        <v>311</v>
      </c>
      <c r="T25" s="1">
        <v>4</v>
      </c>
      <c r="U25" s="1">
        <v>9</v>
      </c>
      <c r="V25" s="1">
        <v>13</v>
      </c>
      <c r="W25" s="1">
        <f t="shared" ref="W25:X25" si="212">SUM(E25,H25,K25,N25,Q25,T25)</f>
        <v>1338</v>
      </c>
      <c r="X25" s="1">
        <f t="shared" si="212"/>
        <v>1227</v>
      </c>
      <c r="Y25" s="1">
        <f t="shared" si="1"/>
        <v>2565</v>
      </c>
      <c r="Z25" s="1">
        <f t="shared" ref="Z25:AA25" si="213">W25-T25</f>
        <v>1334</v>
      </c>
      <c r="AA25" s="1">
        <f t="shared" si="213"/>
        <v>1218</v>
      </c>
      <c r="AB25" s="1">
        <f t="shared" si="3"/>
        <v>2552</v>
      </c>
      <c r="AC25" s="1">
        <f t="shared" ref="AC25:AD25" si="214">SUM(E25,H25,K25,N25)</f>
        <v>1189</v>
      </c>
      <c r="AD25" s="1">
        <f t="shared" si="214"/>
        <v>1052</v>
      </c>
      <c r="AE25" s="1">
        <f t="shared" si="5"/>
        <v>2241</v>
      </c>
      <c r="AF25" s="2">
        <f t="shared" ref="AF25:AH25" si="215">AC25/Z25</f>
        <v>0.89130434782608692</v>
      </c>
      <c r="AG25" s="2">
        <f t="shared" si="215"/>
        <v>0.86371100164203618</v>
      </c>
      <c r="AH25" s="2">
        <f t="shared" si="215"/>
        <v>0.87813479623824453</v>
      </c>
      <c r="AI25" s="1">
        <f t="shared" ref="AI25:AJ25" si="216">SUM(E25,H25,K25)</f>
        <v>1019</v>
      </c>
      <c r="AJ25" s="1">
        <f t="shared" si="216"/>
        <v>893</v>
      </c>
      <c r="AK25" s="1">
        <f t="shared" si="8"/>
        <v>1912</v>
      </c>
      <c r="AL25" s="2">
        <f t="shared" ref="AL25:AN25" si="217">AI25/Z25</f>
        <v>0.76386806596701651</v>
      </c>
      <c r="AM25" s="2">
        <f t="shared" si="217"/>
        <v>0.73316912972085391</v>
      </c>
      <c r="AN25" s="2">
        <f t="shared" si="217"/>
        <v>0.7492163009404389</v>
      </c>
      <c r="AO25" s="2">
        <f t="shared" ref="AO25:AQ25" si="218">E25/Z25</f>
        <v>5.8470764617691157E-2</v>
      </c>
      <c r="AP25" s="2">
        <f t="shared" si="218"/>
        <v>2.4630541871921183E-2</v>
      </c>
      <c r="AQ25" s="2">
        <f t="shared" si="218"/>
        <v>4.2319749216300939E-2</v>
      </c>
      <c r="AR25" s="2">
        <f t="shared" si="11"/>
        <v>0.12443778110944528</v>
      </c>
      <c r="AS25" s="2">
        <f t="shared" ref="AS25:AT25" si="219">R25/AA25</f>
        <v>0.13628899835796388</v>
      </c>
      <c r="AT25" s="2">
        <f t="shared" si="219"/>
        <v>0.12186520376175548</v>
      </c>
      <c r="AU25" s="2">
        <f t="shared" ref="AU25:AW25" si="220">T25/W25</f>
        <v>2.9895366218236174E-3</v>
      </c>
      <c r="AV25" s="2">
        <f t="shared" si="157"/>
        <v>7.3349633251833741E-3</v>
      </c>
      <c r="AW25" s="2">
        <f t="shared" si="157"/>
        <v>5.0682261208577E-3</v>
      </c>
    </row>
    <row r="26" spans="1:49" ht="15.75" customHeight="1" x14ac:dyDescent="0.15">
      <c r="A26" s="1">
        <v>2024</v>
      </c>
      <c r="B26" s="1" t="s">
        <v>49</v>
      </c>
      <c r="C26" s="1" t="s">
        <v>67</v>
      </c>
      <c r="D26" s="1" t="s">
        <v>86</v>
      </c>
      <c r="E26" s="1">
        <v>292</v>
      </c>
      <c r="F26" s="1">
        <v>160</v>
      </c>
      <c r="G26" s="1">
        <v>452</v>
      </c>
      <c r="H26" s="1">
        <v>2307</v>
      </c>
      <c r="I26" s="1">
        <v>1796</v>
      </c>
      <c r="J26" s="1">
        <v>4103</v>
      </c>
      <c r="K26" s="1">
        <v>1018</v>
      </c>
      <c r="L26" s="1">
        <v>1342</v>
      </c>
      <c r="M26" s="1">
        <v>2360</v>
      </c>
      <c r="N26" s="1">
        <v>636</v>
      </c>
      <c r="O26" s="1">
        <v>608</v>
      </c>
      <c r="P26" s="1">
        <v>1244</v>
      </c>
      <c r="Q26" s="1">
        <v>357</v>
      </c>
      <c r="R26" s="1">
        <v>517</v>
      </c>
      <c r="S26" s="1">
        <v>874</v>
      </c>
      <c r="T26" s="1">
        <v>80</v>
      </c>
      <c r="U26" s="1">
        <v>66</v>
      </c>
      <c r="V26" s="1">
        <v>146</v>
      </c>
      <c r="W26" s="1">
        <f t="shared" ref="W26:X26" si="221">SUM(E26,H26,K26,N26,Q26,T26)</f>
        <v>4690</v>
      </c>
      <c r="X26" s="1">
        <f t="shared" si="221"/>
        <v>4489</v>
      </c>
      <c r="Y26" s="1">
        <f t="shared" si="1"/>
        <v>9179</v>
      </c>
      <c r="Z26" s="1">
        <f t="shared" ref="Z26:AA26" si="222">W26-T26</f>
        <v>4610</v>
      </c>
      <c r="AA26" s="1">
        <f t="shared" si="222"/>
        <v>4423</v>
      </c>
      <c r="AB26" s="1">
        <f t="shared" si="3"/>
        <v>9033</v>
      </c>
      <c r="AC26" s="1">
        <f t="shared" ref="AC26:AD26" si="223">SUM(E26,H26,K26,N26)</f>
        <v>4253</v>
      </c>
      <c r="AD26" s="1">
        <f t="shared" si="223"/>
        <v>3906</v>
      </c>
      <c r="AE26" s="1">
        <f t="shared" si="5"/>
        <v>8159</v>
      </c>
      <c r="AF26" s="2">
        <f t="shared" ref="AF26:AH26" si="224">AC26/Z26</f>
        <v>0.92255965292841646</v>
      </c>
      <c r="AG26" s="2">
        <f t="shared" si="224"/>
        <v>0.88311101062627173</v>
      </c>
      <c r="AH26" s="2">
        <f t="shared" si="224"/>
        <v>0.90324366212775375</v>
      </c>
      <c r="AI26" s="1">
        <f t="shared" ref="AI26:AJ26" si="225">SUM(E26,H26,K26)</f>
        <v>3617</v>
      </c>
      <c r="AJ26" s="1">
        <f t="shared" si="225"/>
        <v>3298</v>
      </c>
      <c r="AK26" s="1">
        <f t="shared" si="8"/>
        <v>6915</v>
      </c>
      <c r="AL26" s="2">
        <f t="shared" ref="AL26:AN26" si="226">AI26/Z26</f>
        <v>0.78459869848156183</v>
      </c>
      <c r="AM26" s="2">
        <f t="shared" si="226"/>
        <v>0.745647750395659</v>
      </c>
      <c r="AN26" s="2">
        <f t="shared" si="226"/>
        <v>0.76552640318830956</v>
      </c>
      <c r="AO26" s="2">
        <f t="shared" ref="AO26:AQ26" si="227">E26/Z26</f>
        <v>6.3340563991323207E-2</v>
      </c>
      <c r="AP26" s="2">
        <f t="shared" si="227"/>
        <v>3.6174542165950715E-2</v>
      </c>
      <c r="AQ26" s="2">
        <f t="shared" si="227"/>
        <v>5.0038746817225727E-2</v>
      </c>
      <c r="AR26" s="2">
        <f t="shared" si="11"/>
        <v>0.1121475054229935</v>
      </c>
      <c r="AS26" s="2">
        <f t="shared" ref="AS26:AT26" si="228">R26/AA26</f>
        <v>0.11688898937372824</v>
      </c>
      <c r="AT26" s="2">
        <f t="shared" si="228"/>
        <v>9.6756337872246204E-2</v>
      </c>
      <c r="AU26" s="2">
        <f t="shared" ref="AU26:AW26" si="229">T26/W26</f>
        <v>1.7057569296375266E-2</v>
      </c>
      <c r="AV26" s="2">
        <f t="shared" si="157"/>
        <v>1.4702606371129428E-2</v>
      </c>
      <c r="AW26" s="2">
        <f t="shared" si="157"/>
        <v>1.5905872099357229E-2</v>
      </c>
    </row>
    <row r="27" spans="1:49" ht="15.75" customHeight="1" x14ac:dyDescent="0.15">
      <c r="A27" s="1">
        <v>2024</v>
      </c>
      <c r="B27" s="1" t="s">
        <v>49</v>
      </c>
      <c r="C27" s="1" t="s">
        <v>70</v>
      </c>
      <c r="D27" s="1" t="s">
        <v>87</v>
      </c>
      <c r="E27" s="1">
        <v>149</v>
      </c>
      <c r="F27" s="1">
        <v>125</v>
      </c>
      <c r="G27" s="1">
        <v>274</v>
      </c>
      <c r="H27" s="1">
        <v>921</v>
      </c>
      <c r="I27" s="1">
        <v>840</v>
      </c>
      <c r="J27" s="1">
        <v>1761</v>
      </c>
      <c r="K27" s="1">
        <v>804</v>
      </c>
      <c r="L27" s="1">
        <v>977</v>
      </c>
      <c r="M27" s="1">
        <v>1781</v>
      </c>
      <c r="N27" s="1">
        <v>449</v>
      </c>
      <c r="O27" s="1">
        <v>452</v>
      </c>
      <c r="P27" s="1">
        <v>901</v>
      </c>
      <c r="Q27" s="1">
        <v>474</v>
      </c>
      <c r="R27" s="1">
        <v>570</v>
      </c>
      <c r="S27" s="1">
        <v>1044</v>
      </c>
      <c r="T27" s="1">
        <v>31</v>
      </c>
      <c r="U27" s="1">
        <v>35</v>
      </c>
      <c r="V27" s="1">
        <v>66</v>
      </c>
      <c r="W27" s="1">
        <f t="shared" ref="W27:X27" si="230">SUM(E27,H27,K27,N27,Q27,T27)</f>
        <v>2828</v>
      </c>
      <c r="X27" s="1">
        <f t="shared" si="230"/>
        <v>2999</v>
      </c>
      <c r="Y27" s="1">
        <f t="shared" si="1"/>
        <v>5827</v>
      </c>
      <c r="Z27" s="1">
        <f t="shared" ref="Z27:AA27" si="231">W27-T27</f>
        <v>2797</v>
      </c>
      <c r="AA27" s="1">
        <f t="shared" si="231"/>
        <v>2964</v>
      </c>
      <c r="AB27" s="1">
        <f t="shared" si="3"/>
        <v>5761</v>
      </c>
      <c r="AC27" s="1">
        <f t="shared" ref="AC27:AD27" si="232">SUM(E27,H27,K27,N27)</f>
        <v>2323</v>
      </c>
      <c r="AD27" s="1">
        <f t="shared" si="232"/>
        <v>2394</v>
      </c>
      <c r="AE27" s="1">
        <f t="shared" si="5"/>
        <v>4717</v>
      </c>
      <c r="AF27" s="2">
        <f t="shared" ref="AF27:AH27" si="233">AC27/Z27</f>
        <v>0.83053271362173753</v>
      </c>
      <c r="AG27" s="2">
        <f t="shared" si="233"/>
        <v>0.80769230769230771</v>
      </c>
      <c r="AH27" s="2">
        <f t="shared" si="233"/>
        <v>0.81878146155181397</v>
      </c>
      <c r="AI27" s="1">
        <f t="shared" ref="AI27:AJ27" si="234">SUM(E27,H27,K27)</f>
        <v>1874</v>
      </c>
      <c r="AJ27" s="1">
        <f t="shared" si="234"/>
        <v>1942</v>
      </c>
      <c r="AK27" s="1">
        <f t="shared" si="8"/>
        <v>3816</v>
      </c>
      <c r="AL27" s="2">
        <f t="shared" ref="AL27:AN27" si="235">AI27/Z27</f>
        <v>0.67000357525920629</v>
      </c>
      <c r="AM27" s="2">
        <f t="shared" si="235"/>
        <v>0.65519568151147101</v>
      </c>
      <c r="AN27" s="2">
        <f t="shared" si="235"/>
        <v>0.66238500260371458</v>
      </c>
      <c r="AO27" s="2">
        <f t="shared" ref="AO27:AQ27" si="236">E27/Z27</f>
        <v>5.3271362173757594E-2</v>
      </c>
      <c r="AP27" s="2">
        <f t="shared" si="236"/>
        <v>4.2172739541160596E-2</v>
      </c>
      <c r="AQ27" s="2">
        <f t="shared" si="236"/>
        <v>4.7561187293872591E-2</v>
      </c>
      <c r="AR27" s="2">
        <f t="shared" si="11"/>
        <v>0.20378977475866999</v>
      </c>
      <c r="AS27" s="2">
        <f t="shared" ref="AS27:AT27" si="237">R27/AA27</f>
        <v>0.19230769230769232</v>
      </c>
      <c r="AT27" s="2">
        <f t="shared" si="237"/>
        <v>0.18121853844818608</v>
      </c>
      <c r="AU27" s="2">
        <f t="shared" ref="AU27:AW27" si="238">T27/W27</f>
        <v>1.0961810466760962E-2</v>
      </c>
      <c r="AV27" s="2">
        <f t="shared" si="157"/>
        <v>1.1670556852284094E-2</v>
      </c>
      <c r="AW27" s="2">
        <f t="shared" si="157"/>
        <v>1.1326583147417196E-2</v>
      </c>
    </row>
    <row r="28" spans="1:49" ht="15.75" customHeight="1" x14ac:dyDescent="0.15">
      <c r="A28" s="1">
        <v>2024</v>
      </c>
      <c r="B28" s="1" t="s">
        <v>49</v>
      </c>
      <c r="C28" s="1" t="s">
        <v>62</v>
      </c>
      <c r="D28" s="1" t="s">
        <v>88</v>
      </c>
      <c r="E28" s="1">
        <v>54</v>
      </c>
      <c r="F28" s="1">
        <v>44</v>
      </c>
      <c r="G28" s="1">
        <v>98</v>
      </c>
      <c r="H28" s="1">
        <v>551</v>
      </c>
      <c r="I28" s="1">
        <v>755</v>
      </c>
      <c r="J28" s="1">
        <v>1306</v>
      </c>
      <c r="K28" s="1">
        <v>402</v>
      </c>
      <c r="L28" s="1">
        <v>577</v>
      </c>
      <c r="M28" s="1">
        <v>979</v>
      </c>
      <c r="N28" s="1">
        <v>231</v>
      </c>
      <c r="O28" s="1">
        <v>277</v>
      </c>
      <c r="P28" s="1">
        <v>508</v>
      </c>
      <c r="Q28" s="1">
        <v>212</v>
      </c>
      <c r="R28" s="1">
        <v>246</v>
      </c>
      <c r="S28" s="1">
        <v>458</v>
      </c>
      <c r="T28" s="1">
        <v>20</v>
      </c>
      <c r="U28" s="1">
        <v>40</v>
      </c>
      <c r="V28" s="1">
        <v>60</v>
      </c>
      <c r="W28" s="1">
        <f t="shared" ref="W28:X28" si="239">SUM(E28,H28,K28,N28,Q28,T28)</f>
        <v>1470</v>
      </c>
      <c r="X28" s="1">
        <f t="shared" si="239"/>
        <v>1939</v>
      </c>
      <c r="Y28" s="1">
        <f t="shared" si="1"/>
        <v>3409</v>
      </c>
      <c r="Z28" s="1">
        <f t="shared" ref="Z28:AA28" si="240">W28-T28</f>
        <v>1450</v>
      </c>
      <c r="AA28" s="1">
        <f t="shared" si="240"/>
        <v>1899</v>
      </c>
      <c r="AB28" s="1">
        <f t="shared" si="3"/>
        <v>3349</v>
      </c>
      <c r="AC28" s="1">
        <f t="shared" ref="AC28:AD28" si="241">SUM(E28,H28,K28,N28)</f>
        <v>1238</v>
      </c>
      <c r="AD28" s="1">
        <f t="shared" si="241"/>
        <v>1653</v>
      </c>
      <c r="AE28" s="1">
        <f t="shared" si="5"/>
        <v>2891</v>
      </c>
      <c r="AF28" s="2">
        <f t="shared" ref="AF28:AH28" si="242">AC28/Z28</f>
        <v>0.85379310344827586</v>
      </c>
      <c r="AG28" s="2">
        <f t="shared" si="242"/>
        <v>0.87045813586097942</v>
      </c>
      <c r="AH28" s="2">
        <f t="shared" si="242"/>
        <v>0.86324275903254699</v>
      </c>
      <c r="AI28" s="1">
        <f t="shared" ref="AI28:AJ28" si="243">SUM(E28,H28,K28)</f>
        <v>1007</v>
      </c>
      <c r="AJ28" s="1">
        <f t="shared" si="243"/>
        <v>1376</v>
      </c>
      <c r="AK28" s="1">
        <f t="shared" si="8"/>
        <v>2383</v>
      </c>
      <c r="AL28" s="2">
        <f t="shared" ref="AL28:AN28" si="244">AI28/Z28</f>
        <v>0.69448275862068964</v>
      </c>
      <c r="AM28" s="2">
        <f t="shared" si="244"/>
        <v>0.72459189046866768</v>
      </c>
      <c r="AN28" s="2">
        <f t="shared" si="244"/>
        <v>0.71155568826515381</v>
      </c>
      <c r="AO28" s="2">
        <f t="shared" ref="AO28:AQ28" si="245">E28/Z28</f>
        <v>3.7241379310344824E-2</v>
      </c>
      <c r="AP28" s="2">
        <f t="shared" si="245"/>
        <v>2.3170089520800422E-2</v>
      </c>
      <c r="AQ28" s="2">
        <f t="shared" si="245"/>
        <v>2.9262466407882951E-2</v>
      </c>
      <c r="AR28" s="2">
        <f t="shared" si="11"/>
        <v>0.1696551724137931</v>
      </c>
      <c r="AS28" s="2">
        <f t="shared" ref="AS28:AT28" si="246">R28/AA28</f>
        <v>0.12954186413902052</v>
      </c>
      <c r="AT28" s="2">
        <f t="shared" si="246"/>
        <v>0.13675724096745298</v>
      </c>
      <c r="AU28" s="2">
        <f t="shared" ref="AU28:AW28" si="247">T28/W28</f>
        <v>1.3605442176870748E-2</v>
      </c>
      <c r="AV28" s="2">
        <f t="shared" si="157"/>
        <v>2.0629190304280558E-2</v>
      </c>
      <c r="AW28" s="2">
        <f t="shared" si="157"/>
        <v>1.7600469345849221E-2</v>
      </c>
    </row>
    <row r="29" spans="1:49" ht="15.75" customHeight="1" x14ac:dyDescent="0.15">
      <c r="A29" s="1">
        <v>2024</v>
      </c>
      <c r="B29" s="1" t="s">
        <v>49</v>
      </c>
      <c r="C29" s="1" t="s">
        <v>89</v>
      </c>
      <c r="D29" s="1" t="s">
        <v>90</v>
      </c>
      <c r="E29" s="1">
        <v>124</v>
      </c>
      <c r="F29" s="1">
        <v>78</v>
      </c>
      <c r="G29" s="1">
        <v>202</v>
      </c>
      <c r="H29" s="1">
        <v>1682</v>
      </c>
      <c r="I29" s="1">
        <v>1728</v>
      </c>
      <c r="J29" s="1">
        <v>3410</v>
      </c>
      <c r="K29" s="1">
        <v>925</v>
      </c>
      <c r="L29" s="1">
        <v>1164</v>
      </c>
      <c r="M29" s="1">
        <v>2089</v>
      </c>
      <c r="N29" s="1">
        <v>426</v>
      </c>
      <c r="O29" s="1">
        <v>498</v>
      </c>
      <c r="P29" s="1">
        <v>924</v>
      </c>
      <c r="Q29" s="1">
        <v>401</v>
      </c>
      <c r="R29" s="1">
        <v>528</v>
      </c>
      <c r="S29" s="1">
        <v>929</v>
      </c>
      <c r="T29" s="1">
        <v>23</v>
      </c>
      <c r="U29" s="1">
        <v>30</v>
      </c>
      <c r="V29" s="1">
        <v>53</v>
      </c>
      <c r="W29" s="1">
        <f t="shared" ref="W29:X29" si="248">SUM(E29,H29,K29,N29,Q29,T29)</f>
        <v>3581</v>
      </c>
      <c r="X29" s="1">
        <f t="shared" si="248"/>
        <v>4026</v>
      </c>
      <c r="Y29" s="1">
        <f t="shared" si="1"/>
        <v>7607</v>
      </c>
      <c r="Z29" s="1">
        <f t="shared" ref="Z29:AA29" si="249">W29-T29</f>
        <v>3558</v>
      </c>
      <c r="AA29" s="1">
        <f t="shared" si="249"/>
        <v>3996</v>
      </c>
      <c r="AB29" s="1">
        <f t="shared" si="3"/>
        <v>7554</v>
      </c>
      <c r="AC29" s="1">
        <f t="shared" ref="AC29:AD29" si="250">SUM(E29,H29,K29,N29)</f>
        <v>3157</v>
      </c>
      <c r="AD29" s="1">
        <f t="shared" si="250"/>
        <v>3468</v>
      </c>
      <c r="AE29" s="1">
        <f t="shared" si="5"/>
        <v>6625</v>
      </c>
      <c r="AF29" s="2">
        <f t="shared" ref="AF29:AH29" si="251">AC29/Z29</f>
        <v>0.8872962338392355</v>
      </c>
      <c r="AG29" s="2">
        <f t="shared" si="251"/>
        <v>0.86786786786786785</v>
      </c>
      <c r="AH29" s="2">
        <f t="shared" si="251"/>
        <v>0.87701879798782101</v>
      </c>
      <c r="AI29" s="1">
        <f t="shared" ref="AI29:AJ29" si="252">SUM(E29,H29,K29)</f>
        <v>2731</v>
      </c>
      <c r="AJ29" s="1">
        <f t="shared" si="252"/>
        <v>2970</v>
      </c>
      <c r="AK29" s="1">
        <f t="shared" si="8"/>
        <v>5701</v>
      </c>
      <c r="AL29" s="2">
        <f t="shared" ref="AL29:AN29" si="253">AI29/Z29</f>
        <v>0.76756604834176501</v>
      </c>
      <c r="AM29" s="2">
        <f t="shared" si="253"/>
        <v>0.7432432432432432</v>
      </c>
      <c r="AN29" s="2">
        <f t="shared" si="253"/>
        <v>0.75469949695525551</v>
      </c>
      <c r="AO29" s="2">
        <f t="shared" ref="AO29:AQ29" si="254">E29/Z29</f>
        <v>3.4851039910061832E-2</v>
      </c>
      <c r="AP29" s="2">
        <f t="shared" si="254"/>
        <v>1.951951951951952E-2</v>
      </c>
      <c r="AQ29" s="2">
        <f t="shared" si="254"/>
        <v>2.6740799576383374E-2</v>
      </c>
      <c r="AR29" s="2">
        <f t="shared" si="11"/>
        <v>0.14839797639123103</v>
      </c>
      <c r="AS29" s="2">
        <f t="shared" ref="AS29:AT29" si="255">R29/AA29</f>
        <v>0.13213213213213212</v>
      </c>
      <c r="AT29" s="2">
        <f t="shared" si="255"/>
        <v>0.12298120201217898</v>
      </c>
      <c r="AU29" s="2">
        <f t="shared" ref="AU29:AW29" si="256">T29/W29</f>
        <v>6.4227869310248533E-3</v>
      </c>
      <c r="AV29" s="2">
        <f t="shared" si="157"/>
        <v>7.4515648286140089E-3</v>
      </c>
      <c r="AW29" s="2">
        <f t="shared" si="157"/>
        <v>6.9672669909294068E-3</v>
      </c>
    </row>
    <row r="30" spans="1:49" ht="15.75" customHeight="1" x14ac:dyDescent="0.15">
      <c r="A30" s="1">
        <v>2024</v>
      </c>
      <c r="B30" s="1" t="s">
        <v>49</v>
      </c>
      <c r="C30" s="1" t="s">
        <v>89</v>
      </c>
      <c r="D30" s="1" t="s">
        <v>91</v>
      </c>
      <c r="E30" s="1">
        <v>69</v>
      </c>
      <c r="F30" s="1">
        <v>56</v>
      </c>
      <c r="G30" s="1">
        <v>125</v>
      </c>
      <c r="H30" s="1">
        <v>764</v>
      </c>
      <c r="I30" s="1">
        <v>786</v>
      </c>
      <c r="J30" s="1">
        <v>1550</v>
      </c>
      <c r="K30" s="1">
        <v>440</v>
      </c>
      <c r="L30" s="1">
        <v>694</v>
      </c>
      <c r="M30" s="1">
        <v>1134</v>
      </c>
      <c r="N30" s="1">
        <v>276</v>
      </c>
      <c r="O30" s="1">
        <v>352</v>
      </c>
      <c r="P30" s="1">
        <v>628</v>
      </c>
      <c r="Q30" s="1">
        <v>265</v>
      </c>
      <c r="R30" s="1">
        <v>373</v>
      </c>
      <c r="S30" s="1">
        <v>638</v>
      </c>
      <c r="T30" s="1">
        <v>23</v>
      </c>
      <c r="U30" s="1">
        <v>46</v>
      </c>
      <c r="V30" s="1">
        <v>69</v>
      </c>
      <c r="W30" s="1">
        <f t="shared" ref="W30:X30" si="257">SUM(E30,H30,K30,N30,Q30,T30)</f>
        <v>1837</v>
      </c>
      <c r="X30" s="1">
        <f t="shared" si="257"/>
        <v>2307</v>
      </c>
      <c r="Y30" s="1">
        <f t="shared" si="1"/>
        <v>4144</v>
      </c>
      <c r="Z30" s="1">
        <f t="shared" ref="Z30:AA30" si="258">W30-T30</f>
        <v>1814</v>
      </c>
      <c r="AA30" s="1">
        <f t="shared" si="258"/>
        <v>2261</v>
      </c>
      <c r="AB30" s="1">
        <f t="shared" si="3"/>
        <v>4075</v>
      </c>
      <c r="AC30" s="1">
        <f t="shared" ref="AC30:AD30" si="259">SUM(E30,H30,K30,N30)</f>
        <v>1549</v>
      </c>
      <c r="AD30" s="1">
        <f t="shared" si="259"/>
        <v>1888</v>
      </c>
      <c r="AE30" s="1">
        <f t="shared" si="5"/>
        <v>3437</v>
      </c>
      <c r="AF30" s="2">
        <f t="shared" ref="AF30:AH30" si="260">AC30/Z30</f>
        <v>0.85391400220507163</v>
      </c>
      <c r="AG30" s="2">
        <f t="shared" si="260"/>
        <v>0.83502874834144181</v>
      </c>
      <c r="AH30" s="2">
        <f t="shared" si="260"/>
        <v>0.84343558282208586</v>
      </c>
      <c r="AI30" s="1">
        <f t="shared" ref="AI30:AJ30" si="261">SUM(E30,H30,K30)</f>
        <v>1273</v>
      </c>
      <c r="AJ30" s="1">
        <f t="shared" si="261"/>
        <v>1536</v>
      </c>
      <c r="AK30" s="1">
        <f t="shared" si="8"/>
        <v>2809</v>
      </c>
      <c r="AL30" s="2">
        <f t="shared" ref="AL30:AN30" si="262">AI30/Z30</f>
        <v>0.70176405733186331</v>
      </c>
      <c r="AM30" s="2">
        <f t="shared" si="262"/>
        <v>0.67934542237947815</v>
      </c>
      <c r="AN30" s="2">
        <f t="shared" si="262"/>
        <v>0.68932515337423317</v>
      </c>
      <c r="AO30" s="2">
        <f t="shared" ref="AO30:AQ30" si="263">E30/Z30</f>
        <v>3.8037486218302094E-2</v>
      </c>
      <c r="AP30" s="2">
        <f t="shared" si="263"/>
        <v>2.4767801857585141E-2</v>
      </c>
      <c r="AQ30" s="2">
        <f t="shared" si="263"/>
        <v>3.0674846625766871E-2</v>
      </c>
      <c r="AR30" s="2">
        <f t="shared" si="11"/>
        <v>0.20562293274531424</v>
      </c>
      <c r="AS30" s="2">
        <f t="shared" ref="AS30:AT30" si="264">R30/AA30</f>
        <v>0.16497125165855817</v>
      </c>
      <c r="AT30" s="2">
        <f t="shared" si="264"/>
        <v>0.15656441717791411</v>
      </c>
      <c r="AU30" s="2">
        <f t="shared" ref="AU30:AW30" si="265">T30/W30</f>
        <v>1.2520413718018509E-2</v>
      </c>
      <c r="AV30" s="2">
        <f t="shared" si="157"/>
        <v>1.9939315127871695E-2</v>
      </c>
      <c r="AW30" s="2">
        <f t="shared" si="157"/>
        <v>1.6650579150579152E-2</v>
      </c>
    </row>
    <row r="31" spans="1:49" ht="15.75" customHeight="1" x14ac:dyDescent="0.15">
      <c r="A31" s="1">
        <v>2024</v>
      </c>
      <c r="B31" s="1" t="s">
        <v>49</v>
      </c>
      <c r="C31" s="1" t="s">
        <v>54</v>
      </c>
      <c r="D31" s="1" t="s">
        <v>92</v>
      </c>
      <c r="E31" s="1">
        <v>186</v>
      </c>
      <c r="F31" s="1">
        <v>142</v>
      </c>
      <c r="G31" s="1">
        <v>328</v>
      </c>
      <c r="H31" s="1">
        <v>675</v>
      </c>
      <c r="I31" s="1">
        <v>823</v>
      </c>
      <c r="J31" s="1">
        <v>1498</v>
      </c>
      <c r="K31" s="1">
        <v>150</v>
      </c>
      <c r="L31" s="1">
        <v>195</v>
      </c>
      <c r="M31" s="1">
        <v>345</v>
      </c>
      <c r="N31" s="1">
        <v>33</v>
      </c>
      <c r="O31" s="1">
        <v>56</v>
      </c>
      <c r="P31" s="1">
        <v>89</v>
      </c>
      <c r="Q31" s="1">
        <v>22</v>
      </c>
      <c r="R31" s="1">
        <v>24</v>
      </c>
      <c r="S31" s="1">
        <v>46</v>
      </c>
      <c r="T31" s="1">
        <v>8</v>
      </c>
      <c r="U31" s="1">
        <v>8</v>
      </c>
      <c r="V31" s="1">
        <v>16</v>
      </c>
      <c r="W31" s="1">
        <f t="shared" ref="W31:X31" si="266">SUM(E31,H31,K31,N31,Q31,T31)</f>
        <v>1074</v>
      </c>
      <c r="X31" s="1">
        <f t="shared" si="266"/>
        <v>1248</v>
      </c>
      <c r="Y31" s="1">
        <f t="shared" si="1"/>
        <v>2322</v>
      </c>
      <c r="Z31" s="1">
        <f t="shared" ref="Z31:AA31" si="267">W31-T31</f>
        <v>1066</v>
      </c>
      <c r="AA31" s="1">
        <f t="shared" si="267"/>
        <v>1240</v>
      </c>
      <c r="AB31" s="1">
        <f t="shared" si="3"/>
        <v>2306</v>
      </c>
      <c r="AC31" s="1">
        <f t="shared" ref="AC31:AD31" si="268">SUM(E31,H31,K31,N31)</f>
        <v>1044</v>
      </c>
      <c r="AD31" s="1">
        <f t="shared" si="268"/>
        <v>1216</v>
      </c>
      <c r="AE31" s="1">
        <f t="shared" si="5"/>
        <v>2260</v>
      </c>
      <c r="AF31" s="2">
        <f t="shared" ref="AF31:AH31" si="269">AC31/Z31</f>
        <v>0.9793621013133208</v>
      </c>
      <c r="AG31" s="2">
        <f t="shared" si="269"/>
        <v>0.98064516129032253</v>
      </c>
      <c r="AH31" s="2">
        <f t="shared" si="269"/>
        <v>0.98005203816131825</v>
      </c>
      <c r="AI31" s="1">
        <f t="shared" ref="AI31:AJ31" si="270">SUM(E31,H31,K31)</f>
        <v>1011</v>
      </c>
      <c r="AJ31" s="1">
        <f t="shared" si="270"/>
        <v>1160</v>
      </c>
      <c r="AK31" s="1">
        <f t="shared" si="8"/>
        <v>2171</v>
      </c>
      <c r="AL31" s="2">
        <f t="shared" ref="AL31:AN31" si="271">AI31/Z31</f>
        <v>0.94840525328330205</v>
      </c>
      <c r="AM31" s="2">
        <f t="shared" si="271"/>
        <v>0.93548387096774188</v>
      </c>
      <c r="AN31" s="2">
        <f t="shared" si="271"/>
        <v>0.94145706851691235</v>
      </c>
      <c r="AO31" s="2">
        <f t="shared" ref="AO31:AQ31" si="272">E31/Z31</f>
        <v>0.17448405253283303</v>
      </c>
      <c r="AP31" s="2">
        <f t="shared" si="272"/>
        <v>0.11451612903225807</v>
      </c>
      <c r="AQ31" s="2">
        <f t="shared" si="272"/>
        <v>0.14223764093668689</v>
      </c>
      <c r="AR31" s="2">
        <f t="shared" si="11"/>
        <v>2.2514071294559099E-2</v>
      </c>
      <c r="AS31" s="2">
        <f t="shared" ref="AS31:AT31" si="273">R31/AA31</f>
        <v>1.935483870967742E-2</v>
      </c>
      <c r="AT31" s="2">
        <f t="shared" si="273"/>
        <v>1.9947961838681701E-2</v>
      </c>
      <c r="AU31" s="2">
        <f t="shared" ref="AU31:AW31" si="274">T31/W31</f>
        <v>7.4487895716945996E-3</v>
      </c>
      <c r="AV31" s="2">
        <f t="shared" si="157"/>
        <v>6.41025641025641E-3</v>
      </c>
      <c r="AW31" s="2">
        <f t="shared" si="157"/>
        <v>6.8906115417743325E-3</v>
      </c>
    </row>
    <row r="32" spans="1:49" ht="15.75" customHeight="1" x14ac:dyDescent="0.15">
      <c r="A32" s="1">
        <v>2024</v>
      </c>
      <c r="B32" s="1" t="s">
        <v>49</v>
      </c>
      <c r="C32" s="1" t="s">
        <v>93</v>
      </c>
      <c r="D32" s="1" t="s">
        <v>94</v>
      </c>
      <c r="E32" s="1">
        <v>709</v>
      </c>
      <c r="F32" s="1">
        <v>648</v>
      </c>
      <c r="G32" s="1">
        <v>1357</v>
      </c>
      <c r="H32" s="1">
        <v>2771</v>
      </c>
      <c r="I32" s="1">
        <v>3288</v>
      </c>
      <c r="J32" s="1">
        <v>6059</v>
      </c>
      <c r="K32" s="1">
        <v>999</v>
      </c>
      <c r="L32" s="1">
        <v>1385</v>
      </c>
      <c r="M32" s="1">
        <v>2384</v>
      </c>
      <c r="N32" s="1">
        <v>533</v>
      </c>
      <c r="O32" s="1">
        <v>642</v>
      </c>
      <c r="P32" s="1">
        <v>1175</v>
      </c>
      <c r="Q32" s="1">
        <v>629</v>
      </c>
      <c r="R32" s="1">
        <v>684</v>
      </c>
      <c r="S32" s="1">
        <v>1313</v>
      </c>
      <c r="T32" s="1">
        <v>74</v>
      </c>
      <c r="U32" s="1">
        <v>85</v>
      </c>
      <c r="V32" s="1">
        <v>159</v>
      </c>
      <c r="W32" s="1">
        <f t="shared" ref="W32:X32" si="275">SUM(E32,H32,K32,N32,Q32,T32)</f>
        <v>5715</v>
      </c>
      <c r="X32" s="1">
        <f t="shared" si="275"/>
        <v>6732</v>
      </c>
      <c r="Y32" s="1">
        <f t="shared" si="1"/>
        <v>12447</v>
      </c>
      <c r="Z32" s="1">
        <f t="shared" ref="Z32:AA32" si="276">W32-T32</f>
        <v>5641</v>
      </c>
      <c r="AA32" s="1">
        <f t="shared" si="276"/>
        <v>6647</v>
      </c>
      <c r="AB32" s="1">
        <f t="shared" si="3"/>
        <v>12288</v>
      </c>
      <c r="AC32" s="1">
        <f t="shared" ref="AC32:AD32" si="277">SUM(E32,H32,K32,N32)</f>
        <v>5012</v>
      </c>
      <c r="AD32" s="1">
        <f t="shared" si="277"/>
        <v>5963</v>
      </c>
      <c r="AE32" s="1">
        <f t="shared" si="5"/>
        <v>10975</v>
      </c>
      <c r="AF32" s="2">
        <f t="shared" ref="AF32:AH32" si="278">AC32/Z32</f>
        <v>0.8884949477043077</v>
      </c>
      <c r="AG32" s="2">
        <f t="shared" si="278"/>
        <v>0.89709643448172105</v>
      </c>
      <c r="AH32" s="2">
        <f t="shared" si="278"/>
        <v>0.89314778645833337</v>
      </c>
      <c r="AI32" s="1">
        <f t="shared" ref="AI32:AJ32" si="279">SUM(E32,H32,K32)</f>
        <v>4479</v>
      </c>
      <c r="AJ32" s="1">
        <f t="shared" si="279"/>
        <v>5321</v>
      </c>
      <c r="AK32" s="1">
        <f t="shared" si="8"/>
        <v>9800</v>
      </c>
      <c r="AL32" s="2">
        <f t="shared" ref="AL32:AN32" si="280">AI32/Z32</f>
        <v>0.79400815458252083</v>
      </c>
      <c r="AM32" s="2">
        <f t="shared" si="280"/>
        <v>0.80051150895140666</v>
      </c>
      <c r="AN32" s="2">
        <f t="shared" si="280"/>
        <v>0.79752604166666663</v>
      </c>
      <c r="AO32" s="2">
        <f t="shared" ref="AO32:AQ32" si="281">E32/Z32</f>
        <v>0.12568693494061337</v>
      </c>
      <c r="AP32" s="2">
        <f t="shared" si="281"/>
        <v>9.7487588385737928E-2</v>
      </c>
      <c r="AQ32" s="2">
        <f t="shared" si="281"/>
        <v>0.11043294270833333</v>
      </c>
      <c r="AR32" s="2">
        <f t="shared" si="11"/>
        <v>0.12125509661407552</v>
      </c>
      <c r="AS32" s="2">
        <f t="shared" ref="AS32:AT32" si="282">R32/AA32</f>
        <v>0.10290356551827892</v>
      </c>
      <c r="AT32" s="2">
        <f t="shared" si="282"/>
        <v>0.10685221354166667</v>
      </c>
      <c r="AU32" s="2">
        <f t="shared" ref="AU32:AW32" si="283">T32/W32</f>
        <v>1.2948381452318461E-2</v>
      </c>
      <c r="AV32" s="2">
        <f t="shared" si="157"/>
        <v>1.2626262626262626E-2</v>
      </c>
      <c r="AW32" s="2">
        <f t="shared" si="157"/>
        <v>1.2774162448782839E-2</v>
      </c>
    </row>
    <row r="33" spans="1:49" ht="15.75" customHeight="1" x14ac:dyDescent="0.15">
      <c r="A33" s="1">
        <v>2024</v>
      </c>
      <c r="B33" s="1" t="s">
        <v>49</v>
      </c>
      <c r="C33" s="1" t="s">
        <v>59</v>
      </c>
      <c r="D33" s="1" t="s">
        <v>95</v>
      </c>
      <c r="E33" s="1">
        <v>109</v>
      </c>
      <c r="F33" s="1">
        <v>65</v>
      </c>
      <c r="G33" s="1">
        <v>174</v>
      </c>
      <c r="H33" s="1">
        <v>1070</v>
      </c>
      <c r="I33" s="1">
        <v>934</v>
      </c>
      <c r="J33" s="1">
        <v>2004</v>
      </c>
      <c r="K33" s="1">
        <v>673</v>
      </c>
      <c r="L33" s="1">
        <v>975</v>
      </c>
      <c r="M33" s="1">
        <v>1648</v>
      </c>
      <c r="N33" s="1">
        <v>306</v>
      </c>
      <c r="O33" s="1">
        <v>350</v>
      </c>
      <c r="P33" s="1">
        <v>656</v>
      </c>
      <c r="Q33" s="1">
        <v>255</v>
      </c>
      <c r="R33" s="1">
        <v>376</v>
      </c>
      <c r="S33" s="1">
        <v>631</v>
      </c>
      <c r="T33" s="1">
        <v>12</v>
      </c>
      <c r="U33" s="1">
        <v>12</v>
      </c>
      <c r="V33" s="1">
        <v>24</v>
      </c>
      <c r="W33" s="1">
        <f t="shared" ref="W33:X33" si="284">SUM(E33,H33,K33,N33,Q33,T33)</f>
        <v>2425</v>
      </c>
      <c r="X33" s="1">
        <f t="shared" si="284"/>
        <v>2712</v>
      </c>
      <c r="Y33" s="1">
        <f t="shared" si="1"/>
        <v>5137</v>
      </c>
      <c r="Z33" s="1">
        <f t="shared" ref="Z33:AA33" si="285">W33-T33</f>
        <v>2413</v>
      </c>
      <c r="AA33" s="1">
        <f t="shared" si="285"/>
        <v>2700</v>
      </c>
      <c r="AB33" s="1">
        <f t="shared" si="3"/>
        <v>5113</v>
      </c>
      <c r="AC33" s="1">
        <f t="shared" ref="AC33:AD33" si="286">SUM(E33,H33,K33,N33)</f>
        <v>2158</v>
      </c>
      <c r="AD33" s="1">
        <f t="shared" si="286"/>
        <v>2324</v>
      </c>
      <c r="AE33" s="1">
        <f t="shared" si="5"/>
        <v>4482</v>
      </c>
      <c r="AF33" s="2">
        <f t="shared" ref="AF33:AH33" si="287">AC33/Z33</f>
        <v>0.89432242022378783</v>
      </c>
      <c r="AG33" s="2">
        <f t="shared" si="287"/>
        <v>0.8607407407407407</v>
      </c>
      <c r="AH33" s="2">
        <f t="shared" si="287"/>
        <v>0.87658908664189317</v>
      </c>
      <c r="AI33" s="1">
        <f t="shared" ref="AI33:AJ33" si="288">SUM(E33,H33,K33)</f>
        <v>1852</v>
      </c>
      <c r="AJ33" s="1">
        <f t="shared" si="288"/>
        <v>1974</v>
      </c>
      <c r="AK33" s="1">
        <f t="shared" si="8"/>
        <v>3826</v>
      </c>
      <c r="AL33" s="2">
        <f t="shared" ref="AL33:AN33" si="289">AI33/Z33</f>
        <v>0.76750932449233322</v>
      </c>
      <c r="AM33" s="2">
        <f t="shared" si="289"/>
        <v>0.73111111111111116</v>
      </c>
      <c r="AN33" s="2">
        <f t="shared" si="289"/>
        <v>0.74828867592411497</v>
      </c>
      <c r="AO33" s="2">
        <f t="shared" ref="AO33:AQ33" si="290">E33/Z33</f>
        <v>4.5171985080812264E-2</v>
      </c>
      <c r="AP33" s="2">
        <f t="shared" si="290"/>
        <v>2.4074074074074074E-2</v>
      </c>
      <c r="AQ33" s="2">
        <f t="shared" si="290"/>
        <v>3.4030901623313126E-2</v>
      </c>
      <c r="AR33" s="2">
        <f t="shared" si="11"/>
        <v>0.15582262743472855</v>
      </c>
      <c r="AS33" s="2">
        <f t="shared" ref="AS33:AT33" si="291">R33/AA33</f>
        <v>0.13925925925925925</v>
      </c>
      <c r="AT33" s="2">
        <f t="shared" si="291"/>
        <v>0.12341091335810679</v>
      </c>
      <c r="AU33" s="2">
        <f t="shared" ref="AU33:AW33" si="292">T33/W33</f>
        <v>4.9484536082474223E-3</v>
      </c>
      <c r="AV33" s="2">
        <f t="shared" si="157"/>
        <v>4.4247787610619468E-3</v>
      </c>
      <c r="AW33" s="2">
        <f t="shared" si="157"/>
        <v>4.6719875413665565E-3</v>
      </c>
    </row>
    <row r="34" spans="1:49" ht="15.75" customHeight="1" x14ac:dyDescent="0.15">
      <c r="A34" s="1">
        <v>2024</v>
      </c>
      <c r="B34" s="1" t="s">
        <v>49</v>
      </c>
      <c r="C34" s="1" t="s">
        <v>50</v>
      </c>
      <c r="D34" s="1" t="s">
        <v>96</v>
      </c>
      <c r="E34" s="1">
        <v>188</v>
      </c>
      <c r="F34" s="1">
        <v>202</v>
      </c>
      <c r="G34" s="1">
        <v>390</v>
      </c>
      <c r="H34" s="1">
        <v>1001</v>
      </c>
      <c r="I34" s="1">
        <v>1275</v>
      </c>
      <c r="J34" s="1">
        <v>2276</v>
      </c>
      <c r="K34" s="1">
        <v>389</v>
      </c>
      <c r="L34" s="1">
        <v>499</v>
      </c>
      <c r="M34" s="1">
        <v>888</v>
      </c>
      <c r="N34" s="1">
        <v>194</v>
      </c>
      <c r="O34" s="1">
        <v>230</v>
      </c>
      <c r="P34" s="1">
        <v>424</v>
      </c>
      <c r="Q34" s="1">
        <v>127</v>
      </c>
      <c r="R34" s="1">
        <v>126</v>
      </c>
      <c r="S34" s="1">
        <v>253</v>
      </c>
      <c r="T34" s="1">
        <v>56</v>
      </c>
      <c r="U34" s="1">
        <v>54</v>
      </c>
      <c r="V34" s="1">
        <v>110</v>
      </c>
      <c r="W34" s="1">
        <f t="shared" ref="W34:X34" si="293">SUM(E34,H34,K34,N34,Q34,T34)</f>
        <v>1955</v>
      </c>
      <c r="X34" s="1">
        <f t="shared" si="293"/>
        <v>2386</v>
      </c>
      <c r="Y34" s="1">
        <f t="shared" si="1"/>
        <v>4341</v>
      </c>
      <c r="Z34" s="1">
        <f t="shared" ref="Z34:AA34" si="294">W34-T34</f>
        <v>1899</v>
      </c>
      <c r="AA34" s="1">
        <f t="shared" si="294"/>
        <v>2332</v>
      </c>
      <c r="AB34" s="1">
        <f t="shared" si="3"/>
        <v>4231</v>
      </c>
      <c r="AC34" s="1">
        <f t="shared" ref="AC34:AD34" si="295">SUM(E34,H34,K34,N34)</f>
        <v>1772</v>
      </c>
      <c r="AD34" s="1">
        <f t="shared" si="295"/>
        <v>2206</v>
      </c>
      <c r="AE34" s="1">
        <f t="shared" si="5"/>
        <v>3978</v>
      </c>
      <c r="AF34" s="2">
        <f t="shared" ref="AF34:AH34" si="296">AC34/Z34</f>
        <v>0.93312269615587151</v>
      </c>
      <c r="AG34" s="2">
        <f t="shared" si="296"/>
        <v>0.94596912521440824</v>
      </c>
      <c r="AH34" s="2">
        <f t="shared" si="296"/>
        <v>0.94020326164027412</v>
      </c>
      <c r="AI34" s="1">
        <f t="shared" ref="AI34:AJ34" si="297">SUM(E34,H34,K34)</f>
        <v>1578</v>
      </c>
      <c r="AJ34" s="1">
        <f t="shared" si="297"/>
        <v>1976</v>
      </c>
      <c r="AK34" s="1">
        <f t="shared" si="8"/>
        <v>3554</v>
      </c>
      <c r="AL34" s="2">
        <f t="shared" ref="AL34:AN34" si="298">AI34/Z34</f>
        <v>0.83096366508688779</v>
      </c>
      <c r="AM34" s="2">
        <f t="shared" si="298"/>
        <v>0.84734133790737565</v>
      </c>
      <c r="AN34" s="2">
        <f t="shared" si="298"/>
        <v>0.83999054597021983</v>
      </c>
      <c r="AO34" s="2">
        <f t="shared" ref="AO34:AQ34" si="299">E34/Z34</f>
        <v>9.8999473407056351E-2</v>
      </c>
      <c r="AP34" s="2">
        <f t="shared" si="299"/>
        <v>8.662092624356775E-2</v>
      </c>
      <c r="AQ34" s="2">
        <f t="shared" si="299"/>
        <v>9.2176790356889624E-2</v>
      </c>
      <c r="AR34" s="2">
        <f t="shared" si="11"/>
        <v>6.6350710900473939E-2</v>
      </c>
      <c r="AS34" s="2">
        <f t="shared" ref="AS34:AT34" si="300">R34/AA34</f>
        <v>5.4030874785591765E-2</v>
      </c>
      <c r="AT34" s="2">
        <f t="shared" si="300"/>
        <v>5.9796738359725835E-2</v>
      </c>
      <c r="AU34" s="2">
        <f t="shared" ref="AU34:AW49" si="301">T34/W34</f>
        <v>2.8644501278772379E-2</v>
      </c>
      <c r="AV34" s="2">
        <f t="shared" si="301"/>
        <v>2.2632020117351215E-2</v>
      </c>
      <c r="AW34" s="2">
        <f t="shared" si="301"/>
        <v>2.533978346003225E-2</v>
      </c>
    </row>
    <row r="35" spans="1:49" ht="15.75" customHeight="1" x14ac:dyDescent="0.15">
      <c r="A35" s="1">
        <v>2024</v>
      </c>
      <c r="B35" s="1" t="s">
        <v>49</v>
      </c>
      <c r="C35" s="1" t="s">
        <v>62</v>
      </c>
      <c r="D35" s="1" t="s">
        <v>97</v>
      </c>
      <c r="E35" s="1">
        <v>7</v>
      </c>
      <c r="F35" s="1">
        <v>6</v>
      </c>
      <c r="G35" s="1">
        <v>13</v>
      </c>
      <c r="H35" s="1">
        <v>366</v>
      </c>
      <c r="I35" s="1">
        <v>391</v>
      </c>
      <c r="J35" s="1">
        <v>757</v>
      </c>
      <c r="K35" s="1">
        <v>360</v>
      </c>
      <c r="L35" s="1">
        <v>483</v>
      </c>
      <c r="M35" s="1">
        <v>843</v>
      </c>
      <c r="N35" s="1">
        <v>207</v>
      </c>
      <c r="O35" s="1">
        <v>271</v>
      </c>
      <c r="P35" s="1">
        <v>478</v>
      </c>
      <c r="Q35" s="1">
        <v>163</v>
      </c>
      <c r="R35" s="1">
        <v>228</v>
      </c>
      <c r="S35" s="1">
        <v>391</v>
      </c>
      <c r="T35" s="1">
        <v>4</v>
      </c>
      <c r="U35" s="1">
        <v>10</v>
      </c>
      <c r="V35" s="1">
        <v>14</v>
      </c>
      <c r="W35" s="1">
        <f t="shared" ref="W35:X35" si="302">SUM(E35,H35,K35,N35,Q35,T35)</f>
        <v>1107</v>
      </c>
      <c r="X35" s="1">
        <f t="shared" si="302"/>
        <v>1389</v>
      </c>
      <c r="Y35" s="1">
        <f t="shared" si="1"/>
        <v>2496</v>
      </c>
      <c r="Z35" s="1">
        <f t="shared" ref="Z35:AA35" si="303">W35-T35</f>
        <v>1103</v>
      </c>
      <c r="AA35" s="1">
        <f t="shared" si="303"/>
        <v>1379</v>
      </c>
      <c r="AB35" s="1">
        <f t="shared" si="3"/>
        <v>2482</v>
      </c>
      <c r="AC35" s="1">
        <f t="shared" ref="AC35:AD35" si="304">SUM(E35,H35,K35,N35)</f>
        <v>940</v>
      </c>
      <c r="AD35" s="1">
        <f t="shared" si="304"/>
        <v>1151</v>
      </c>
      <c r="AE35" s="1">
        <f t="shared" si="5"/>
        <v>2091</v>
      </c>
      <c r="AF35" s="2">
        <f t="shared" ref="AF35:AH35" si="305">AC35/Z35</f>
        <v>0.8522212148685403</v>
      </c>
      <c r="AG35" s="2">
        <f t="shared" si="305"/>
        <v>0.83466279912980423</v>
      </c>
      <c r="AH35" s="2">
        <f t="shared" si="305"/>
        <v>0.84246575342465757</v>
      </c>
      <c r="AI35" s="1">
        <f t="shared" ref="AI35:AJ35" si="306">SUM(E35,H35,K35)</f>
        <v>733</v>
      </c>
      <c r="AJ35" s="1">
        <f t="shared" si="306"/>
        <v>880</v>
      </c>
      <c r="AK35" s="1">
        <f t="shared" si="8"/>
        <v>1613</v>
      </c>
      <c r="AL35" s="2">
        <f t="shared" ref="AL35:AN35" si="307">AI35/Z35</f>
        <v>0.66455122393472343</v>
      </c>
      <c r="AM35" s="2">
        <f t="shared" si="307"/>
        <v>0.63814358230601886</v>
      </c>
      <c r="AN35" s="2">
        <f t="shared" si="307"/>
        <v>0.64987912973408546</v>
      </c>
      <c r="AO35" s="2">
        <f t="shared" ref="AO35:AQ35" si="308">E35/Z35</f>
        <v>6.3463281958295557E-3</v>
      </c>
      <c r="AP35" s="2">
        <f t="shared" si="308"/>
        <v>4.3509789702683103E-3</v>
      </c>
      <c r="AQ35" s="2">
        <f t="shared" si="308"/>
        <v>5.2377115229653506E-3</v>
      </c>
      <c r="AR35" s="2">
        <f t="shared" si="11"/>
        <v>0.20670897552130554</v>
      </c>
      <c r="AS35" s="2">
        <f t="shared" ref="AS35:AT35" si="309">R35/AA35</f>
        <v>0.16533720087019579</v>
      </c>
      <c r="AT35" s="2">
        <f t="shared" si="309"/>
        <v>0.15753424657534246</v>
      </c>
      <c r="AU35" s="2">
        <f t="shared" ref="AU35:AW35" si="310">T35/W35</f>
        <v>3.6133694670280035E-3</v>
      </c>
      <c r="AV35" s="2">
        <f t="shared" si="301"/>
        <v>7.199424046076314E-3</v>
      </c>
      <c r="AW35" s="2">
        <f t="shared" si="301"/>
        <v>5.608974358974359E-3</v>
      </c>
    </row>
    <row r="36" spans="1:49" ht="15.75" customHeight="1" x14ac:dyDescent="0.15">
      <c r="A36" s="1">
        <v>2024</v>
      </c>
      <c r="B36" s="1" t="s">
        <v>49</v>
      </c>
      <c r="C36" s="1" t="s">
        <v>62</v>
      </c>
      <c r="D36" s="1" t="s">
        <v>98</v>
      </c>
      <c r="E36" s="1">
        <v>32</v>
      </c>
      <c r="F36" s="1">
        <v>25</v>
      </c>
      <c r="G36" s="1">
        <v>57</v>
      </c>
      <c r="H36" s="1">
        <v>407</v>
      </c>
      <c r="I36" s="1">
        <v>379</v>
      </c>
      <c r="J36" s="1">
        <v>786</v>
      </c>
      <c r="K36" s="1">
        <v>374</v>
      </c>
      <c r="L36" s="1">
        <v>498</v>
      </c>
      <c r="M36" s="1">
        <v>872</v>
      </c>
      <c r="N36" s="1">
        <v>181</v>
      </c>
      <c r="O36" s="1">
        <v>237</v>
      </c>
      <c r="P36" s="1">
        <v>418</v>
      </c>
      <c r="Q36" s="1">
        <v>335</v>
      </c>
      <c r="R36" s="1">
        <v>419</v>
      </c>
      <c r="S36" s="1">
        <v>754</v>
      </c>
      <c r="T36" s="1">
        <v>24</v>
      </c>
      <c r="U36" s="1">
        <v>56</v>
      </c>
      <c r="V36" s="1">
        <v>80</v>
      </c>
      <c r="W36" s="1">
        <f t="shared" ref="W36:X36" si="311">SUM(E36,H36,K36,N36,Q36,T36)</f>
        <v>1353</v>
      </c>
      <c r="X36" s="1">
        <f t="shared" si="311"/>
        <v>1614</v>
      </c>
      <c r="Y36" s="1">
        <f t="shared" si="1"/>
        <v>2967</v>
      </c>
      <c r="Z36" s="1">
        <f t="shared" ref="Z36:AA36" si="312">W36-T36</f>
        <v>1329</v>
      </c>
      <c r="AA36" s="1">
        <f t="shared" si="312"/>
        <v>1558</v>
      </c>
      <c r="AB36" s="1">
        <f t="shared" si="3"/>
        <v>2887</v>
      </c>
      <c r="AC36" s="1">
        <f t="shared" ref="AC36:AD36" si="313">SUM(E36,H36,K36,N36)</f>
        <v>994</v>
      </c>
      <c r="AD36" s="1">
        <f t="shared" si="313"/>
        <v>1139</v>
      </c>
      <c r="AE36" s="1">
        <f t="shared" si="5"/>
        <v>2133</v>
      </c>
      <c r="AF36" s="2">
        <f t="shared" ref="AF36:AH36" si="314">AC36/Z36</f>
        <v>0.74793077501881111</v>
      </c>
      <c r="AG36" s="2">
        <f t="shared" si="314"/>
        <v>0.73106546854942234</v>
      </c>
      <c r="AH36" s="2">
        <f t="shared" si="314"/>
        <v>0.73882923449948046</v>
      </c>
      <c r="AI36" s="1">
        <f t="shared" ref="AI36:AJ36" si="315">SUM(E36,H36,K36)</f>
        <v>813</v>
      </c>
      <c r="AJ36" s="1">
        <f t="shared" si="315"/>
        <v>902</v>
      </c>
      <c r="AK36" s="1">
        <f t="shared" si="8"/>
        <v>1715</v>
      </c>
      <c r="AL36" s="2">
        <f t="shared" ref="AL36:AN36" si="316">AI36/Z36</f>
        <v>0.61173814898419865</v>
      </c>
      <c r="AM36" s="2">
        <f t="shared" si="316"/>
        <v>0.57894736842105265</v>
      </c>
      <c r="AN36" s="2">
        <f t="shared" si="316"/>
        <v>0.59404225839972291</v>
      </c>
      <c r="AO36" s="2">
        <f t="shared" ref="AO36:AQ36" si="317">E36/Z36</f>
        <v>2.4078254326561323E-2</v>
      </c>
      <c r="AP36" s="2">
        <f t="shared" si="317"/>
        <v>1.6046213093709884E-2</v>
      </c>
      <c r="AQ36" s="2">
        <f t="shared" si="317"/>
        <v>1.9743678559057846E-2</v>
      </c>
      <c r="AR36" s="2">
        <f t="shared" si="11"/>
        <v>0.31527464258841231</v>
      </c>
      <c r="AS36" s="2">
        <f t="shared" ref="AS36:AT36" si="318">R36/AA36</f>
        <v>0.26893453145057766</v>
      </c>
      <c r="AT36" s="2">
        <f t="shared" si="318"/>
        <v>0.2611707655005196</v>
      </c>
      <c r="AU36" s="2">
        <f t="shared" ref="AU36:AW36" si="319">T36/W36</f>
        <v>1.7738359201773836E-2</v>
      </c>
      <c r="AV36" s="2">
        <f t="shared" si="301"/>
        <v>3.4696406443618343E-2</v>
      </c>
      <c r="AW36" s="2">
        <f t="shared" si="301"/>
        <v>2.6963262554769128E-2</v>
      </c>
    </row>
    <row r="37" spans="1:49" ht="15.75" customHeight="1" x14ac:dyDescent="0.15">
      <c r="A37" s="1">
        <v>2024</v>
      </c>
      <c r="B37" s="1" t="s">
        <v>49</v>
      </c>
      <c r="C37" s="1" t="s">
        <v>99</v>
      </c>
      <c r="D37" s="1" t="s">
        <v>100</v>
      </c>
      <c r="E37" s="1">
        <v>36</v>
      </c>
      <c r="F37" s="1">
        <v>13</v>
      </c>
      <c r="G37" s="1">
        <v>49</v>
      </c>
      <c r="H37" s="1">
        <v>472</v>
      </c>
      <c r="I37" s="1">
        <v>272</v>
      </c>
      <c r="J37" s="1">
        <v>744</v>
      </c>
      <c r="K37" s="1">
        <v>268</v>
      </c>
      <c r="L37" s="1">
        <v>237</v>
      </c>
      <c r="M37" s="1">
        <v>505</v>
      </c>
      <c r="N37" s="1">
        <v>117</v>
      </c>
      <c r="O37" s="1">
        <v>118</v>
      </c>
      <c r="P37" s="1">
        <v>235</v>
      </c>
      <c r="Q37" s="1">
        <v>124</v>
      </c>
      <c r="R37" s="1">
        <v>184</v>
      </c>
      <c r="S37" s="1">
        <v>308</v>
      </c>
      <c r="T37" s="1">
        <v>5</v>
      </c>
      <c r="U37" s="1">
        <v>6</v>
      </c>
      <c r="V37" s="1">
        <v>11</v>
      </c>
      <c r="W37" s="1">
        <f t="shared" ref="W37:X37" si="320">SUM(E37,H37,K37,N37,Q37,T37)</f>
        <v>1022</v>
      </c>
      <c r="X37" s="1">
        <f t="shared" si="320"/>
        <v>830</v>
      </c>
      <c r="Y37" s="1">
        <f t="shared" si="1"/>
        <v>1852</v>
      </c>
      <c r="Z37" s="1">
        <f t="shared" ref="Z37:AA37" si="321">W37-T37</f>
        <v>1017</v>
      </c>
      <c r="AA37" s="1">
        <f t="shared" si="321"/>
        <v>824</v>
      </c>
      <c r="AB37" s="1">
        <f t="shared" si="3"/>
        <v>1841</v>
      </c>
      <c r="AC37" s="1">
        <f t="shared" ref="AC37:AD37" si="322">SUM(E37,H37,K37,N37)</f>
        <v>893</v>
      </c>
      <c r="AD37" s="1">
        <f t="shared" si="322"/>
        <v>640</v>
      </c>
      <c r="AE37" s="1">
        <f t="shared" si="5"/>
        <v>1533</v>
      </c>
      <c r="AF37" s="2">
        <f t="shared" ref="AF37:AH37" si="323">AC37/Z37</f>
        <v>0.87807276302851522</v>
      </c>
      <c r="AG37" s="2">
        <f t="shared" si="323"/>
        <v>0.77669902912621358</v>
      </c>
      <c r="AH37" s="2">
        <f t="shared" si="323"/>
        <v>0.83269961977186313</v>
      </c>
      <c r="AI37" s="1">
        <f t="shared" ref="AI37:AJ37" si="324">SUM(E37,H37,K37)</f>
        <v>776</v>
      </c>
      <c r="AJ37" s="1">
        <f t="shared" si="324"/>
        <v>522</v>
      </c>
      <c r="AK37" s="1">
        <f t="shared" si="8"/>
        <v>1298</v>
      </c>
      <c r="AL37" s="2">
        <f t="shared" ref="AL37:AN37" si="325">AI37/Z37</f>
        <v>0.76302851524090465</v>
      </c>
      <c r="AM37" s="2">
        <f t="shared" si="325"/>
        <v>0.63349514563106801</v>
      </c>
      <c r="AN37" s="2">
        <f t="shared" si="325"/>
        <v>0.70505160239000542</v>
      </c>
      <c r="AO37" s="2">
        <f t="shared" ref="AO37:AQ37" si="326">E37/Z37</f>
        <v>3.5398230088495575E-2</v>
      </c>
      <c r="AP37" s="2">
        <f t="shared" si="326"/>
        <v>1.5776699029126214E-2</v>
      </c>
      <c r="AQ37" s="2">
        <f t="shared" si="326"/>
        <v>2.6615969581749048E-2</v>
      </c>
      <c r="AR37" s="2">
        <f t="shared" si="11"/>
        <v>0.18092428711897737</v>
      </c>
      <c r="AS37" s="2">
        <f t="shared" ref="AS37:AT37" si="327">R37/AA37</f>
        <v>0.22330097087378642</v>
      </c>
      <c r="AT37" s="2">
        <f t="shared" si="327"/>
        <v>0.16730038022813687</v>
      </c>
      <c r="AU37" s="2">
        <f t="shared" ref="AU37:AW37" si="328">T37/W37</f>
        <v>4.8923679060665359E-3</v>
      </c>
      <c r="AV37" s="2">
        <f t="shared" si="301"/>
        <v>7.2289156626506026E-3</v>
      </c>
      <c r="AW37" s="2">
        <f t="shared" si="301"/>
        <v>5.9395248380129592E-3</v>
      </c>
    </row>
    <row r="38" spans="1:49" ht="15.75" customHeight="1" x14ac:dyDescent="0.15">
      <c r="A38" s="1">
        <v>2024</v>
      </c>
      <c r="B38" s="1" t="s">
        <v>49</v>
      </c>
      <c r="C38" s="1" t="s">
        <v>101</v>
      </c>
      <c r="D38" s="1" t="s">
        <v>102</v>
      </c>
      <c r="E38" s="1">
        <v>307</v>
      </c>
      <c r="F38" s="1">
        <v>224</v>
      </c>
      <c r="G38" s="1">
        <v>531</v>
      </c>
      <c r="H38" s="1">
        <v>1700</v>
      </c>
      <c r="I38" s="1">
        <v>1528</v>
      </c>
      <c r="J38" s="1">
        <v>3228</v>
      </c>
      <c r="K38" s="1">
        <v>327</v>
      </c>
      <c r="L38" s="1">
        <v>313</v>
      </c>
      <c r="M38" s="1">
        <v>640</v>
      </c>
      <c r="N38" s="1">
        <v>188</v>
      </c>
      <c r="O38" s="1">
        <v>169</v>
      </c>
      <c r="P38" s="1">
        <v>357</v>
      </c>
      <c r="Q38" s="1">
        <v>98</v>
      </c>
      <c r="R38" s="1">
        <v>53</v>
      </c>
      <c r="S38" s="1">
        <v>151</v>
      </c>
      <c r="T38" s="1">
        <v>52</v>
      </c>
      <c r="U38" s="1">
        <v>53</v>
      </c>
      <c r="V38" s="1">
        <v>105</v>
      </c>
      <c r="W38" s="1">
        <f t="shared" ref="W38:X38" si="329">SUM(E38,H38,K38,N38,Q38,T38)</f>
        <v>2672</v>
      </c>
      <c r="X38" s="1">
        <f t="shared" si="329"/>
        <v>2340</v>
      </c>
      <c r="Y38" s="1">
        <f t="shared" si="1"/>
        <v>5012</v>
      </c>
      <c r="Z38" s="1">
        <f t="shared" ref="Z38:AA38" si="330">W38-T38</f>
        <v>2620</v>
      </c>
      <c r="AA38" s="1">
        <f t="shared" si="330"/>
        <v>2287</v>
      </c>
      <c r="AB38" s="1">
        <f t="shared" si="3"/>
        <v>4907</v>
      </c>
      <c r="AC38" s="1">
        <f t="shared" ref="AC38:AD38" si="331">SUM(E38,H38,K38,N38)</f>
        <v>2522</v>
      </c>
      <c r="AD38" s="1">
        <f t="shared" si="331"/>
        <v>2234</v>
      </c>
      <c r="AE38" s="1">
        <f t="shared" si="5"/>
        <v>4756</v>
      </c>
      <c r="AF38" s="2">
        <f t="shared" ref="AF38:AH38" si="332">AC38/Z38</f>
        <v>0.96259541984732822</v>
      </c>
      <c r="AG38" s="2">
        <f t="shared" si="332"/>
        <v>0.97682553563620467</v>
      </c>
      <c r="AH38" s="2">
        <f t="shared" si="332"/>
        <v>0.96922763399225598</v>
      </c>
      <c r="AI38" s="1">
        <f t="shared" ref="AI38:AJ38" si="333">SUM(E38,H38,K38)</f>
        <v>2334</v>
      </c>
      <c r="AJ38" s="1">
        <f t="shared" si="333"/>
        <v>2065</v>
      </c>
      <c r="AK38" s="1">
        <f t="shared" si="8"/>
        <v>4399</v>
      </c>
      <c r="AL38" s="2">
        <f t="shared" ref="AL38:AN38" si="334">AI38/Z38</f>
        <v>0.8908396946564886</v>
      </c>
      <c r="AM38" s="2">
        <f t="shared" si="334"/>
        <v>0.90292960209881945</v>
      </c>
      <c r="AN38" s="2">
        <f t="shared" si="334"/>
        <v>0.896474424291828</v>
      </c>
      <c r="AO38" s="2">
        <f t="shared" ref="AO38:AQ38" si="335">E38/Z38</f>
        <v>0.11717557251908398</v>
      </c>
      <c r="AP38" s="2">
        <f t="shared" si="335"/>
        <v>9.7944905990380415E-2</v>
      </c>
      <c r="AQ38" s="2">
        <f t="shared" si="335"/>
        <v>0.1082127572855105</v>
      </c>
      <c r="AR38" s="2">
        <f t="shared" si="11"/>
        <v>2.0229007633587787E-2</v>
      </c>
      <c r="AS38" s="2">
        <f t="shared" ref="AS38:AT38" si="336">R38/AA38</f>
        <v>2.3174464363795364E-2</v>
      </c>
      <c r="AT38" s="2">
        <f t="shared" si="336"/>
        <v>3.077236600774404E-2</v>
      </c>
      <c r="AU38" s="2">
        <f t="shared" ref="AU38:AW38" si="337">T38/W38</f>
        <v>1.9461077844311378E-2</v>
      </c>
      <c r="AV38" s="2">
        <f t="shared" si="301"/>
        <v>2.2649572649572649E-2</v>
      </c>
      <c r="AW38" s="2">
        <f t="shared" si="301"/>
        <v>2.094972067039106E-2</v>
      </c>
    </row>
    <row r="39" spans="1:49" ht="15.75" customHeight="1" x14ac:dyDescent="0.15">
      <c r="A39" s="1">
        <v>2024</v>
      </c>
      <c r="B39" s="1" t="s">
        <v>49</v>
      </c>
      <c r="C39" s="1" t="s">
        <v>101</v>
      </c>
      <c r="D39" s="1" t="s">
        <v>103</v>
      </c>
      <c r="E39" s="1">
        <v>416</v>
      </c>
      <c r="F39" s="1">
        <v>440</v>
      </c>
      <c r="G39" s="1">
        <v>856</v>
      </c>
      <c r="H39" s="1">
        <v>1217</v>
      </c>
      <c r="I39" s="1">
        <v>1414</v>
      </c>
      <c r="J39" s="1">
        <v>2631</v>
      </c>
      <c r="K39" s="1">
        <v>127</v>
      </c>
      <c r="L39" s="1">
        <v>149</v>
      </c>
      <c r="M39" s="1">
        <v>276</v>
      </c>
      <c r="N39" s="1">
        <v>35</v>
      </c>
      <c r="O39" s="1">
        <v>45</v>
      </c>
      <c r="P39" s="1">
        <v>80</v>
      </c>
      <c r="Q39" s="1">
        <v>16</v>
      </c>
      <c r="R39" s="1">
        <v>10</v>
      </c>
      <c r="S39" s="1">
        <v>26</v>
      </c>
      <c r="T39" s="1">
        <v>21</v>
      </c>
      <c r="U39" s="1">
        <v>30</v>
      </c>
      <c r="V39" s="1">
        <v>51</v>
      </c>
      <c r="W39" s="1">
        <f t="shared" ref="W39:X39" si="338">SUM(E39,H39,K39,N39,Q39,T39)</f>
        <v>1832</v>
      </c>
      <c r="X39" s="1">
        <f t="shared" si="338"/>
        <v>2088</v>
      </c>
      <c r="Y39" s="1">
        <f t="shared" si="1"/>
        <v>3920</v>
      </c>
      <c r="Z39" s="1">
        <f t="shared" ref="Z39:AA39" si="339">W39-T39</f>
        <v>1811</v>
      </c>
      <c r="AA39" s="1">
        <f t="shared" si="339"/>
        <v>2058</v>
      </c>
      <c r="AB39" s="1">
        <f t="shared" si="3"/>
        <v>3869</v>
      </c>
      <c r="AC39" s="1">
        <f t="shared" ref="AC39:AD39" si="340">SUM(E39,H39,K39,N39)</f>
        <v>1795</v>
      </c>
      <c r="AD39" s="1">
        <f t="shared" si="340"/>
        <v>2048</v>
      </c>
      <c r="AE39" s="1">
        <f t="shared" si="5"/>
        <v>3843</v>
      </c>
      <c r="AF39" s="2">
        <f t="shared" ref="AF39:AH39" si="341">AC39/Z39</f>
        <v>0.99116510215350639</v>
      </c>
      <c r="AG39" s="2">
        <f t="shared" si="341"/>
        <v>0.99514091350826039</v>
      </c>
      <c r="AH39" s="2">
        <f t="shared" si="341"/>
        <v>0.99327991729128973</v>
      </c>
      <c r="AI39" s="1">
        <f t="shared" ref="AI39:AJ39" si="342">SUM(E39,H39,K39)</f>
        <v>1760</v>
      </c>
      <c r="AJ39" s="1">
        <f t="shared" si="342"/>
        <v>2003</v>
      </c>
      <c r="AK39" s="1">
        <f t="shared" si="8"/>
        <v>3763</v>
      </c>
      <c r="AL39" s="2">
        <f t="shared" ref="AL39:AN39" si="343">AI39/Z39</f>
        <v>0.97183876311430151</v>
      </c>
      <c r="AM39" s="2">
        <f t="shared" si="343"/>
        <v>0.97327502429543244</v>
      </c>
      <c r="AN39" s="2">
        <f t="shared" si="343"/>
        <v>0.9726027397260274</v>
      </c>
      <c r="AO39" s="2">
        <f t="shared" ref="AO39:AQ39" si="344">E39/Z39</f>
        <v>0.22970734400883489</v>
      </c>
      <c r="AP39" s="2">
        <f t="shared" si="344"/>
        <v>0.21379980563654033</v>
      </c>
      <c r="AQ39" s="2">
        <f t="shared" si="344"/>
        <v>0.22124579994830706</v>
      </c>
      <c r="AR39" s="2">
        <f t="shared" si="11"/>
        <v>5.5218111540585313E-3</v>
      </c>
      <c r="AS39" s="2">
        <f t="shared" ref="AS39:AT39" si="345">R39/AA39</f>
        <v>4.859086491739553E-3</v>
      </c>
      <c r="AT39" s="2">
        <f t="shared" si="345"/>
        <v>6.7200827087102611E-3</v>
      </c>
      <c r="AU39" s="2">
        <f t="shared" ref="AU39:AW39" si="346">T39/W39</f>
        <v>1.146288209606987E-2</v>
      </c>
      <c r="AV39" s="2">
        <f t="shared" si="301"/>
        <v>1.4367816091954023E-2</v>
      </c>
      <c r="AW39" s="2">
        <f t="shared" si="301"/>
        <v>1.3010204081632653E-2</v>
      </c>
    </row>
    <row r="40" spans="1:49" ht="15.75" customHeight="1" x14ac:dyDescent="0.15">
      <c r="A40" s="1">
        <v>2024</v>
      </c>
      <c r="B40" s="1" t="s">
        <v>49</v>
      </c>
      <c r="C40" s="1" t="s">
        <v>54</v>
      </c>
      <c r="D40" s="1" t="s">
        <v>104</v>
      </c>
      <c r="E40" s="1">
        <v>846</v>
      </c>
      <c r="F40" s="1">
        <v>891</v>
      </c>
      <c r="G40" s="1">
        <v>1737</v>
      </c>
      <c r="H40" s="1">
        <v>1791</v>
      </c>
      <c r="I40" s="1">
        <v>2040</v>
      </c>
      <c r="J40" s="1">
        <v>3831</v>
      </c>
      <c r="K40" s="1">
        <v>301</v>
      </c>
      <c r="L40" s="1">
        <v>368</v>
      </c>
      <c r="M40" s="1">
        <v>669</v>
      </c>
      <c r="N40" s="1">
        <v>125</v>
      </c>
      <c r="O40" s="1">
        <v>88</v>
      </c>
      <c r="P40" s="1">
        <v>213</v>
      </c>
      <c r="Q40" s="1">
        <v>40</v>
      </c>
      <c r="R40" s="1">
        <v>42</v>
      </c>
      <c r="S40" s="1">
        <v>82</v>
      </c>
      <c r="T40" s="1">
        <v>40</v>
      </c>
      <c r="U40" s="1">
        <v>59</v>
      </c>
      <c r="V40" s="1">
        <v>99</v>
      </c>
      <c r="W40" s="1">
        <f t="shared" ref="W40:X40" si="347">SUM(E40,H40,K40,N40,Q40,T40)</f>
        <v>3143</v>
      </c>
      <c r="X40" s="1">
        <f t="shared" si="347"/>
        <v>3488</v>
      </c>
      <c r="Y40" s="1">
        <f t="shared" si="1"/>
        <v>6631</v>
      </c>
      <c r="Z40" s="1">
        <f t="shared" ref="Z40:AA40" si="348">W40-T40</f>
        <v>3103</v>
      </c>
      <c r="AA40" s="1">
        <f t="shared" si="348"/>
        <v>3429</v>
      </c>
      <c r="AB40" s="1">
        <f t="shared" si="3"/>
        <v>6532</v>
      </c>
      <c r="AC40" s="1">
        <f t="shared" ref="AC40:AD40" si="349">SUM(E40,H40,K40,N40)</f>
        <v>3063</v>
      </c>
      <c r="AD40" s="1">
        <f t="shared" si="349"/>
        <v>3387</v>
      </c>
      <c r="AE40" s="1">
        <f t="shared" si="5"/>
        <v>6450</v>
      </c>
      <c r="AF40" s="2">
        <f t="shared" ref="AF40:AH40" si="350">AC40/Z40</f>
        <v>0.98710924911376086</v>
      </c>
      <c r="AG40" s="2">
        <f t="shared" si="350"/>
        <v>0.98775153105861768</v>
      </c>
      <c r="AH40" s="2">
        <f t="shared" si="350"/>
        <v>0.98744641763625229</v>
      </c>
      <c r="AI40" s="1">
        <f t="shared" ref="AI40:AJ40" si="351">SUM(E40,H40,K40)</f>
        <v>2938</v>
      </c>
      <c r="AJ40" s="1">
        <f t="shared" si="351"/>
        <v>3299</v>
      </c>
      <c r="AK40" s="1">
        <f t="shared" si="8"/>
        <v>6237</v>
      </c>
      <c r="AL40" s="2">
        <f t="shared" ref="AL40:AN40" si="352">AI40/Z40</f>
        <v>0.94682565259426366</v>
      </c>
      <c r="AM40" s="2">
        <f t="shared" si="352"/>
        <v>0.96208807232429283</v>
      </c>
      <c r="AN40" s="2">
        <f t="shared" si="352"/>
        <v>0.95483772198407835</v>
      </c>
      <c r="AO40" s="2">
        <f t="shared" ref="AO40:AQ40" si="353">E40/Z40</f>
        <v>0.27263938124395748</v>
      </c>
      <c r="AP40" s="2">
        <f t="shared" si="353"/>
        <v>0.25984251968503935</v>
      </c>
      <c r="AQ40" s="2">
        <f t="shared" si="353"/>
        <v>0.26592161665646052</v>
      </c>
      <c r="AR40" s="2">
        <f t="shared" si="11"/>
        <v>1.353528843055108E-2</v>
      </c>
      <c r="AS40" s="2">
        <f t="shared" ref="AS40:AT40" si="354">R40/AA40</f>
        <v>1.2248468941382326E-2</v>
      </c>
      <c r="AT40" s="2">
        <f t="shared" si="354"/>
        <v>1.2553582363747704E-2</v>
      </c>
      <c r="AU40" s="2">
        <f t="shared" ref="AU40:AW40" si="355">T40/W40</f>
        <v>1.2726694241170856E-2</v>
      </c>
      <c r="AV40" s="2">
        <f t="shared" si="301"/>
        <v>1.6915137614678898E-2</v>
      </c>
      <c r="AW40" s="2">
        <f t="shared" si="301"/>
        <v>1.4929874830342332E-2</v>
      </c>
    </row>
    <row r="41" spans="1:49" ht="15.75" customHeight="1" x14ac:dyDescent="0.15">
      <c r="A41" s="1">
        <v>2024</v>
      </c>
      <c r="B41" s="1" t="s">
        <v>49</v>
      </c>
      <c r="C41" s="1" t="s">
        <v>70</v>
      </c>
      <c r="D41" s="1" t="s">
        <v>105</v>
      </c>
      <c r="E41" s="1">
        <v>285</v>
      </c>
      <c r="F41" s="1">
        <v>237</v>
      </c>
      <c r="G41" s="1">
        <v>522</v>
      </c>
      <c r="H41" s="1">
        <v>1945</v>
      </c>
      <c r="I41" s="1">
        <v>2109</v>
      </c>
      <c r="J41" s="1">
        <v>4054</v>
      </c>
      <c r="K41" s="1">
        <v>634</v>
      </c>
      <c r="L41" s="1">
        <v>906</v>
      </c>
      <c r="M41" s="1">
        <v>1540</v>
      </c>
      <c r="N41" s="1">
        <v>288</v>
      </c>
      <c r="O41" s="1">
        <v>328</v>
      </c>
      <c r="P41" s="1">
        <v>616</v>
      </c>
      <c r="Q41" s="1">
        <v>160</v>
      </c>
      <c r="R41" s="1">
        <v>251</v>
      </c>
      <c r="S41" s="1">
        <v>411</v>
      </c>
      <c r="T41" s="1">
        <v>37</v>
      </c>
      <c r="U41" s="1">
        <v>51</v>
      </c>
      <c r="V41" s="1">
        <v>88</v>
      </c>
      <c r="W41" s="1">
        <f t="shared" ref="W41:X41" si="356">SUM(E41,H41,K41,N41,Q41,T41)</f>
        <v>3349</v>
      </c>
      <c r="X41" s="1">
        <f t="shared" si="356"/>
        <v>3882</v>
      </c>
      <c r="Y41" s="1">
        <f t="shared" si="1"/>
        <v>7231</v>
      </c>
      <c r="Z41" s="1">
        <f t="shared" ref="Z41:AA41" si="357">W41-T41</f>
        <v>3312</v>
      </c>
      <c r="AA41" s="1">
        <f t="shared" si="357"/>
        <v>3831</v>
      </c>
      <c r="AB41" s="1">
        <f t="shared" si="3"/>
        <v>7143</v>
      </c>
      <c r="AC41" s="1">
        <f t="shared" ref="AC41:AD41" si="358">SUM(E41,H41,K41,N41)</f>
        <v>3152</v>
      </c>
      <c r="AD41" s="1">
        <f t="shared" si="358"/>
        <v>3580</v>
      </c>
      <c r="AE41" s="1">
        <f t="shared" si="5"/>
        <v>6732</v>
      </c>
      <c r="AF41" s="2">
        <f t="shared" ref="AF41:AH41" si="359">AC41/Z41</f>
        <v>0.95169082125603865</v>
      </c>
      <c r="AG41" s="2">
        <f t="shared" si="359"/>
        <v>0.93448185852257892</v>
      </c>
      <c r="AH41" s="2">
        <f t="shared" si="359"/>
        <v>0.94246115077698445</v>
      </c>
      <c r="AI41" s="1">
        <f t="shared" ref="AI41:AJ41" si="360">SUM(E41,H41,K41)</f>
        <v>2864</v>
      </c>
      <c r="AJ41" s="1">
        <f t="shared" si="360"/>
        <v>3252</v>
      </c>
      <c r="AK41" s="1">
        <f t="shared" si="8"/>
        <v>6116</v>
      </c>
      <c r="AL41" s="2">
        <f t="shared" ref="AL41:AN41" si="361">AI41/Z41</f>
        <v>0.86473429951690817</v>
      </c>
      <c r="AM41" s="2">
        <f t="shared" si="361"/>
        <v>0.8488645262333594</v>
      </c>
      <c r="AN41" s="2">
        <f t="shared" si="361"/>
        <v>0.8562228755424891</v>
      </c>
      <c r="AO41" s="2">
        <f t="shared" ref="AO41:AQ41" si="362">E41/Z41</f>
        <v>8.6050724637681153E-2</v>
      </c>
      <c r="AP41" s="2">
        <f t="shared" si="362"/>
        <v>6.1863743148003129E-2</v>
      </c>
      <c r="AQ41" s="2">
        <f t="shared" si="362"/>
        <v>7.3078538429231413E-2</v>
      </c>
      <c r="AR41" s="2">
        <f t="shared" si="11"/>
        <v>7.5785024154589375E-2</v>
      </c>
      <c r="AS41" s="2">
        <f t="shared" ref="AS41:AT41" si="363">R41/AA41</f>
        <v>6.5518141477421035E-2</v>
      </c>
      <c r="AT41" s="2">
        <f t="shared" si="363"/>
        <v>5.753884922301554E-2</v>
      </c>
      <c r="AU41" s="2">
        <f t="shared" ref="AU41:AW41" si="364">T41/W41</f>
        <v>1.1048074051955807E-2</v>
      </c>
      <c r="AV41" s="2">
        <f t="shared" si="301"/>
        <v>1.3137557959814529E-2</v>
      </c>
      <c r="AW41" s="2">
        <f t="shared" si="301"/>
        <v>1.2169824367307427E-2</v>
      </c>
    </row>
    <row r="42" spans="1:49" ht="15.75" customHeight="1" x14ac:dyDescent="0.15">
      <c r="A42" s="1">
        <v>2024</v>
      </c>
      <c r="B42" s="1" t="s">
        <v>49</v>
      </c>
      <c r="C42" s="1" t="s">
        <v>70</v>
      </c>
      <c r="D42" s="1" t="s">
        <v>106</v>
      </c>
      <c r="E42" s="1">
        <v>113</v>
      </c>
      <c r="F42" s="1">
        <v>60</v>
      </c>
      <c r="G42" s="1">
        <v>173</v>
      </c>
      <c r="H42" s="1">
        <v>1105</v>
      </c>
      <c r="I42" s="1">
        <v>1036</v>
      </c>
      <c r="J42" s="1">
        <v>2141</v>
      </c>
      <c r="K42" s="1">
        <v>653</v>
      </c>
      <c r="L42" s="1">
        <v>812</v>
      </c>
      <c r="M42" s="1">
        <v>1465</v>
      </c>
      <c r="N42" s="1">
        <v>340</v>
      </c>
      <c r="O42" s="1">
        <v>389</v>
      </c>
      <c r="P42" s="1">
        <v>729</v>
      </c>
      <c r="Q42" s="1">
        <v>302</v>
      </c>
      <c r="R42" s="1">
        <v>377</v>
      </c>
      <c r="S42" s="1">
        <v>679</v>
      </c>
      <c r="T42" s="1">
        <v>56</v>
      </c>
      <c r="U42" s="1">
        <v>88</v>
      </c>
      <c r="V42" s="1">
        <v>144</v>
      </c>
      <c r="W42" s="1">
        <f t="shared" ref="W42:X42" si="365">SUM(E42,H42,K42,N42,Q42,T42)</f>
        <v>2569</v>
      </c>
      <c r="X42" s="1">
        <f t="shared" si="365"/>
        <v>2762</v>
      </c>
      <c r="Y42" s="1">
        <f t="shared" si="1"/>
        <v>5331</v>
      </c>
      <c r="Z42" s="1">
        <f t="shared" ref="Z42:AA42" si="366">W42-T42</f>
        <v>2513</v>
      </c>
      <c r="AA42" s="1">
        <f t="shared" si="366"/>
        <v>2674</v>
      </c>
      <c r="AB42" s="1">
        <f t="shared" si="3"/>
        <v>5187</v>
      </c>
      <c r="AC42" s="1">
        <f t="shared" ref="AC42:AD42" si="367">SUM(E42,H42,K42,N42)</f>
        <v>2211</v>
      </c>
      <c r="AD42" s="1">
        <f t="shared" si="367"/>
        <v>2297</v>
      </c>
      <c r="AE42" s="1">
        <f t="shared" si="5"/>
        <v>4508</v>
      </c>
      <c r="AF42" s="2">
        <f t="shared" ref="AF42:AH42" si="368">AC42/Z42</f>
        <v>0.87982491046557898</v>
      </c>
      <c r="AG42" s="2">
        <f t="shared" si="368"/>
        <v>0.85901271503365739</v>
      </c>
      <c r="AH42" s="2">
        <f t="shared" si="368"/>
        <v>0.8690958164642375</v>
      </c>
      <c r="AI42" s="1">
        <f t="shared" ref="AI42:AJ42" si="369">SUM(E42,H42,K42)</f>
        <v>1871</v>
      </c>
      <c r="AJ42" s="1">
        <f t="shared" si="369"/>
        <v>1908</v>
      </c>
      <c r="AK42" s="1">
        <f t="shared" si="8"/>
        <v>3779</v>
      </c>
      <c r="AL42" s="2">
        <f t="shared" ref="AL42:AN42" si="370">AI42/Z42</f>
        <v>0.74452845204934337</v>
      </c>
      <c r="AM42" s="2">
        <f t="shared" si="370"/>
        <v>0.7135377711293942</v>
      </c>
      <c r="AN42" s="2">
        <f t="shared" si="370"/>
        <v>0.72855214960478121</v>
      </c>
      <c r="AO42" s="2">
        <f t="shared" ref="AO42:AQ42" si="371">E42/Z42</f>
        <v>4.4966175885395941E-2</v>
      </c>
      <c r="AP42" s="2">
        <f t="shared" si="371"/>
        <v>2.243829468960359E-2</v>
      </c>
      <c r="AQ42" s="2">
        <f t="shared" si="371"/>
        <v>3.3352612299980718E-2</v>
      </c>
      <c r="AR42" s="2">
        <f t="shared" si="11"/>
        <v>0.15001989653800238</v>
      </c>
      <c r="AS42" s="2">
        <f t="shared" ref="AS42:AT42" si="372">R42/AA42</f>
        <v>0.14098728496634255</v>
      </c>
      <c r="AT42" s="2">
        <f t="shared" si="372"/>
        <v>0.13090418353576247</v>
      </c>
      <c r="AU42" s="2">
        <f t="shared" ref="AU42:AW42" si="373">T42/W42</f>
        <v>2.1798365122615803E-2</v>
      </c>
      <c r="AV42" s="2">
        <f t="shared" si="301"/>
        <v>3.1860970311368572E-2</v>
      </c>
      <c r="AW42" s="2">
        <f t="shared" si="301"/>
        <v>2.7011817670230726E-2</v>
      </c>
    </row>
    <row r="43" spans="1:49" ht="15.75" customHeight="1" x14ac:dyDescent="0.15">
      <c r="A43" s="1">
        <v>2024</v>
      </c>
      <c r="B43" s="1" t="s">
        <v>49</v>
      </c>
      <c r="C43" s="1" t="s">
        <v>50</v>
      </c>
      <c r="D43" s="1" t="s">
        <v>107</v>
      </c>
      <c r="E43" s="1">
        <v>148</v>
      </c>
      <c r="F43" s="1">
        <v>185</v>
      </c>
      <c r="G43" s="1">
        <v>333</v>
      </c>
      <c r="H43" s="1">
        <v>1134</v>
      </c>
      <c r="I43" s="1">
        <v>1519</v>
      </c>
      <c r="J43" s="1">
        <v>2653</v>
      </c>
      <c r="K43" s="1">
        <v>336</v>
      </c>
      <c r="L43" s="1">
        <v>437</v>
      </c>
      <c r="M43" s="1">
        <v>773</v>
      </c>
      <c r="N43" s="1">
        <v>223</v>
      </c>
      <c r="O43" s="1">
        <v>206</v>
      </c>
      <c r="P43" s="1">
        <v>429</v>
      </c>
      <c r="Q43" s="1">
        <v>111</v>
      </c>
      <c r="R43" s="1">
        <v>77</v>
      </c>
      <c r="S43" s="1">
        <v>188</v>
      </c>
      <c r="T43" s="1">
        <v>50</v>
      </c>
      <c r="U43" s="1">
        <v>42</v>
      </c>
      <c r="V43" s="1">
        <v>92</v>
      </c>
      <c r="W43" s="1">
        <f t="shared" ref="W43:X43" si="374">SUM(E43,H43,K43,N43,Q43,T43)</f>
        <v>2002</v>
      </c>
      <c r="X43" s="1">
        <f t="shared" si="374"/>
        <v>2466</v>
      </c>
      <c r="Y43" s="1">
        <f t="shared" si="1"/>
        <v>4468</v>
      </c>
      <c r="Z43" s="1">
        <f t="shared" ref="Z43:AA43" si="375">W43-T43</f>
        <v>1952</v>
      </c>
      <c r="AA43" s="1">
        <f t="shared" si="375"/>
        <v>2424</v>
      </c>
      <c r="AB43" s="1">
        <f t="shared" si="3"/>
        <v>4376</v>
      </c>
      <c r="AC43" s="1">
        <f t="shared" ref="AC43:AD43" si="376">SUM(E43,H43,K43,N43)</f>
        <v>1841</v>
      </c>
      <c r="AD43" s="1">
        <f t="shared" si="376"/>
        <v>2347</v>
      </c>
      <c r="AE43" s="1">
        <f t="shared" si="5"/>
        <v>4188</v>
      </c>
      <c r="AF43" s="2">
        <f t="shared" ref="AF43:AH43" si="377">AC43/Z43</f>
        <v>0.94313524590163933</v>
      </c>
      <c r="AG43" s="2">
        <f t="shared" si="377"/>
        <v>0.96823432343234328</v>
      </c>
      <c r="AH43" s="2">
        <f t="shared" si="377"/>
        <v>0.95703839122486289</v>
      </c>
      <c r="AI43" s="1">
        <f t="shared" ref="AI43:AJ43" si="378">SUM(E43,H43,K43)</f>
        <v>1618</v>
      </c>
      <c r="AJ43" s="1">
        <f t="shared" si="378"/>
        <v>2141</v>
      </c>
      <c r="AK43" s="1">
        <f t="shared" si="8"/>
        <v>3759</v>
      </c>
      <c r="AL43" s="2">
        <f t="shared" ref="AL43:AN43" si="379">AI43/Z43</f>
        <v>0.82889344262295084</v>
      </c>
      <c r="AM43" s="2">
        <f t="shared" si="379"/>
        <v>0.8832508250825083</v>
      </c>
      <c r="AN43" s="2">
        <f t="shared" si="379"/>
        <v>0.85900365630712983</v>
      </c>
      <c r="AO43" s="2">
        <f t="shared" ref="AO43:AQ43" si="380">E43/Z43</f>
        <v>7.5819672131147542E-2</v>
      </c>
      <c r="AP43" s="2">
        <f t="shared" si="380"/>
        <v>7.6320132013201314E-2</v>
      </c>
      <c r="AQ43" s="2">
        <f t="shared" si="380"/>
        <v>7.6096892138939665E-2</v>
      </c>
      <c r="AR43" s="2">
        <f t="shared" si="11"/>
        <v>3.9446721311475412E-2</v>
      </c>
      <c r="AS43" s="2">
        <f t="shared" ref="AS43:AT43" si="381">R43/AA43</f>
        <v>3.1765676567656768E-2</v>
      </c>
      <c r="AT43" s="2">
        <f t="shared" si="381"/>
        <v>4.2961608775137113E-2</v>
      </c>
      <c r="AU43" s="2">
        <f t="shared" ref="AU43:AW43" si="382">T43/W43</f>
        <v>2.4975024975024976E-2</v>
      </c>
      <c r="AV43" s="2">
        <f t="shared" si="301"/>
        <v>1.7031630170316302E-2</v>
      </c>
      <c r="AW43" s="2">
        <f t="shared" si="301"/>
        <v>2.0590868397493287E-2</v>
      </c>
    </row>
    <row r="44" spans="1:49" ht="15.75" customHeight="1" x14ac:dyDescent="0.15">
      <c r="A44" s="1">
        <v>2024</v>
      </c>
      <c r="B44" s="1" t="s">
        <v>49</v>
      </c>
      <c r="C44" s="1" t="s">
        <v>70</v>
      </c>
      <c r="D44" s="1" t="s">
        <v>108</v>
      </c>
      <c r="E44" s="1">
        <v>11</v>
      </c>
      <c r="F44" s="1">
        <v>6</v>
      </c>
      <c r="G44" s="1">
        <v>17</v>
      </c>
      <c r="H44" s="1">
        <v>430</v>
      </c>
      <c r="I44" s="1">
        <v>348</v>
      </c>
      <c r="J44" s="1">
        <v>778</v>
      </c>
      <c r="K44" s="1">
        <v>442</v>
      </c>
      <c r="L44" s="1">
        <v>553</v>
      </c>
      <c r="M44" s="1">
        <v>995</v>
      </c>
      <c r="N44" s="1">
        <v>277</v>
      </c>
      <c r="O44" s="1">
        <v>248</v>
      </c>
      <c r="P44" s="1">
        <v>525</v>
      </c>
      <c r="Q44" s="1">
        <v>290</v>
      </c>
      <c r="R44" s="1">
        <v>329</v>
      </c>
      <c r="S44" s="1">
        <v>619</v>
      </c>
      <c r="T44" s="1">
        <v>11</v>
      </c>
      <c r="U44" s="1">
        <v>15</v>
      </c>
      <c r="V44" s="1">
        <v>26</v>
      </c>
      <c r="W44" s="1">
        <f t="shared" ref="W44:X44" si="383">SUM(E44,H44,K44,N44,Q44,T44)</f>
        <v>1461</v>
      </c>
      <c r="X44" s="1">
        <f t="shared" si="383"/>
        <v>1499</v>
      </c>
      <c r="Y44" s="1">
        <f t="shared" si="1"/>
        <v>2960</v>
      </c>
      <c r="Z44" s="1">
        <f t="shared" ref="Z44:AA44" si="384">W44-T44</f>
        <v>1450</v>
      </c>
      <c r="AA44" s="1">
        <f t="shared" si="384"/>
        <v>1484</v>
      </c>
      <c r="AB44" s="1">
        <f t="shared" si="3"/>
        <v>2934</v>
      </c>
      <c r="AC44" s="1">
        <f t="shared" ref="AC44:AD44" si="385">SUM(E44,H44,K44,N44)</f>
        <v>1160</v>
      </c>
      <c r="AD44" s="1">
        <f t="shared" si="385"/>
        <v>1155</v>
      </c>
      <c r="AE44" s="1">
        <f t="shared" si="5"/>
        <v>2315</v>
      </c>
      <c r="AF44" s="2">
        <f t="shared" ref="AF44:AH44" si="386">AC44/Z44</f>
        <v>0.8</v>
      </c>
      <c r="AG44" s="2">
        <f t="shared" si="386"/>
        <v>0.77830188679245282</v>
      </c>
      <c r="AH44" s="2">
        <f t="shared" si="386"/>
        <v>0.78902522154055899</v>
      </c>
      <c r="AI44" s="1">
        <f t="shared" ref="AI44:AJ44" si="387">SUM(E44,H44,K44)</f>
        <v>883</v>
      </c>
      <c r="AJ44" s="1">
        <f t="shared" si="387"/>
        <v>907</v>
      </c>
      <c r="AK44" s="1">
        <f t="shared" si="8"/>
        <v>1790</v>
      </c>
      <c r="AL44" s="2">
        <f t="shared" ref="AL44:AN44" si="388">AI44/Z44</f>
        <v>0.60896551724137926</v>
      </c>
      <c r="AM44" s="2">
        <f t="shared" si="388"/>
        <v>0.61118598382749323</v>
      </c>
      <c r="AN44" s="2">
        <f t="shared" si="388"/>
        <v>0.61008861622358557</v>
      </c>
      <c r="AO44" s="2">
        <f t="shared" ref="AO44:AQ44" si="389">E44/Z44</f>
        <v>7.5862068965517242E-3</v>
      </c>
      <c r="AP44" s="2">
        <f t="shared" si="389"/>
        <v>4.0431266846361188E-3</v>
      </c>
      <c r="AQ44" s="2">
        <f t="shared" si="389"/>
        <v>5.794137695978187E-3</v>
      </c>
      <c r="AR44" s="2">
        <f t="shared" si="11"/>
        <v>0.22689655172413792</v>
      </c>
      <c r="AS44" s="2">
        <f t="shared" ref="AS44:AT44" si="390">R44/AA44</f>
        <v>0.22169811320754718</v>
      </c>
      <c r="AT44" s="2">
        <f t="shared" si="390"/>
        <v>0.21097477845944104</v>
      </c>
      <c r="AU44" s="2">
        <f t="shared" ref="AU44:AW44" si="391">T44/W44</f>
        <v>7.5290896646132786E-3</v>
      </c>
      <c r="AV44" s="2">
        <f t="shared" si="301"/>
        <v>1.0006671114076051E-2</v>
      </c>
      <c r="AW44" s="2">
        <f t="shared" si="301"/>
        <v>8.7837837837837843E-3</v>
      </c>
    </row>
    <row r="45" spans="1:49" ht="15.75" customHeight="1" x14ac:dyDescent="0.15">
      <c r="A45" s="1">
        <v>2024</v>
      </c>
      <c r="B45" s="1" t="s">
        <v>49</v>
      </c>
      <c r="C45" s="1" t="s">
        <v>93</v>
      </c>
      <c r="D45" s="1" t="s">
        <v>109</v>
      </c>
      <c r="E45" s="1">
        <v>10</v>
      </c>
      <c r="F45" s="1">
        <v>6</v>
      </c>
      <c r="G45" s="1">
        <v>16</v>
      </c>
      <c r="H45" s="1">
        <v>190</v>
      </c>
      <c r="I45" s="1">
        <v>155</v>
      </c>
      <c r="J45" s="1">
        <v>345</v>
      </c>
      <c r="K45" s="1">
        <v>52</v>
      </c>
      <c r="L45" s="1">
        <v>94</v>
      </c>
      <c r="M45" s="1">
        <v>146</v>
      </c>
      <c r="N45" s="1">
        <v>21</v>
      </c>
      <c r="O45" s="1">
        <v>26</v>
      </c>
      <c r="P45" s="1">
        <v>47</v>
      </c>
      <c r="Q45" s="1">
        <v>9</v>
      </c>
      <c r="R45" s="1">
        <v>15</v>
      </c>
      <c r="S45" s="1">
        <v>24</v>
      </c>
      <c r="T45" s="1">
        <v>7</v>
      </c>
      <c r="U45" s="1">
        <v>10</v>
      </c>
      <c r="V45" s="1">
        <v>17</v>
      </c>
      <c r="W45" s="1">
        <f t="shared" ref="W45:X45" si="392">SUM(E45,H45,K45,N45,Q45,T45)</f>
        <v>289</v>
      </c>
      <c r="X45" s="1">
        <f t="shared" si="392"/>
        <v>306</v>
      </c>
      <c r="Y45" s="1">
        <f t="shared" si="1"/>
        <v>595</v>
      </c>
      <c r="Z45" s="1">
        <f t="shared" ref="Z45:AA45" si="393">W45-T45</f>
        <v>282</v>
      </c>
      <c r="AA45" s="1">
        <f t="shared" si="393"/>
        <v>296</v>
      </c>
      <c r="AB45" s="1">
        <f t="shared" si="3"/>
        <v>578</v>
      </c>
      <c r="AC45" s="1">
        <f t="shared" ref="AC45:AD45" si="394">SUM(E45,H45,K45,N45)</f>
        <v>273</v>
      </c>
      <c r="AD45" s="1">
        <f t="shared" si="394"/>
        <v>281</v>
      </c>
      <c r="AE45" s="1">
        <f t="shared" si="5"/>
        <v>554</v>
      </c>
      <c r="AF45" s="2">
        <f t="shared" ref="AF45:AH45" si="395">AC45/Z45</f>
        <v>0.96808510638297873</v>
      </c>
      <c r="AG45" s="2">
        <f t="shared" si="395"/>
        <v>0.94932432432432434</v>
      </c>
      <c r="AH45" s="2">
        <f t="shared" si="395"/>
        <v>0.95847750865051906</v>
      </c>
      <c r="AI45" s="1">
        <f t="shared" ref="AI45:AJ45" si="396">SUM(E45,H45,K45)</f>
        <v>252</v>
      </c>
      <c r="AJ45" s="1">
        <f t="shared" si="396"/>
        <v>255</v>
      </c>
      <c r="AK45" s="1">
        <f t="shared" si="8"/>
        <v>507</v>
      </c>
      <c r="AL45" s="2">
        <f t="shared" ref="AL45:AN45" si="397">AI45/Z45</f>
        <v>0.8936170212765957</v>
      </c>
      <c r="AM45" s="2">
        <f t="shared" si="397"/>
        <v>0.86148648648648651</v>
      </c>
      <c r="AN45" s="2">
        <f t="shared" si="397"/>
        <v>0.87716262975778547</v>
      </c>
      <c r="AO45" s="2">
        <f t="shared" ref="AO45:AQ45" si="398">E45/Z45</f>
        <v>3.5460992907801421E-2</v>
      </c>
      <c r="AP45" s="2">
        <f t="shared" si="398"/>
        <v>2.0270270270270271E-2</v>
      </c>
      <c r="AQ45" s="2">
        <f t="shared" si="398"/>
        <v>2.768166089965398E-2</v>
      </c>
      <c r="AR45" s="2">
        <f t="shared" si="11"/>
        <v>5.3191489361702128E-2</v>
      </c>
      <c r="AS45" s="2">
        <f t="shared" ref="AS45:AT45" si="399">R45/AA45</f>
        <v>5.0675675675675678E-2</v>
      </c>
      <c r="AT45" s="2">
        <f t="shared" si="399"/>
        <v>4.1522491349480967E-2</v>
      </c>
      <c r="AU45" s="2">
        <f t="shared" ref="AU45:AW45" si="400">T45/W45</f>
        <v>2.4221453287197232E-2</v>
      </c>
      <c r="AV45" s="2">
        <f t="shared" si="301"/>
        <v>3.2679738562091505E-2</v>
      </c>
      <c r="AW45" s="2">
        <f t="shared" si="301"/>
        <v>2.8571428571428571E-2</v>
      </c>
    </row>
    <row r="46" spans="1:49" ht="15.75" customHeight="1" x14ac:dyDescent="0.15">
      <c r="A46" s="1">
        <v>2024</v>
      </c>
      <c r="B46" s="1" t="s">
        <v>49</v>
      </c>
      <c r="C46" s="1" t="s">
        <v>89</v>
      </c>
      <c r="D46" s="1" t="s">
        <v>110</v>
      </c>
      <c r="E46" s="1">
        <v>239</v>
      </c>
      <c r="F46" s="1">
        <v>204</v>
      </c>
      <c r="G46" s="1">
        <v>443</v>
      </c>
      <c r="H46" s="1">
        <v>1493</v>
      </c>
      <c r="I46" s="1">
        <v>1602</v>
      </c>
      <c r="J46" s="1">
        <v>3095</v>
      </c>
      <c r="K46" s="1">
        <v>611</v>
      </c>
      <c r="L46" s="1">
        <v>742</v>
      </c>
      <c r="M46" s="1">
        <v>1353</v>
      </c>
      <c r="N46" s="1">
        <v>287</v>
      </c>
      <c r="O46" s="1">
        <v>339</v>
      </c>
      <c r="P46" s="1">
        <v>626</v>
      </c>
      <c r="Q46" s="1">
        <v>110</v>
      </c>
      <c r="R46" s="1">
        <v>176</v>
      </c>
      <c r="S46" s="1">
        <v>286</v>
      </c>
      <c r="T46" s="1">
        <v>17</v>
      </c>
      <c r="U46" s="1">
        <v>46</v>
      </c>
      <c r="V46" s="1">
        <v>63</v>
      </c>
      <c r="W46" s="1">
        <f t="shared" ref="W46:X46" si="401">SUM(E46,H46,K46,N46,Q46,T46)</f>
        <v>2757</v>
      </c>
      <c r="X46" s="1">
        <f t="shared" si="401"/>
        <v>3109</v>
      </c>
      <c r="Y46" s="1">
        <f t="shared" si="1"/>
        <v>5866</v>
      </c>
      <c r="Z46" s="1">
        <f t="shared" ref="Z46:AA46" si="402">W46-T46</f>
        <v>2740</v>
      </c>
      <c r="AA46" s="1">
        <f t="shared" si="402"/>
        <v>3063</v>
      </c>
      <c r="AB46" s="1">
        <f t="shared" si="3"/>
        <v>5803</v>
      </c>
      <c r="AC46" s="1">
        <f t="shared" ref="AC46:AD46" si="403">SUM(E46,H46,K46,N46)</f>
        <v>2630</v>
      </c>
      <c r="AD46" s="1">
        <f t="shared" si="403"/>
        <v>2887</v>
      </c>
      <c r="AE46" s="1">
        <f t="shared" si="5"/>
        <v>5517</v>
      </c>
      <c r="AF46" s="2">
        <f t="shared" ref="AF46:AH46" si="404">AC46/Z46</f>
        <v>0.95985401459854014</v>
      </c>
      <c r="AG46" s="2">
        <f t="shared" si="404"/>
        <v>0.94253999347045381</v>
      </c>
      <c r="AH46" s="2">
        <f t="shared" si="404"/>
        <v>0.950715147337584</v>
      </c>
      <c r="AI46" s="1">
        <f t="shared" ref="AI46:AJ46" si="405">SUM(E46,H46,K46)</f>
        <v>2343</v>
      </c>
      <c r="AJ46" s="1">
        <f t="shared" si="405"/>
        <v>2548</v>
      </c>
      <c r="AK46" s="1">
        <f t="shared" si="8"/>
        <v>4891</v>
      </c>
      <c r="AL46" s="2">
        <f t="shared" ref="AL46:AN46" si="406">AI46/Z46</f>
        <v>0.85510948905109485</v>
      </c>
      <c r="AM46" s="2">
        <f t="shared" si="406"/>
        <v>0.831864185439112</v>
      </c>
      <c r="AN46" s="2">
        <f t="shared" si="406"/>
        <v>0.84283991039117701</v>
      </c>
      <c r="AO46" s="2">
        <f t="shared" ref="AO46:AQ46" si="407">E46/Z46</f>
        <v>8.7226277372262767E-2</v>
      </c>
      <c r="AP46" s="2">
        <f t="shared" si="407"/>
        <v>6.6601371204701276E-2</v>
      </c>
      <c r="AQ46" s="2">
        <f t="shared" si="407"/>
        <v>7.633982422884715E-2</v>
      </c>
      <c r="AR46" s="2">
        <f t="shared" si="11"/>
        <v>6.4233576642335768E-2</v>
      </c>
      <c r="AS46" s="2">
        <f t="shared" ref="AS46:AT46" si="408">R46/AA46</f>
        <v>5.74600065295462E-2</v>
      </c>
      <c r="AT46" s="2">
        <f t="shared" si="408"/>
        <v>4.9284852662415994E-2</v>
      </c>
      <c r="AU46" s="2">
        <f t="shared" ref="AU46:AW46" si="409">T46/W46</f>
        <v>6.1661225970257531E-3</v>
      </c>
      <c r="AV46" s="2">
        <f t="shared" si="301"/>
        <v>1.4795754261820521E-2</v>
      </c>
      <c r="AW46" s="2">
        <f t="shared" si="301"/>
        <v>1.0739856801909307E-2</v>
      </c>
    </row>
    <row r="47" spans="1:49" ht="15.75" customHeight="1" x14ac:dyDescent="0.15">
      <c r="A47" s="1">
        <v>2024</v>
      </c>
      <c r="B47" s="1" t="s">
        <v>49</v>
      </c>
      <c r="C47" s="1" t="s">
        <v>80</v>
      </c>
      <c r="D47" s="1" t="s">
        <v>111</v>
      </c>
      <c r="E47" s="1">
        <v>69</v>
      </c>
      <c r="F47" s="1">
        <v>47</v>
      </c>
      <c r="G47" s="1">
        <v>116</v>
      </c>
      <c r="H47" s="1">
        <v>599</v>
      </c>
      <c r="I47" s="1">
        <v>456</v>
      </c>
      <c r="J47" s="1">
        <v>1055</v>
      </c>
      <c r="K47" s="1">
        <v>473</v>
      </c>
      <c r="L47" s="1">
        <v>514</v>
      </c>
      <c r="M47" s="1">
        <v>987</v>
      </c>
      <c r="N47" s="1">
        <v>283</v>
      </c>
      <c r="O47" s="1">
        <v>257</v>
      </c>
      <c r="P47" s="1">
        <v>540</v>
      </c>
      <c r="Q47" s="1">
        <v>331</v>
      </c>
      <c r="R47" s="1">
        <v>346</v>
      </c>
      <c r="S47" s="1">
        <v>677</v>
      </c>
      <c r="T47" s="1">
        <v>10</v>
      </c>
      <c r="U47" s="1">
        <v>9</v>
      </c>
      <c r="V47" s="1">
        <v>19</v>
      </c>
      <c r="W47" s="1">
        <f t="shared" ref="W47:X47" si="410">SUM(E47,H47,K47,N47,Q47,T47)</f>
        <v>1765</v>
      </c>
      <c r="X47" s="1">
        <f t="shared" si="410"/>
        <v>1629</v>
      </c>
      <c r="Y47" s="1">
        <f t="shared" si="1"/>
        <v>3394</v>
      </c>
      <c r="Z47" s="1">
        <f t="shared" ref="Z47:AA47" si="411">W47-T47</f>
        <v>1755</v>
      </c>
      <c r="AA47" s="1">
        <f t="shared" si="411"/>
        <v>1620</v>
      </c>
      <c r="AB47" s="1">
        <f t="shared" si="3"/>
        <v>3375</v>
      </c>
      <c r="AC47" s="1">
        <f t="shared" ref="AC47:AD47" si="412">SUM(E47,H47,K47,N47)</f>
        <v>1424</v>
      </c>
      <c r="AD47" s="1">
        <f t="shared" si="412"/>
        <v>1274</v>
      </c>
      <c r="AE47" s="1">
        <f t="shared" si="5"/>
        <v>2698</v>
      </c>
      <c r="AF47" s="2">
        <f t="shared" ref="AF47:AH47" si="413">AC47/Z47</f>
        <v>0.81139601139601136</v>
      </c>
      <c r="AG47" s="2">
        <f t="shared" si="413"/>
        <v>0.78641975308641976</v>
      </c>
      <c r="AH47" s="2">
        <f t="shared" si="413"/>
        <v>0.79940740740740746</v>
      </c>
      <c r="AI47" s="1">
        <f t="shared" ref="AI47:AJ47" si="414">SUM(E47,H47,K47)</f>
        <v>1141</v>
      </c>
      <c r="AJ47" s="1">
        <f t="shared" si="414"/>
        <v>1017</v>
      </c>
      <c r="AK47" s="1">
        <f t="shared" si="8"/>
        <v>2158</v>
      </c>
      <c r="AL47" s="2">
        <f t="shared" ref="AL47:AN47" si="415">AI47/Z47</f>
        <v>0.65014245014245009</v>
      </c>
      <c r="AM47" s="2">
        <f t="shared" si="415"/>
        <v>0.62777777777777777</v>
      </c>
      <c r="AN47" s="2">
        <f t="shared" si="415"/>
        <v>0.63940740740740742</v>
      </c>
      <c r="AO47" s="2">
        <f t="shared" ref="AO47:AQ47" si="416">E47/Z47</f>
        <v>3.9316239316239315E-2</v>
      </c>
      <c r="AP47" s="2">
        <f t="shared" si="416"/>
        <v>2.9012345679012345E-2</v>
      </c>
      <c r="AQ47" s="2">
        <f t="shared" si="416"/>
        <v>3.4370370370370371E-2</v>
      </c>
      <c r="AR47" s="2">
        <f t="shared" si="11"/>
        <v>0.19715099715099715</v>
      </c>
      <c r="AS47" s="2">
        <f t="shared" ref="AS47:AT47" si="417">R47/AA47</f>
        <v>0.21358024691358024</v>
      </c>
      <c r="AT47" s="2">
        <f t="shared" si="417"/>
        <v>0.2005925925925926</v>
      </c>
      <c r="AU47" s="2">
        <f t="shared" ref="AU47:AW47" si="418">T47/W47</f>
        <v>5.6657223796033997E-3</v>
      </c>
      <c r="AV47" s="2">
        <f t="shared" si="301"/>
        <v>5.5248618784530384E-3</v>
      </c>
      <c r="AW47" s="2">
        <f t="shared" si="301"/>
        <v>5.5981143193871534E-3</v>
      </c>
    </row>
    <row r="48" spans="1:49" ht="15.75" customHeight="1" x14ac:dyDescent="0.15">
      <c r="A48" s="1">
        <v>2024</v>
      </c>
      <c r="B48" s="1" t="s">
        <v>49</v>
      </c>
      <c r="C48" s="1" t="s">
        <v>50</v>
      </c>
      <c r="D48" s="1" t="s">
        <v>112</v>
      </c>
      <c r="E48" s="1">
        <v>166</v>
      </c>
      <c r="F48" s="1">
        <v>134</v>
      </c>
      <c r="G48" s="1">
        <v>300</v>
      </c>
      <c r="H48" s="1">
        <v>1369</v>
      </c>
      <c r="I48" s="1">
        <v>1707</v>
      </c>
      <c r="J48" s="1">
        <v>3076</v>
      </c>
      <c r="K48" s="1">
        <v>354</v>
      </c>
      <c r="L48" s="1">
        <v>505</v>
      </c>
      <c r="M48" s="1">
        <v>859</v>
      </c>
      <c r="N48" s="1">
        <v>232</v>
      </c>
      <c r="O48" s="1">
        <v>232</v>
      </c>
      <c r="P48" s="1">
        <v>464</v>
      </c>
      <c r="Q48" s="1">
        <v>188</v>
      </c>
      <c r="R48" s="1">
        <v>177</v>
      </c>
      <c r="S48" s="1">
        <v>365</v>
      </c>
      <c r="T48" s="1">
        <v>42</v>
      </c>
      <c r="U48" s="1">
        <v>63</v>
      </c>
      <c r="V48" s="1">
        <v>105</v>
      </c>
      <c r="W48" s="1">
        <f t="shared" ref="W48:X48" si="419">SUM(E48,H48,K48,N48,Q48,T48)</f>
        <v>2351</v>
      </c>
      <c r="X48" s="1">
        <f t="shared" si="419"/>
        <v>2818</v>
      </c>
      <c r="Y48" s="1">
        <f t="shared" si="1"/>
        <v>5169</v>
      </c>
      <c r="Z48" s="1">
        <f t="shared" ref="Z48:AA48" si="420">W48-T48</f>
        <v>2309</v>
      </c>
      <c r="AA48" s="1">
        <f t="shared" si="420"/>
        <v>2755</v>
      </c>
      <c r="AB48" s="1">
        <f t="shared" si="3"/>
        <v>5064</v>
      </c>
      <c r="AC48" s="1">
        <f t="shared" ref="AC48:AD48" si="421">SUM(E48,H48,K48,N48)</f>
        <v>2121</v>
      </c>
      <c r="AD48" s="1">
        <f t="shared" si="421"/>
        <v>2578</v>
      </c>
      <c r="AE48" s="1">
        <f t="shared" si="5"/>
        <v>4699</v>
      </c>
      <c r="AF48" s="2">
        <f t="shared" ref="AF48:AH48" si="422">AC48/Z48</f>
        <v>0.91857947163274145</v>
      </c>
      <c r="AG48" s="2">
        <f t="shared" si="422"/>
        <v>0.93575317604355712</v>
      </c>
      <c r="AH48" s="2">
        <f t="shared" si="422"/>
        <v>0.92792259083728279</v>
      </c>
      <c r="AI48" s="1">
        <f t="shared" ref="AI48:AJ48" si="423">SUM(E48,H48,K48)</f>
        <v>1889</v>
      </c>
      <c r="AJ48" s="1">
        <f t="shared" si="423"/>
        <v>2346</v>
      </c>
      <c r="AK48" s="1">
        <f t="shared" si="8"/>
        <v>4235</v>
      </c>
      <c r="AL48" s="2">
        <f t="shared" ref="AL48:AN48" si="424">AI48/Z48</f>
        <v>0.81810307492420964</v>
      </c>
      <c r="AM48" s="2">
        <f t="shared" si="424"/>
        <v>0.85154264972776772</v>
      </c>
      <c r="AN48" s="2">
        <f t="shared" si="424"/>
        <v>0.83629541864139023</v>
      </c>
      <c r="AO48" s="2">
        <f t="shared" ref="AO48:AQ48" si="425">E48/Z48</f>
        <v>7.1892594196621917E-2</v>
      </c>
      <c r="AP48" s="2">
        <f t="shared" si="425"/>
        <v>4.8638838475499095E-2</v>
      </c>
      <c r="AQ48" s="2">
        <f t="shared" si="425"/>
        <v>5.9241706161137442E-2</v>
      </c>
      <c r="AR48" s="2">
        <f t="shared" si="11"/>
        <v>7.6656561281940233E-2</v>
      </c>
      <c r="AS48" s="2">
        <f t="shared" ref="AS48:AT48" si="426">R48/AA48</f>
        <v>6.4246823956442836E-2</v>
      </c>
      <c r="AT48" s="2">
        <f t="shared" si="426"/>
        <v>7.2077409162717224E-2</v>
      </c>
      <c r="AU48" s="2">
        <f t="shared" ref="AU48:AW48" si="427">T48/W48</f>
        <v>1.7864738409187581E-2</v>
      </c>
      <c r="AV48" s="2">
        <f t="shared" si="301"/>
        <v>2.2356281050390347E-2</v>
      </c>
      <c r="AW48" s="2">
        <f t="shared" si="301"/>
        <v>2.0313406848520024E-2</v>
      </c>
    </row>
    <row r="49" spans="1:49" ht="15.75" customHeight="1" x14ac:dyDescent="0.15">
      <c r="A49" s="1">
        <v>2024</v>
      </c>
      <c r="B49" s="1" t="s">
        <v>49</v>
      </c>
      <c r="C49" s="1" t="s">
        <v>78</v>
      </c>
      <c r="D49" s="1" t="s">
        <v>113</v>
      </c>
      <c r="E49" s="1">
        <v>468</v>
      </c>
      <c r="F49" s="1">
        <v>317</v>
      </c>
      <c r="G49" s="1">
        <v>785</v>
      </c>
      <c r="H49" s="1">
        <v>1831</v>
      </c>
      <c r="I49" s="1">
        <v>1673</v>
      </c>
      <c r="J49" s="1">
        <v>3504</v>
      </c>
      <c r="K49" s="1">
        <v>493</v>
      </c>
      <c r="L49" s="1">
        <v>777</v>
      </c>
      <c r="M49" s="1">
        <v>1270</v>
      </c>
      <c r="N49" s="1">
        <v>283</v>
      </c>
      <c r="O49" s="1">
        <v>342</v>
      </c>
      <c r="P49" s="1">
        <v>625</v>
      </c>
      <c r="Q49" s="1">
        <v>181</v>
      </c>
      <c r="R49" s="1">
        <v>276</v>
      </c>
      <c r="S49" s="1">
        <v>457</v>
      </c>
      <c r="T49" s="1">
        <v>38</v>
      </c>
      <c r="U49" s="1">
        <v>41</v>
      </c>
      <c r="V49" s="1">
        <v>79</v>
      </c>
      <c r="W49" s="1">
        <f t="shared" ref="W49:X49" si="428">SUM(E49,H49,K49,N49,Q49,T49)</f>
        <v>3294</v>
      </c>
      <c r="X49" s="1">
        <f t="shared" si="428"/>
        <v>3426</v>
      </c>
      <c r="Y49" s="1">
        <f t="shared" si="1"/>
        <v>6720</v>
      </c>
      <c r="Z49" s="1">
        <f t="shared" ref="Z49:AA49" si="429">W49-T49</f>
        <v>3256</v>
      </c>
      <c r="AA49" s="1">
        <f t="shared" si="429"/>
        <v>3385</v>
      </c>
      <c r="AB49" s="1">
        <f t="shared" si="3"/>
        <v>6641</v>
      </c>
      <c r="AC49" s="1">
        <f t="shared" ref="AC49:AD49" si="430">SUM(E49,H49,K49,N49)</f>
        <v>3075</v>
      </c>
      <c r="AD49" s="1">
        <f t="shared" si="430"/>
        <v>3109</v>
      </c>
      <c r="AE49" s="1">
        <f t="shared" si="5"/>
        <v>6184</v>
      </c>
      <c r="AF49" s="2">
        <f t="shared" ref="AF49:AH49" si="431">AC49/Z49</f>
        <v>0.94441031941031939</v>
      </c>
      <c r="AG49" s="2">
        <f t="shared" si="431"/>
        <v>0.91846381093057605</v>
      </c>
      <c r="AH49" s="2">
        <f t="shared" si="431"/>
        <v>0.93118506249058874</v>
      </c>
      <c r="AI49" s="1">
        <f t="shared" ref="AI49:AJ49" si="432">SUM(E49,H49,K49)</f>
        <v>2792</v>
      </c>
      <c r="AJ49" s="1">
        <f t="shared" si="432"/>
        <v>2767</v>
      </c>
      <c r="AK49" s="1">
        <f t="shared" si="8"/>
        <v>5559</v>
      </c>
      <c r="AL49" s="2">
        <f t="shared" ref="AL49:AN49" si="433">AI49/Z49</f>
        <v>0.85749385749385754</v>
      </c>
      <c r="AM49" s="2">
        <f t="shared" si="433"/>
        <v>0.81742983751846376</v>
      </c>
      <c r="AN49" s="2">
        <f t="shared" si="433"/>
        <v>0.83707273001054061</v>
      </c>
      <c r="AO49" s="2">
        <f t="shared" ref="AO49:AQ49" si="434">E49/Z49</f>
        <v>0.14373464373464373</v>
      </c>
      <c r="AP49" s="2">
        <f t="shared" si="434"/>
        <v>9.3648449039881829E-2</v>
      </c>
      <c r="AQ49" s="2">
        <f t="shared" si="434"/>
        <v>0.11820508959494053</v>
      </c>
      <c r="AR49" s="2">
        <f t="shared" si="11"/>
        <v>8.476658476658476E-2</v>
      </c>
      <c r="AS49" s="2">
        <f t="shared" ref="AS49:AT49" si="435">R49/AA49</f>
        <v>8.1536189069423934E-2</v>
      </c>
      <c r="AT49" s="2">
        <f t="shared" si="435"/>
        <v>6.8814937509411228E-2</v>
      </c>
      <c r="AU49" s="2">
        <f t="shared" ref="AU49:AW49" si="436">T49/W49</f>
        <v>1.1536126290224651E-2</v>
      </c>
      <c r="AV49" s="2">
        <f t="shared" si="301"/>
        <v>1.1967308814944542E-2</v>
      </c>
      <c r="AW49" s="2">
        <f t="shared" si="301"/>
        <v>1.1755952380952381E-2</v>
      </c>
    </row>
    <row r="50" spans="1:49" ht="15.75" customHeight="1" x14ac:dyDescent="0.15">
      <c r="A50" s="1">
        <v>2024</v>
      </c>
      <c r="B50" s="1" t="s">
        <v>49</v>
      </c>
      <c r="C50" s="1" t="s">
        <v>99</v>
      </c>
      <c r="D50" s="1" t="s">
        <v>114</v>
      </c>
      <c r="E50" s="1">
        <v>415</v>
      </c>
      <c r="F50" s="1">
        <v>360</v>
      </c>
      <c r="G50" s="1">
        <v>775</v>
      </c>
      <c r="H50" s="1">
        <v>1507</v>
      </c>
      <c r="I50" s="1">
        <v>1632</v>
      </c>
      <c r="J50" s="1">
        <v>3139</v>
      </c>
      <c r="K50" s="1">
        <v>602</v>
      </c>
      <c r="L50" s="1">
        <v>880</v>
      </c>
      <c r="M50" s="1">
        <v>1482</v>
      </c>
      <c r="N50" s="1">
        <v>276</v>
      </c>
      <c r="O50" s="1">
        <v>375</v>
      </c>
      <c r="P50" s="1">
        <v>651</v>
      </c>
      <c r="Q50" s="1">
        <v>328</v>
      </c>
      <c r="R50" s="1">
        <v>434</v>
      </c>
      <c r="S50" s="1">
        <v>762</v>
      </c>
      <c r="T50" s="1">
        <v>54</v>
      </c>
      <c r="U50" s="1">
        <v>65</v>
      </c>
      <c r="V50" s="1">
        <v>119</v>
      </c>
      <c r="W50" s="1">
        <f t="shared" ref="W50:X50" si="437">SUM(E50,H50,K50,N50,Q50,T50)</f>
        <v>3182</v>
      </c>
      <c r="X50" s="1">
        <f t="shared" si="437"/>
        <v>3746</v>
      </c>
      <c r="Y50" s="1">
        <f t="shared" si="1"/>
        <v>6928</v>
      </c>
      <c r="Z50" s="1">
        <f t="shared" ref="Z50:AA50" si="438">W50-T50</f>
        <v>3128</v>
      </c>
      <c r="AA50" s="1">
        <f t="shared" si="438"/>
        <v>3681</v>
      </c>
      <c r="AB50" s="1">
        <f t="shared" si="3"/>
        <v>6809</v>
      </c>
      <c r="AC50" s="1">
        <f t="shared" ref="AC50:AD50" si="439">SUM(E50,H50,K50,N50)</f>
        <v>2800</v>
      </c>
      <c r="AD50" s="1">
        <f t="shared" si="439"/>
        <v>3247</v>
      </c>
      <c r="AE50" s="1">
        <f t="shared" si="5"/>
        <v>6047</v>
      </c>
      <c r="AF50" s="2">
        <f t="shared" ref="AF50:AH50" si="440">AC50/Z50</f>
        <v>0.8951406649616368</v>
      </c>
      <c r="AG50" s="2">
        <f t="shared" si="440"/>
        <v>0.88209725618038581</v>
      </c>
      <c r="AH50" s="2">
        <f t="shared" si="440"/>
        <v>0.88808929358202382</v>
      </c>
      <c r="AI50" s="1">
        <f t="shared" ref="AI50:AJ50" si="441">SUM(E50,H50,K50)</f>
        <v>2524</v>
      </c>
      <c r="AJ50" s="1">
        <f t="shared" si="441"/>
        <v>2872</v>
      </c>
      <c r="AK50" s="1">
        <f t="shared" si="8"/>
        <v>5396</v>
      </c>
      <c r="AL50" s="2">
        <f t="shared" ref="AL50:AN50" si="442">AI50/Z50</f>
        <v>0.80690537084398972</v>
      </c>
      <c r="AM50" s="2">
        <f t="shared" si="442"/>
        <v>0.78022276555283887</v>
      </c>
      <c r="AN50" s="2">
        <f t="shared" si="442"/>
        <v>0.79248054046115435</v>
      </c>
      <c r="AO50" s="2">
        <f t="shared" ref="AO50:AQ50" si="443">E50/Z50</f>
        <v>0.13267263427109974</v>
      </c>
      <c r="AP50" s="2">
        <f t="shared" si="443"/>
        <v>9.7799511002444994E-2</v>
      </c>
      <c r="AQ50" s="2">
        <f t="shared" si="443"/>
        <v>0.11381994419151123</v>
      </c>
      <c r="AR50" s="2">
        <f t="shared" si="11"/>
        <v>0.13874680306905371</v>
      </c>
      <c r="AS50" s="2">
        <f t="shared" ref="AS50:AT50" si="444">R50/AA50</f>
        <v>0.11790274381961424</v>
      </c>
      <c r="AT50" s="2">
        <f t="shared" si="444"/>
        <v>0.11191070641797621</v>
      </c>
      <c r="AU50" s="2">
        <f t="shared" ref="AU50:AW65" si="445">T50/W50</f>
        <v>1.6970458830923948E-2</v>
      </c>
      <c r="AV50" s="2">
        <f t="shared" si="445"/>
        <v>1.7351841964762412E-2</v>
      </c>
      <c r="AW50" s="2">
        <f t="shared" si="445"/>
        <v>1.7176674364896075E-2</v>
      </c>
    </row>
    <row r="51" spans="1:49" ht="15.75" customHeight="1" x14ac:dyDescent="0.15">
      <c r="A51" s="1">
        <v>2024</v>
      </c>
      <c r="B51" s="1" t="s">
        <v>49</v>
      </c>
      <c r="C51" s="1" t="s">
        <v>54</v>
      </c>
      <c r="D51" s="1" t="s">
        <v>115</v>
      </c>
      <c r="E51" s="1">
        <v>567</v>
      </c>
      <c r="F51" s="1">
        <v>448</v>
      </c>
      <c r="G51" s="1">
        <v>1015</v>
      </c>
      <c r="H51" s="1">
        <v>1776</v>
      </c>
      <c r="I51" s="1">
        <v>2191</v>
      </c>
      <c r="J51" s="1">
        <v>3967</v>
      </c>
      <c r="K51" s="1">
        <v>238</v>
      </c>
      <c r="L51" s="1">
        <v>443</v>
      </c>
      <c r="M51" s="1">
        <v>681</v>
      </c>
      <c r="N51" s="1">
        <v>87</v>
      </c>
      <c r="O51" s="1">
        <v>115</v>
      </c>
      <c r="P51" s="1">
        <v>202</v>
      </c>
      <c r="Q51" s="1">
        <v>34</v>
      </c>
      <c r="R51" s="1">
        <v>52</v>
      </c>
      <c r="S51" s="1">
        <v>86</v>
      </c>
      <c r="T51" s="1">
        <v>38</v>
      </c>
      <c r="U51" s="1">
        <v>46</v>
      </c>
      <c r="V51" s="1">
        <v>84</v>
      </c>
      <c r="W51" s="1">
        <f t="shared" ref="W51:X51" si="446">SUM(E51,H51,K51,N51,Q51,T51)</f>
        <v>2740</v>
      </c>
      <c r="X51" s="1">
        <f t="shared" si="446"/>
        <v>3295</v>
      </c>
      <c r="Y51" s="1">
        <f t="shared" si="1"/>
        <v>6035</v>
      </c>
      <c r="Z51" s="1">
        <f t="shared" ref="Z51:AA51" si="447">W51-T51</f>
        <v>2702</v>
      </c>
      <c r="AA51" s="1">
        <f t="shared" si="447"/>
        <v>3249</v>
      </c>
      <c r="AB51" s="1">
        <f t="shared" si="3"/>
        <v>5951</v>
      </c>
      <c r="AC51" s="1">
        <f t="shared" ref="AC51:AD51" si="448">SUM(E51,H51,K51,N51)</f>
        <v>2668</v>
      </c>
      <c r="AD51" s="1">
        <f t="shared" si="448"/>
        <v>3197</v>
      </c>
      <c r="AE51" s="1">
        <f t="shared" si="5"/>
        <v>5865</v>
      </c>
      <c r="AF51" s="2">
        <f t="shared" ref="AF51:AH51" si="449">AC51/Z51</f>
        <v>0.98741672834937089</v>
      </c>
      <c r="AG51" s="2">
        <f t="shared" si="449"/>
        <v>0.98399507540781783</v>
      </c>
      <c r="AH51" s="2">
        <f t="shared" si="449"/>
        <v>0.98554864728617042</v>
      </c>
      <c r="AI51" s="1">
        <f t="shared" ref="AI51:AJ51" si="450">SUM(E51,H51,K51)</f>
        <v>2581</v>
      </c>
      <c r="AJ51" s="1">
        <f t="shared" si="450"/>
        <v>3082</v>
      </c>
      <c r="AK51" s="1">
        <f t="shared" si="8"/>
        <v>5663</v>
      </c>
      <c r="AL51" s="2">
        <f t="shared" ref="AL51:AN51" si="451">AI51/Z51</f>
        <v>0.9552183567727609</v>
      </c>
      <c r="AM51" s="2">
        <f t="shared" si="451"/>
        <v>0.9485995690981841</v>
      </c>
      <c r="AN51" s="2">
        <f t="shared" si="451"/>
        <v>0.95160477230717522</v>
      </c>
      <c r="AO51" s="2">
        <f t="shared" ref="AO51:AQ51" si="452">E51/Z51</f>
        <v>0.20984455958549222</v>
      </c>
      <c r="AP51" s="2">
        <f t="shared" si="452"/>
        <v>0.13788858110187749</v>
      </c>
      <c r="AQ51" s="2">
        <f t="shared" si="452"/>
        <v>0.17055956982019829</v>
      </c>
      <c r="AR51" s="2">
        <f t="shared" si="11"/>
        <v>1.924500370096225E-2</v>
      </c>
      <c r="AS51" s="2">
        <f t="shared" ref="AS51:AT51" si="453">R51/AA51</f>
        <v>1.600492459218221E-2</v>
      </c>
      <c r="AT51" s="2">
        <f t="shared" si="453"/>
        <v>1.4451352713829609E-2</v>
      </c>
      <c r="AU51" s="2">
        <f t="shared" ref="AU51:AW51" si="454">T51/W51</f>
        <v>1.3868613138686132E-2</v>
      </c>
      <c r="AV51" s="2">
        <f t="shared" si="445"/>
        <v>1.3960546282245826E-2</v>
      </c>
      <c r="AW51" s="2">
        <f t="shared" si="445"/>
        <v>1.3918806959403479E-2</v>
      </c>
    </row>
    <row r="52" spans="1:49" ht="15.75" customHeight="1" x14ac:dyDescent="0.15">
      <c r="A52" s="1">
        <v>2024</v>
      </c>
      <c r="B52" s="1" t="s">
        <v>49</v>
      </c>
      <c r="C52" s="1" t="s">
        <v>89</v>
      </c>
      <c r="D52" s="1" t="s">
        <v>116</v>
      </c>
      <c r="E52" s="1">
        <v>388</v>
      </c>
      <c r="F52" s="1">
        <v>342</v>
      </c>
      <c r="G52" s="1">
        <v>730</v>
      </c>
      <c r="H52" s="1">
        <v>2043</v>
      </c>
      <c r="I52" s="1">
        <v>2506</v>
      </c>
      <c r="J52" s="1">
        <v>4549</v>
      </c>
      <c r="K52" s="1">
        <v>884</v>
      </c>
      <c r="L52" s="1">
        <v>1272</v>
      </c>
      <c r="M52" s="1">
        <v>2156</v>
      </c>
      <c r="N52" s="1">
        <v>443</v>
      </c>
      <c r="O52" s="1">
        <v>611</v>
      </c>
      <c r="P52" s="1">
        <v>1054</v>
      </c>
      <c r="Q52" s="1">
        <v>464</v>
      </c>
      <c r="R52" s="1">
        <v>699</v>
      </c>
      <c r="S52" s="1">
        <v>1163</v>
      </c>
      <c r="T52" s="1">
        <v>50</v>
      </c>
      <c r="U52" s="1">
        <v>55</v>
      </c>
      <c r="V52" s="1">
        <v>105</v>
      </c>
      <c r="W52" s="1">
        <f t="shared" ref="W52:X52" si="455">SUM(E52,H52,K52,N52,Q52,T52)</f>
        <v>4272</v>
      </c>
      <c r="X52" s="1">
        <f t="shared" si="455"/>
        <v>5485</v>
      </c>
      <c r="Y52" s="1">
        <f t="shared" si="1"/>
        <v>9757</v>
      </c>
      <c r="Z52" s="1">
        <f t="shared" ref="Z52:AA52" si="456">W52-T52</f>
        <v>4222</v>
      </c>
      <c r="AA52" s="1">
        <f t="shared" si="456"/>
        <v>5430</v>
      </c>
      <c r="AB52" s="1">
        <f t="shared" si="3"/>
        <v>9652</v>
      </c>
      <c r="AC52" s="1">
        <f t="shared" ref="AC52:AD52" si="457">SUM(E52,H52,K52,N52)</f>
        <v>3758</v>
      </c>
      <c r="AD52" s="1">
        <f t="shared" si="457"/>
        <v>4731</v>
      </c>
      <c r="AE52" s="1">
        <f t="shared" si="5"/>
        <v>8489</v>
      </c>
      <c r="AF52" s="2">
        <f t="shared" ref="AF52:AH52" si="458">AC52/Z52</f>
        <v>0.89009947891994312</v>
      </c>
      <c r="AG52" s="2">
        <f t="shared" si="458"/>
        <v>0.87127071823204416</v>
      </c>
      <c r="AH52" s="2">
        <f t="shared" si="458"/>
        <v>0.87950683796104434</v>
      </c>
      <c r="AI52" s="1">
        <f t="shared" ref="AI52:AJ52" si="459">SUM(E52,H52,K52)</f>
        <v>3315</v>
      </c>
      <c r="AJ52" s="1">
        <f t="shared" si="459"/>
        <v>4120</v>
      </c>
      <c r="AK52" s="1">
        <f t="shared" si="8"/>
        <v>7435</v>
      </c>
      <c r="AL52" s="2">
        <f t="shared" ref="AL52:AN52" si="460">AI52/Z52</f>
        <v>0.78517290383704408</v>
      </c>
      <c r="AM52" s="2">
        <f t="shared" si="460"/>
        <v>0.75874769797421726</v>
      </c>
      <c r="AN52" s="2">
        <f t="shared" si="460"/>
        <v>0.77030667219229176</v>
      </c>
      <c r="AO52" s="2">
        <f t="shared" ref="AO52:AQ52" si="461">E52/Z52</f>
        <v>9.1899573661771677E-2</v>
      </c>
      <c r="AP52" s="2">
        <f t="shared" si="461"/>
        <v>6.2983425414364635E-2</v>
      </c>
      <c r="AQ52" s="2">
        <f t="shared" si="461"/>
        <v>7.5631993369249903E-2</v>
      </c>
      <c r="AR52" s="2">
        <f t="shared" si="11"/>
        <v>0.16556134533396494</v>
      </c>
      <c r="AS52" s="2">
        <f t="shared" ref="AS52:AT52" si="462">R52/AA52</f>
        <v>0.12872928176795581</v>
      </c>
      <c r="AT52" s="2">
        <f t="shared" si="462"/>
        <v>0.12049316203895566</v>
      </c>
      <c r="AU52" s="2">
        <f t="shared" ref="AU52:AW52" si="463">T52/W52</f>
        <v>1.1704119850187267E-2</v>
      </c>
      <c r="AV52" s="2">
        <f t="shared" si="445"/>
        <v>1.0027347310847767E-2</v>
      </c>
      <c r="AW52" s="2">
        <f t="shared" si="445"/>
        <v>1.0761504560828123E-2</v>
      </c>
    </row>
    <row r="53" spans="1:49" ht="15.75" customHeight="1" x14ac:dyDescent="0.15">
      <c r="A53" s="1">
        <v>2024</v>
      </c>
      <c r="B53" s="1" t="s">
        <v>117</v>
      </c>
      <c r="C53" s="1" t="s">
        <v>54</v>
      </c>
      <c r="D53" s="1" t="s">
        <v>118</v>
      </c>
      <c r="E53" s="1">
        <v>767</v>
      </c>
      <c r="F53" s="1">
        <v>512</v>
      </c>
      <c r="G53" s="1">
        <v>1279</v>
      </c>
      <c r="H53" s="1">
        <v>2810</v>
      </c>
      <c r="I53" s="1">
        <v>3284</v>
      </c>
      <c r="J53" s="1">
        <v>6094</v>
      </c>
      <c r="K53" s="1">
        <v>744</v>
      </c>
      <c r="L53" s="1">
        <v>1228</v>
      </c>
      <c r="M53" s="1">
        <v>1972</v>
      </c>
      <c r="N53" s="1">
        <v>316</v>
      </c>
      <c r="O53" s="1">
        <v>465</v>
      </c>
      <c r="P53" s="1">
        <v>781</v>
      </c>
      <c r="Q53" s="1">
        <v>152</v>
      </c>
      <c r="R53" s="1">
        <v>267</v>
      </c>
      <c r="S53" s="1">
        <v>419</v>
      </c>
      <c r="T53" s="1">
        <v>83</v>
      </c>
      <c r="U53" s="1">
        <v>115</v>
      </c>
      <c r="V53" s="1">
        <v>198</v>
      </c>
      <c r="W53" s="1">
        <f t="shared" ref="W53:X53" si="464">SUM(E53,H53,K53,N53,Q53,T53)</f>
        <v>4872</v>
      </c>
      <c r="X53" s="1">
        <f t="shared" si="464"/>
        <v>5871</v>
      </c>
      <c r="Y53" s="1">
        <f t="shared" si="1"/>
        <v>10743</v>
      </c>
      <c r="Z53" s="1">
        <f t="shared" ref="Z53:AA53" si="465">W53-T53</f>
        <v>4789</v>
      </c>
      <c r="AA53" s="1">
        <f t="shared" si="465"/>
        <v>5756</v>
      </c>
      <c r="AB53" s="1">
        <f t="shared" si="3"/>
        <v>10545</v>
      </c>
      <c r="AC53" s="1">
        <f t="shared" ref="AC53:AD53" si="466">SUM(E53,H53,K53,N53)</f>
        <v>4637</v>
      </c>
      <c r="AD53" s="1">
        <f t="shared" si="466"/>
        <v>5489</v>
      </c>
      <c r="AE53" s="1">
        <f t="shared" si="5"/>
        <v>10126</v>
      </c>
      <c r="AF53" s="2">
        <f t="shared" ref="AF53:AH53" si="467">AC53/Z53</f>
        <v>0.96826059720192104</v>
      </c>
      <c r="AG53" s="2">
        <f t="shared" si="467"/>
        <v>0.95361362056984011</v>
      </c>
      <c r="AH53" s="2">
        <f t="shared" si="467"/>
        <v>0.96026552868658133</v>
      </c>
      <c r="AI53" s="1">
        <f t="shared" ref="AI53:AJ53" si="468">SUM(E53,H53,K53)</f>
        <v>4321</v>
      </c>
      <c r="AJ53" s="1">
        <f t="shared" si="468"/>
        <v>5024</v>
      </c>
      <c r="AK53" s="1">
        <f t="shared" si="8"/>
        <v>9345</v>
      </c>
      <c r="AL53" s="2">
        <f t="shared" ref="AL53:AN53" si="469">AI53/Z53</f>
        <v>0.90227604927959904</v>
      </c>
      <c r="AM53" s="2">
        <f t="shared" si="469"/>
        <v>0.8728283530229326</v>
      </c>
      <c r="AN53" s="2">
        <f t="shared" si="469"/>
        <v>0.88620199146514933</v>
      </c>
      <c r="AO53" s="2">
        <f t="shared" ref="AO53:AQ53" si="470">E53/Z53</f>
        <v>0.16015869701399038</v>
      </c>
      <c r="AP53" s="2">
        <f t="shared" si="470"/>
        <v>8.8950660180681027E-2</v>
      </c>
      <c r="AQ53" s="2">
        <f t="shared" si="470"/>
        <v>0.12128971076339497</v>
      </c>
      <c r="AR53" s="2">
        <f t="shared" si="11"/>
        <v>5.5752766757151809E-2</v>
      </c>
      <c r="AS53" s="2">
        <f t="shared" ref="AS53:AT53" si="471">R53/AA53</f>
        <v>4.638637943015983E-2</v>
      </c>
      <c r="AT53" s="2">
        <f t="shared" si="471"/>
        <v>3.973447131341868E-2</v>
      </c>
      <c r="AU53" s="2">
        <f t="shared" ref="AU53:AW53" si="472">T53/W53</f>
        <v>1.7036124794745484E-2</v>
      </c>
      <c r="AV53" s="2">
        <f t="shared" si="445"/>
        <v>1.9587804462612844E-2</v>
      </c>
      <c r="AW53" s="2">
        <f t="shared" si="445"/>
        <v>1.8430605975984362E-2</v>
      </c>
    </row>
    <row r="54" spans="1:49" ht="15.75" customHeight="1" x14ac:dyDescent="0.15">
      <c r="A54" s="1">
        <v>2024</v>
      </c>
      <c r="B54" s="1" t="s">
        <v>49</v>
      </c>
      <c r="C54" s="1" t="s">
        <v>89</v>
      </c>
      <c r="D54" s="1" t="s">
        <v>119</v>
      </c>
      <c r="E54" s="1">
        <v>684</v>
      </c>
      <c r="F54" s="1">
        <v>520</v>
      </c>
      <c r="G54" s="1">
        <v>1204</v>
      </c>
      <c r="H54" s="1">
        <v>3120</v>
      </c>
      <c r="I54" s="1">
        <v>3733</v>
      </c>
      <c r="J54" s="1">
        <v>6853</v>
      </c>
      <c r="K54" s="1">
        <v>1200</v>
      </c>
      <c r="L54" s="1">
        <v>1587</v>
      </c>
      <c r="M54" s="1">
        <v>2787</v>
      </c>
      <c r="N54" s="1">
        <v>620</v>
      </c>
      <c r="O54" s="1">
        <v>775</v>
      </c>
      <c r="P54" s="1">
        <v>1395</v>
      </c>
      <c r="Q54" s="1">
        <v>475</v>
      </c>
      <c r="R54" s="1">
        <v>552</v>
      </c>
      <c r="S54" s="1">
        <v>1027</v>
      </c>
      <c r="T54" s="1">
        <v>79</v>
      </c>
      <c r="U54" s="1">
        <v>69</v>
      </c>
      <c r="V54" s="1">
        <v>148</v>
      </c>
      <c r="W54" s="1">
        <f t="shared" ref="W54:X54" si="473">SUM(E54,H54,K54,N54,Q54,T54)</f>
        <v>6178</v>
      </c>
      <c r="X54" s="1">
        <f t="shared" si="473"/>
        <v>7236</v>
      </c>
      <c r="Y54" s="1">
        <f t="shared" si="1"/>
        <v>13414</v>
      </c>
      <c r="Z54" s="1">
        <f t="shared" ref="Z54:AA54" si="474">W54-T54</f>
        <v>6099</v>
      </c>
      <c r="AA54" s="1">
        <f t="shared" si="474"/>
        <v>7167</v>
      </c>
      <c r="AB54" s="1">
        <f t="shared" si="3"/>
        <v>13266</v>
      </c>
      <c r="AC54" s="1">
        <f t="shared" ref="AC54:AD54" si="475">SUM(E54,H54,K54,N54)</f>
        <v>5624</v>
      </c>
      <c r="AD54" s="1">
        <f t="shared" si="475"/>
        <v>6615</v>
      </c>
      <c r="AE54" s="1">
        <f t="shared" si="5"/>
        <v>12239</v>
      </c>
      <c r="AF54" s="2">
        <f t="shared" ref="AF54:AH54" si="476">AC54/Z54</f>
        <v>0.92211838006230529</v>
      </c>
      <c r="AG54" s="2">
        <f t="shared" si="476"/>
        <v>0.92298032649644202</v>
      </c>
      <c r="AH54" s="2">
        <f t="shared" si="476"/>
        <v>0.92258404944972106</v>
      </c>
      <c r="AI54" s="1">
        <f t="shared" ref="AI54:AJ54" si="477">SUM(E54,H54,K54)</f>
        <v>5004</v>
      </c>
      <c r="AJ54" s="1">
        <f t="shared" si="477"/>
        <v>5840</v>
      </c>
      <c r="AK54" s="1">
        <f t="shared" si="8"/>
        <v>10844</v>
      </c>
      <c r="AL54" s="2">
        <f t="shared" ref="AL54:AN54" si="478">AI54/Z54</f>
        <v>0.82046237088047225</v>
      </c>
      <c r="AM54" s="2">
        <f t="shared" si="478"/>
        <v>0.8148458211245988</v>
      </c>
      <c r="AN54" s="2">
        <f t="shared" si="478"/>
        <v>0.81742801145786226</v>
      </c>
      <c r="AO54" s="2">
        <f t="shared" ref="AO54:AQ54" si="479">E54/Z54</f>
        <v>0.11214953271028037</v>
      </c>
      <c r="AP54" s="2">
        <f t="shared" si="479"/>
        <v>7.2554764894656065E-2</v>
      </c>
      <c r="AQ54" s="2">
        <f t="shared" si="479"/>
        <v>9.0758329564299717E-2</v>
      </c>
      <c r="AR54" s="2">
        <f t="shared" si="11"/>
        <v>9.0506640432857846E-2</v>
      </c>
      <c r="AS54" s="2">
        <f t="shared" ref="AS54:AT54" si="480">R54/AA54</f>
        <v>7.701967350355797E-2</v>
      </c>
      <c r="AT54" s="2">
        <f t="shared" si="480"/>
        <v>7.7415950550278903E-2</v>
      </c>
      <c r="AU54" s="2">
        <f t="shared" ref="AU54:AW54" si="481">T54/W54</f>
        <v>1.2787309808999676E-2</v>
      </c>
      <c r="AV54" s="2">
        <f t="shared" si="445"/>
        <v>9.5356550580431177E-3</v>
      </c>
      <c r="AW54" s="2">
        <f t="shared" si="445"/>
        <v>1.103324884449083E-2</v>
      </c>
    </row>
    <row r="55" spans="1:49" ht="15.75" customHeight="1" x14ac:dyDescent="0.15">
      <c r="A55" s="1">
        <v>2022</v>
      </c>
      <c r="B55" s="1" t="s">
        <v>74</v>
      </c>
      <c r="C55" s="1" t="s">
        <v>75</v>
      </c>
      <c r="D55" s="1" t="s">
        <v>76</v>
      </c>
      <c r="E55" s="1">
        <v>51</v>
      </c>
      <c r="F55" s="1">
        <v>25</v>
      </c>
      <c r="G55" s="1">
        <v>76</v>
      </c>
      <c r="H55" s="1">
        <v>510</v>
      </c>
      <c r="I55" s="1">
        <v>328</v>
      </c>
      <c r="J55" s="1">
        <v>838</v>
      </c>
      <c r="K55" s="1">
        <v>184</v>
      </c>
      <c r="L55" s="1">
        <v>173</v>
      </c>
      <c r="M55" s="1">
        <v>357</v>
      </c>
      <c r="N55" s="1">
        <v>113</v>
      </c>
      <c r="O55" s="1">
        <v>110</v>
      </c>
      <c r="P55" s="1">
        <v>223</v>
      </c>
      <c r="Q55" s="1">
        <v>83</v>
      </c>
      <c r="R55" s="1">
        <v>83</v>
      </c>
      <c r="S55" s="1">
        <v>166</v>
      </c>
      <c r="T55" s="1">
        <v>9</v>
      </c>
      <c r="U55" s="1">
        <v>18</v>
      </c>
      <c r="V55" s="1">
        <v>27</v>
      </c>
      <c r="W55" s="1">
        <f t="shared" ref="W55:X55" si="482">SUM(E55,H55,K55,N55,Q55,T55)</f>
        <v>950</v>
      </c>
      <c r="X55" s="1">
        <f t="shared" si="482"/>
        <v>737</v>
      </c>
      <c r="Y55" s="1">
        <f t="shared" si="1"/>
        <v>1687</v>
      </c>
      <c r="Z55" s="1">
        <f t="shared" ref="Z55:AA55" si="483">W55-T55</f>
        <v>941</v>
      </c>
      <c r="AA55" s="1">
        <f t="shared" si="483"/>
        <v>719</v>
      </c>
      <c r="AB55" s="1">
        <f t="shared" si="3"/>
        <v>1660</v>
      </c>
      <c r="AC55" s="1">
        <f t="shared" ref="AC55:AD55" si="484">SUM(E55,H55,K55,N55)</f>
        <v>858</v>
      </c>
      <c r="AD55" s="1">
        <f t="shared" si="484"/>
        <v>636</v>
      </c>
      <c r="AE55" s="1">
        <f t="shared" si="5"/>
        <v>1494</v>
      </c>
      <c r="AF55" s="2">
        <f t="shared" ref="AF55:AH55" si="485">AC55/Z55</f>
        <v>0.91179596174282673</v>
      </c>
      <c r="AG55" s="2">
        <f t="shared" si="485"/>
        <v>0.8845618915159944</v>
      </c>
      <c r="AH55" s="2">
        <f t="shared" si="485"/>
        <v>0.9</v>
      </c>
      <c r="AI55" s="1">
        <f t="shared" ref="AI55:AJ55" si="486">SUM(E55,H55,K55)</f>
        <v>745</v>
      </c>
      <c r="AJ55" s="1">
        <f t="shared" si="486"/>
        <v>526</v>
      </c>
      <c r="AK55" s="1">
        <f t="shared" si="8"/>
        <v>1271</v>
      </c>
      <c r="AL55" s="2">
        <f t="shared" ref="AL55:AN55" si="487">AI55/Z55</f>
        <v>0.79171094580233792</v>
      </c>
      <c r="AM55" s="2">
        <f t="shared" si="487"/>
        <v>0.7315716272600834</v>
      </c>
      <c r="AN55" s="2">
        <f t="shared" si="487"/>
        <v>0.76566265060240968</v>
      </c>
      <c r="AO55" s="2">
        <f t="shared" ref="AO55:AQ55" si="488">E55/Z55</f>
        <v>5.4197662061636558E-2</v>
      </c>
      <c r="AP55" s="2">
        <f t="shared" si="488"/>
        <v>3.4770514603616132E-2</v>
      </c>
      <c r="AQ55" s="2">
        <f t="shared" si="488"/>
        <v>4.5783132530120479E-2</v>
      </c>
      <c r="AR55" s="2">
        <f t="shared" si="11"/>
        <v>8.8204038257173226E-2</v>
      </c>
      <c r="AS55" s="2">
        <f t="shared" ref="AS55:AT55" si="489">R55/AA55</f>
        <v>0.11543810848400557</v>
      </c>
      <c r="AT55" s="2">
        <f t="shared" si="489"/>
        <v>0.1</v>
      </c>
      <c r="AU55" s="2">
        <f t="shared" ref="AU55:AW55" si="490">T55/W55</f>
        <v>9.4736842105263164E-3</v>
      </c>
      <c r="AV55" s="2">
        <f t="shared" si="445"/>
        <v>2.4423337856173677E-2</v>
      </c>
      <c r="AW55" s="2">
        <f t="shared" si="445"/>
        <v>1.6004742145820983E-2</v>
      </c>
    </row>
    <row r="56" spans="1:49" ht="13" x14ac:dyDescent="0.15">
      <c r="A56" s="1">
        <v>2024</v>
      </c>
      <c r="B56" s="1" t="s">
        <v>49</v>
      </c>
      <c r="C56" s="1" t="s">
        <v>52</v>
      </c>
      <c r="D56" s="1" t="s">
        <v>120</v>
      </c>
      <c r="E56" s="1">
        <v>515</v>
      </c>
      <c r="F56" s="1">
        <v>462</v>
      </c>
      <c r="G56" s="1">
        <v>977</v>
      </c>
      <c r="H56" s="1">
        <v>1222</v>
      </c>
      <c r="I56" s="1">
        <v>1580</v>
      </c>
      <c r="J56" s="1">
        <v>2802</v>
      </c>
      <c r="K56" s="1">
        <v>320</v>
      </c>
      <c r="L56" s="1">
        <v>530</v>
      </c>
      <c r="M56" s="1">
        <v>850</v>
      </c>
      <c r="N56" s="1">
        <v>97</v>
      </c>
      <c r="O56" s="1">
        <v>133</v>
      </c>
      <c r="P56" s="1">
        <v>230</v>
      </c>
      <c r="Q56" s="1">
        <v>36</v>
      </c>
      <c r="R56" s="1">
        <v>107</v>
      </c>
      <c r="S56" s="1">
        <v>143</v>
      </c>
      <c r="T56" s="1">
        <v>15</v>
      </c>
      <c r="U56" s="1">
        <v>30</v>
      </c>
      <c r="V56" s="1">
        <v>45</v>
      </c>
      <c r="W56" s="1">
        <f t="shared" ref="W56:X56" si="491">SUM(E56,H56,K56,N56,Q56,T56)</f>
        <v>2205</v>
      </c>
      <c r="X56" s="1">
        <f t="shared" si="491"/>
        <v>2842</v>
      </c>
      <c r="Y56" s="1">
        <f t="shared" si="1"/>
        <v>5047</v>
      </c>
      <c r="Z56" s="1">
        <f t="shared" ref="Z56:AA56" si="492">W56-T56</f>
        <v>2190</v>
      </c>
      <c r="AA56" s="1">
        <f t="shared" si="492"/>
        <v>2812</v>
      </c>
      <c r="AB56" s="1">
        <f t="shared" si="3"/>
        <v>5002</v>
      </c>
      <c r="AC56" s="1">
        <f t="shared" ref="AC56:AD56" si="493">SUM(E56,H56,K56,N56)</f>
        <v>2154</v>
      </c>
      <c r="AD56" s="1">
        <f t="shared" si="493"/>
        <v>2705</v>
      </c>
      <c r="AE56" s="1">
        <f t="shared" si="5"/>
        <v>4859</v>
      </c>
      <c r="AF56" s="2">
        <f t="shared" ref="AF56:AH56" si="494">AC56/Z56</f>
        <v>0.98356164383561639</v>
      </c>
      <c r="AG56" s="2">
        <f t="shared" si="494"/>
        <v>0.96194879089615937</v>
      </c>
      <c r="AH56" s="2">
        <f t="shared" si="494"/>
        <v>0.97141143542582964</v>
      </c>
      <c r="AI56" s="1">
        <f t="shared" ref="AI56:AJ56" si="495">SUM(E56,H56,K56)</f>
        <v>2057</v>
      </c>
      <c r="AJ56" s="1">
        <f t="shared" si="495"/>
        <v>2572</v>
      </c>
      <c r="AK56" s="1">
        <f t="shared" si="8"/>
        <v>4629</v>
      </c>
      <c r="AL56" s="2">
        <f t="shared" ref="AL56:AN56" si="496">AI56/Z56</f>
        <v>0.93926940639269407</v>
      </c>
      <c r="AM56" s="2">
        <f t="shared" si="496"/>
        <v>0.914651493598862</v>
      </c>
      <c r="AN56" s="2">
        <f t="shared" si="496"/>
        <v>0.9254298280687725</v>
      </c>
      <c r="AO56" s="2">
        <f t="shared" ref="AO56:AQ56" si="497">E56/Z56</f>
        <v>0.23515981735159816</v>
      </c>
      <c r="AP56" s="2">
        <f t="shared" si="497"/>
        <v>0.1642958748221906</v>
      </c>
      <c r="AQ56" s="2">
        <f t="shared" si="497"/>
        <v>0.19532187125149941</v>
      </c>
      <c r="AR56" s="2">
        <f t="shared" si="11"/>
        <v>4.8858447488584478E-2</v>
      </c>
      <c r="AS56" s="2">
        <f t="shared" ref="AS56:AT56" si="498">R56/AA56</f>
        <v>3.8051209103840682E-2</v>
      </c>
      <c r="AT56" s="2">
        <f t="shared" si="498"/>
        <v>2.8588564574170333E-2</v>
      </c>
      <c r="AU56" s="2">
        <f t="shared" ref="AU56:AW56" si="499">T56/W56</f>
        <v>6.8027210884353739E-3</v>
      </c>
      <c r="AV56" s="2">
        <f t="shared" si="445"/>
        <v>1.055594651653765E-2</v>
      </c>
      <c r="AW56" s="2">
        <f t="shared" si="445"/>
        <v>8.9161878343570443E-3</v>
      </c>
    </row>
    <row r="57" spans="1:49" ht="13" x14ac:dyDescent="0.15">
      <c r="A57" s="1">
        <v>2024</v>
      </c>
      <c r="B57" s="1" t="s">
        <v>49</v>
      </c>
      <c r="C57" s="1" t="s">
        <v>101</v>
      </c>
      <c r="D57" s="1" t="s">
        <v>121</v>
      </c>
      <c r="E57" s="1">
        <v>211</v>
      </c>
      <c r="F57" s="1">
        <v>255</v>
      </c>
      <c r="G57" s="1">
        <v>466</v>
      </c>
      <c r="H57" s="1">
        <v>1832</v>
      </c>
      <c r="I57" s="1">
        <v>2066</v>
      </c>
      <c r="J57" s="1">
        <v>3898</v>
      </c>
      <c r="K57" s="1">
        <v>525</v>
      </c>
      <c r="L57" s="1">
        <v>766</v>
      </c>
      <c r="M57" s="1">
        <v>1291</v>
      </c>
      <c r="N57" s="1">
        <v>328</v>
      </c>
      <c r="O57" s="1">
        <v>379</v>
      </c>
      <c r="P57" s="1">
        <v>707</v>
      </c>
      <c r="Q57" s="1">
        <v>448</v>
      </c>
      <c r="R57" s="1">
        <v>495</v>
      </c>
      <c r="S57" s="1">
        <v>943</v>
      </c>
      <c r="T57" s="1">
        <v>51</v>
      </c>
      <c r="U57" s="1">
        <v>43</v>
      </c>
      <c r="V57" s="1">
        <v>94</v>
      </c>
      <c r="W57" s="1">
        <f t="shared" ref="W57:X57" si="500">SUM(E57,H57,K57,N57,Q57,T57)</f>
        <v>3395</v>
      </c>
      <c r="X57" s="1">
        <f t="shared" si="500"/>
        <v>4004</v>
      </c>
      <c r="Y57" s="1">
        <f t="shared" si="1"/>
        <v>7399</v>
      </c>
      <c r="Z57" s="1">
        <f t="shared" ref="Z57:AA57" si="501">W57-T57</f>
        <v>3344</v>
      </c>
      <c r="AA57" s="1">
        <f t="shared" si="501"/>
        <v>3961</v>
      </c>
      <c r="AB57" s="1">
        <f t="shared" si="3"/>
        <v>7305</v>
      </c>
      <c r="AC57" s="1">
        <f t="shared" ref="AC57:AD57" si="502">SUM(E57,H57,K57,N57)</f>
        <v>2896</v>
      </c>
      <c r="AD57" s="1">
        <f t="shared" si="502"/>
        <v>3466</v>
      </c>
      <c r="AE57" s="1">
        <f t="shared" si="5"/>
        <v>6362</v>
      </c>
      <c r="AF57" s="2">
        <f t="shared" ref="AF57:AH57" si="503">AC57/Z57</f>
        <v>0.86602870813397126</v>
      </c>
      <c r="AG57" s="2">
        <f t="shared" si="503"/>
        <v>0.87503155768745267</v>
      </c>
      <c r="AH57" s="2">
        <f t="shared" si="503"/>
        <v>0.87091033538672147</v>
      </c>
      <c r="AI57" s="1">
        <f t="shared" ref="AI57:AJ57" si="504">SUM(E57,H57,K57)</f>
        <v>2568</v>
      </c>
      <c r="AJ57" s="1">
        <f t="shared" si="504"/>
        <v>3087</v>
      </c>
      <c r="AK57" s="1">
        <f t="shared" si="8"/>
        <v>5655</v>
      </c>
      <c r="AL57" s="2">
        <f t="shared" ref="AL57:AN57" si="505">AI57/Z57</f>
        <v>0.76794258373205737</v>
      </c>
      <c r="AM57" s="2">
        <f t="shared" si="505"/>
        <v>0.77934864933097703</v>
      </c>
      <c r="AN57" s="2">
        <f t="shared" si="505"/>
        <v>0.77412731006160163</v>
      </c>
      <c r="AO57" s="2">
        <f t="shared" ref="AO57:AQ57" si="506">E57/Z57</f>
        <v>6.3098086124401917E-2</v>
      </c>
      <c r="AP57" s="2">
        <f t="shared" si="506"/>
        <v>6.4377682403433473E-2</v>
      </c>
      <c r="AQ57" s="2">
        <f t="shared" si="506"/>
        <v>6.3791923340177956E-2</v>
      </c>
      <c r="AR57" s="2">
        <f t="shared" si="11"/>
        <v>0.14802631578947367</v>
      </c>
      <c r="AS57" s="2">
        <f t="shared" ref="AS57:AT57" si="507">R57/AA57</f>
        <v>0.12496844231254733</v>
      </c>
      <c r="AT57" s="2">
        <f t="shared" si="507"/>
        <v>0.12908966461327859</v>
      </c>
      <c r="AU57" s="2">
        <f t="shared" ref="AU57:AW57" si="508">T57/W57</f>
        <v>1.5022091310751105E-2</v>
      </c>
      <c r="AV57" s="2">
        <f t="shared" si="445"/>
        <v>1.073926073926074E-2</v>
      </c>
      <c r="AW57" s="2">
        <f t="shared" si="445"/>
        <v>1.2704419516150832E-2</v>
      </c>
    </row>
    <row r="58" spans="1:49" ht="13" x14ac:dyDescent="0.15">
      <c r="A58" s="1">
        <v>2024</v>
      </c>
      <c r="B58" s="1" t="s">
        <v>49</v>
      </c>
      <c r="C58" s="1" t="s">
        <v>59</v>
      </c>
      <c r="D58" s="1" t="s">
        <v>122</v>
      </c>
      <c r="E58" s="1">
        <v>19</v>
      </c>
      <c r="F58" s="1">
        <v>10</v>
      </c>
      <c r="G58" s="1">
        <v>29</v>
      </c>
      <c r="H58" s="1">
        <v>461</v>
      </c>
      <c r="I58" s="1">
        <v>313</v>
      </c>
      <c r="J58" s="1">
        <v>774</v>
      </c>
      <c r="K58" s="1">
        <v>314</v>
      </c>
      <c r="L58" s="1">
        <v>364</v>
      </c>
      <c r="M58" s="1">
        <v>678</v>
      </c>
      <c r="N58" s="1">
        <v>115</v>
      </c>
      <c r="O58" s="1">
        <v>84</v>
      </c>
      <c r="P58" s="1">
        <v>199</v>
      </c>
      <c r="Q58" s="1">
        <v>70</v>
      </c>
      <c r="R58" s="1">
        <v>80</v>
      </c>
      <c r="S58" s="1">
        <v>150</v>
      </c>
      <c r="T58" s="1">
        <v>0</v>
      </c>
      <c r="U58" s="1">
        <v>1</v>
      </c>
      <c r="V58" s="1">
        <v>1</v>
      </c>
      <c r="W58" s="1">
        <f t="shared" ref="W58:X58" si="509">SUM(E58,H58,K58,N58,Q58,T58)</f>
        <v>979</v>
      </c>
      <c r="X58" s="1">
        <f t="shared" si="509"/>
        <v>852</v>
      </c>
      <c r="Y58" s="1">
        <f t="shared" si="1"/>
        <v>1831</v>
      </c>
      <c r="Z58" s="1">
        <f t="shared" ref="Z58:AA58" si="510">W58-T58</f>
        <v>979</v>
      </c>
      <c r="AA58" s="1">
        <f t="shared" si="510"/>
        <v>851</v>
      </c>
      <c r="AB58" s="1">
        <f t="shared" si="3"/>
        <v>1830</v>
      </c>
      <c r="AC58" s="1">
        <f t="shared" ref="AC58:AD58" si="511">SUM(E58,H58,K58,N58)</f>
        <v>909</v>
      </c>
      <c r="AD58" s="1">
        <f t="shared" si="511"/>
        <v>771</v>
      </c>
      <c r="AE58" s="1">
        <f t="shared" si="5"/>
        <v>1680</v>
      </c>
      <c r="AF58" s="2">
        <f t="shared" ref="AF58:AH58" si="512">AC58/Z58</f>
        <v>0.92849846782431056</v>
      </c>
      <c r="AG58" s="2">
        <f t="shared" si="512"/>
        <v>0.90599294947121034</v>
      </c>
      <c r="AH58" s="2">
        <f t="shared" si="512"/>
        <v>0.91803278688524592</v>
      </c>
      <c r="AI58" s="1">
        <f t="shared" ref="AI58:AJ58" si="513">SUM(E58,H58,K58)</f>
        <v>794</v>
      </c>
      <c r="AJ58" s="1">
        <f t="shared" si="513"/>
        <v>687</v>
      </c>
      <c r="AK58" s="1">
        <f t="shared" si="8"/>
        <v>1481</v>
      </c>
      <c r="AL58" s="2">
        <f t="shared" ref="AL58:AN58" si="514">AI58/Z58</f>
        <v>0.81103166496424928</v>
      </c>
      <c r="AM58" s="2">
        <f t="shared" si="514"/>
        <v>0.80728554641598116</v>
      </c>
      <c r="AN58" s="2">
        <f t="shared" si="514"/>
        <v>0.80928961748633876</v>
      </c>
      <c r="AO58" s="2">
        <f t="shared" ref="AO58:AQ58" si="515">E58/Z58</f>
        <v>1.9407558733401432E-2</v>
      </c>
      <c r="AP58" s="2">
        <f t="shared" si="515"/>
        <v>1.1750881316098707E-2</v>
      </c>
      <c r="AQ58" s="2">
        <f t="shared" si="515"/>
        <v>1.5846994535519125E-2</v>
      </c>
      <c r="AR58" s="2">
        <f t="shared" si="11"/>
        <v>8.1716036772216546E-2</v>
      </c>
      <c r="AS58" s="2">
        <f t="shared" ref="AS58:AT58" si="516">R58/AA58</f>
        <v>9.400705052878966E-2</v>
      </c>
      <c r="AT58" s="2">
        <f t="shared" si="516"/>
        <v>8.1967213114754092E-2</v>
      </c>
      <c r="AU58" s="2">
        <f t="shared" ref="AU58:AW58" si="517">T58/W58</f>
        <v>0</v>
      </c>
      <c r="AV58" s="2">
        <f t="shared" si="445"/>
        <v>1.1737089201877935E-3</v>
      </c>
      <c r="AW58" s="2">
        <f t="shared" si="445"/>
        <v>5.461496450027307E-4</v>
      </c>
    </row>
    <row r="59" spans="1:49" ht="13" x14ac:dyDescent="0.15">
      <c r="A59" s="1">
        <v>2024</v>
      </c>
      <c r="B59" s="1" t="s">
        <v>49</v>
      </c>
      <c r="C59" s="1" t="s">
        <v>99</v>
      </c>
      <c r="D59" s="1" t="s">
        <v>123</v>
      </c>
      <c r="E59" s="1">
        <v>214</v>
      </c>
      <c r="F59" s="1">
        <v>161</v>
      </c>
      <c r="G59" s="1">
        <v>375</v>
      </c>
      <c r="H59" s="1">
        <v>1804</v>
      </c>
      <c r="I59" s="1">
        <v>2209</v>
      </c>
      <c r="J59" s="1">
        <v>4013</v>
      </c>
      <c r="K59" s="1">
        <v>720</v>
      </c>
      <c r="L59" s="1">
        <v>924</v>
      </c>
      <c r="M59" s="1">
        <v>1644</v>
      </c>
      <c r="N59" s="1">
        <v>281</v>
      </c>
      <c r="O59" s="1">
        <v>354</v>
      </c>
      <c r="P59" s="1">
        <v>635</v>
      </c>
      <c r="Q59" s="1">
        <v>149</v>
      </c>
      <c r="R59" s="1">
        <v>195</v>
      </c>
      <c r="S59" s="1">
        <v>344</v>
      </c>
      <c r="T59" s="1">
        <v>58</v>
      </c>
      <c r="U59" s="1">
        <v>57</v>
      </c>
      <c r="V59" s="1">
        <v>115</v>
      </c>
      <c r="W59" s="1">
        <f t="shared" ref="W59:X59" si="518">SUM(E59,H59,K59,N59,Q59,T59)</f>
        <v>3226</v>
      </c>
      <c r="X59" s="1">
        <f t="shared" si="518"/>
        <v>3900</v>
      </c>
      <c r="Y59" s="1">
        <f t="shared" si="1"/>
        <v>7126</v>
      </c>
      <c r="Z59" s="1">
        <f t="shared" ref="Z59:AA59" si="519">W59-T59</f>
        <v>3168</v>
      </c>
      <c r="AA59" s="1">
        <f t="shared" si="519"/>
        <v>3843</v>
      </c>
      <c r="AB59" s="1">
        <f t="shared" si="3"/>
        <v>7011</v>
      </c>
      <c r="AC59" s="1">
        <f t="shared" ref="AC59:AD59" si="520">SUM(E59,H59,K59,N59)</f>
        <v>3019</v>
      </c>
      <c r="AD59" s="1">
        <f t="shared" si="520"/>
        <v>3648</v>
      </c>
      <c r="AE59" s="1">
        <f t="shared" si="5"/>
        <v>6667</v>
      </c>
      <c r="AF59" s="2">
        <f t="shared" ref="AF59:AH59" si="521">AC59/Z59</f>
        <v>0.95296717171717171</v>
      </c>
      <c r="AG59" s="2">
        <f t="shared" si="521"/>
        <v>0.94925839188134276</v>
      </c>
      <c r="AH59" s="2">
        <f t="shared" si="521"/>
        <v>0.95093424618456712</v>
      </c>
      <c r="AI59" s="1">
        <f t="shared" ref="AI59:AJ59" si="522">SUM(E59,H59,K59)</f>
        <v>2738</v>
      </c>
      <c r="AJ59" s="1">
        <f t="shared" si="522"/>
        <v>3294</v>
      </c>
      <c r="AK59" s="1">
        <f t="shared" si="8"/>
        <v>6032</v>
      </c>
      <c r="AL59" s="2">
        <f t="shared" ref="AL59:AN59" si="523">AI59/Z59</f>
        <v>0.8642676767676768</v>
      </c>
      <c r="AM59" s="2">
        <f t="shared" si="523"/>
        <v>0.8571428571428571</v>
      </c>
      <c r="AN59" s="2">
        <f t="shared" si="523"/>
        <v>0.86036228783340463</v>
      </c>
      <c r="AO59" s="2">
        <f t="shared" ref="AO59:AQ59" si="524">E59/Z59</f>
        <v>6.7550505050505055E-2</v>
      </c>
      <c r="AP59" s="2">
        <f t="shared" si="524"/>
        <v>4.1894353369763208E-2</v>
      </c>
      <c r="AQ59" s="2">
        <f t="shared" si="524"/>
        <v>5.3487376979032948E-2</v>
      </c>
      <c r="AR59" s="2">
        <f t="shared" si="11"/>
        <v>6.1553030303030304E-2</v>
      </c>
      <c r="AS59" s="2">
        <f t="shared" ref="AS59:AT59" si="525">R59/AA59</f>
        <v>5.07416081186573E-2</v>
      </c>
      <c r="AT59" s="2">
        <f t="shared" si="525"/>
        <v>4.9065753815432891E-2</v>
      </c>
      <c r="AU59" s="2">
        <f t="shared" ref="AU59:AW59" si="526">T59/W59</f>
        <v>1.7978921264724116E-2</v>
      </c>
      <c r="AV59" s="2">
        <f t="shared" si="445"/>
        <v>1.4615384615384615E-2</v>
      </c>
      <c r="AW59" s="2">
        <f t="shared" si="445"/>
        <v>1.6138085882683131E-2</v>
      </c>
    </row>
    <row r="60" spans="1:49" ht="13" x14ac:dyDescent="0.15">
      <c r="A60" s="1">
        <v>2024</v>
      </c>
      <c r="B60" s="1" t="s">
        <v>49</v>
      </c>
      <c r="C60" s="1" t="s">
        <v>99</v>
      </c>
      <c r="D60" s="1" t="s">
        <v>124</v>
      </c>
      <c r="E60" s="1">
        <v>161</v>
      </c>
      <c r="F60" s="1">
        <v>100</v>
      </c>
      <c r="G60" s="1">
        <v>261</v>
      </c>
      <c r="H60" s="1">
        <v>1161</v>
      </c>
      <c r="I60" s="1">
        <v>1062</v>
      </c>
      <c r="J60" s="1">
        <v>2223</v>
      </c>
      <c r="K60" s="1">
        <v>452</v>
      </c>
      <c r="L60" s="1">
        <v>713</v>
      </c>
      <c r="M60" s="1">
        <v>1165</v>
      </c>
      <c r="N60" s="1">
        <v>285</v>
      </c>
      <c r="O60" s="1">
        <v>347</v>
      </c>
      <c r="P60" s="1">
        <v>632</v>
      </c>
      <c r="Q60" s="1">
        <v>183</v>
      </c>
      <c r="R60" s="1">
        <v>300</v>
      </c>
      <c r="S60" s="1">
        <v>483</v>
      </c>
      <c r="T60" s="1">
        <v>32</v>
      </c>
      <c r="U60" s="1">
        <v>28</v>
      </c>
      <c r="V60" s="1">
        <v>60</v>
      </c>
      <c r="W60" s="1">
        <f t="shared" ref="W60:X60" si="527">SUM(E60,H60,K60,N60,Q60,T60)</f>
        <v>2274</v>
      </c>
      <c r="X60" s="1">
        <f t="shared" si="527"/>
        <v>2550</v>
      </c>
      <c r="Y60" s="1">
        <f t="shared" si="1"/>
        <v>4824</v>
      </c>
      <c r="Z60" s="1">
        <f t="shared" ref="Z60:AA60" si="528">W60-T60</f>
        <v>2242</v>
      </c>
      <c r="AA60" s="1">
        <f t="shared" si="528"/>
        <v>2522</v>
      </c>
      <c r="AB60" s="1">
        <f t="shared" si="3"/>
        <v>4764</v>
      </c>
      <c r="AC60" s="1">
        <f t="shared" ref="AC60:AD60" si="529">SUM(E60,H60,K60,N60)</f>
        <v>2059</v>
      </c>
      <c r="AD60" s="1">
        <f t="shared" si="529"/>
        <v>2222</v>
      </c>
      <c r="AE60" s="1">
        <f t="shared" si="5"/>
        <v>4281</v>
      </c>
      <c r="AF60" s="2">
        <f t="shared" ref="AF60:AH60" si="530">AC60/Z60</f>
        <v>0.91837644959857268</v>
      </c>
      <c r="AG60" s="2">
        <f t="shared" si="530"/>
        <v>0.88104678826328309</v>
      </c>
      <c r="AH60" s="2">
        <f t="shared" si="530"/>
        <v>0.8986146095717884</v>
      </c>
      <c r="AI60" s="1">
        <f t="shared" ref="AI60:AJ60" si="531">SUM(E60,H60,K60)</f>
        <v>1774</v>
      </c>
      <c r="AJ60" s="1">
        <f t="shared" si="531"/>
        <v>1875</v>
      </c>
      <c r="AK60" s="1">
        <f t="shared" si="8"/>
        <v>3649</v>
      </c>
      <c r="AL60" s="2">
        <f t="shared" ref="AL60:AN60" si="532">AI60/Z60</f>
        <v>0.79125780553077607</v>
      </c>
      <c r="AM60" s="2">
        <f t="shared" si="532"/>
        <v>0.74345757335448059</v>
      </c>
      <c r="AN60" s="2">
        <f t="shared" si="532"/>
        <v>0.76595298068849704</v>
      </c>
      <c r="AO60" s="2">
        <f t="shared" ref="AO60:AQ60" si="533">E60/Z60</f>
        <v>7.181088314005353E-2</v>
      </c>
      <c r="AP60" s="2">
        <f t="shared" si="533"/>
        <v>3.9651070578905628E-2</v>
      </c>
      <c r="AQ60" s="2">
        <f t="shared" si="533"/>
        <v>5.478589420654912E-2</v>
      </c>
      <c r="AR60" s="2">
        <f t="shared" si="11"/>
        <v>0.13380909901873328</v>
      </c>
      <c r="AS60" s="2">
        <f t="shared" ref="AS60:AT60" si="534">R60/AA60</f>
        <v>0.11895321173671689</v>
      </c>
      <c r="AT60" s="2">
        <f t="shared" si="534"/>
        <v>0.10138539042821158</v>
      </c>
      <c r="AU60" s="2">
        <f t="shared" ref="AU60:AW60" si="535">T60/W60</f>
        <v>1.4072119613016711E-2</v>
      </c>
      <c r="AV60" s="2">
        <f t="shared" si="445"/>
        <v>1.0980392156862745E-2</v>
      </c>
      <c r="AW60" s="2">
        <f t="shared" si="445"/>
        <v>1.2437810945273632E-2</v>
      </c>
    </row>
    <row r="61" spans="1:49" ht="13" x14ac:dyDescent="0.15">
      <c r="A61" s="1">
        <v>2024</v>
      </c>
      <c r="B61" s="1" t="s">
        <v>49</v>
      </c>
      <c r="C61" s="1" t="s">
        <v>59</v>
      </c>
      <c r="D61" s="1" t="s">
        <v>125</v>
      </c>
      <c r="E61" s="1">
        <v>12</v>
      </c>
      <c r="F61" s="1">
        <v>9</v>
      </c>
      <c r="G61" s="1">
        <v>21</v>
      </c>
      <c r="H61" s="1">
        <v>413</v>
      </c>
      <c r="I61" s="1">
        <v>306</v>
      </c>
      <c r="J61" s="1">
        <v>719</v>
      </c>
      <c r="K61" s="1">
        <v>395</v>
      </c>
      <c r="L61" s="1">
        <v>427</v>
      </c>
      <c r="M61" s="1">
        <v>822</v>
      </c>
      <c r="N61" s="1">
        <v>119</v>
      </c>
      <c r="O61" s="1">
        <v>136</v>
      </c>
      <c r="P61" s="1">
        <v>255</v>
      </c>
      <c r="Q61" s="1">
        <v>92</v>
      </c>
      <c r="R61" s="1">
        <v>114</v>
      </c>
      <c r="S61" s="1">
        <v>206</v>
      </c>
      <c r="T61" s="1">
        <v>1</v>
      </c>
      <c r="U61" s="1">
        <v>0</v>
      </c>
      <c r="V61" s="1">
        <v>1</v>
      </c>
      <c r="W61" s="1">
        <f t="shared" ref="W61:X61" si="536">SUM(E61,H61,K61,N61,Q61,T61)</f>
        <v>1032</v>
      </c>
      <c r="X61" s="1">
        <f t="shared" si="536"/>
        <v>992</v>
      </c>
      <c r="Y61" s="1">
        <f t="shared" si="1"/>
        <v>2024</v>
      </c>
      <c r="Z61" s="1">
        <f t="shared" ref="Z61:AA61" si="537">W61-T61</f>
        <v>1031</v>
      </c>
      <c r="AA61" s="1">
        <f t="shared" si="537"/>
        <v>992</v>
      </c>
      <c r="AB61" s="1">
        <f t="shared" si="3"/>
        <v>2023</v>
      </c>
      <c r="AC61" s="1">
        <f t="shared" ref="AC61:AD61" si="538">SUM(E61,H61,K61,N61)</f>
        <v>939</v>
      </c>
      <c r="AD61" s="1">
        <f t="shared" si="538"/>
        <v>878</v>
      </c>
      <c r="AE61" s="1">
        <f t="shared" si="5"/>
        <v>1817</v>
      </c>
      <c r="AF61" s="2">
        <f t="shared" ref="AF61:AH61" si="539">AC61/Z61</f>
        <v>0.91076624636275461</v>
      </c>
      <c r="AG61" s="2">
        <f t="shared" si="539"/>
        <v>0.88508064516129037</v>
      </c>
      <c r="AH61" s="2">
        <f t="shared" si="539"/>
        <v>0.89817103311913005</v>
      </c>
      <c r="AI61" s="1">
        <f t="shared" ref="AI61:AJ61" si="540">SUM(E61,H61,K61)</f>
        <v>820</v>
      </c>
      <c r="AJ61" s="1">
        <f t="shared" si="540"/>
        <v>742</v>
      </c>
      <c r="AK61" s="1">
        <f t="shared" si="8"/>
        <v>1562</v>
      </c>
      <c r="AL61" s="2">
        <f t="shared" ref="AL61:AN61" si="541">AI61/Z61</f>
        <v>0.79534432589718718</v>
      </c>
      <c r="AM61" s="2">
        <f t="shared" si="541"/>
        <v>0.74798387096774188</v>
      </c>
      <c r="AN61" s="2">
        <f t="shared" si="541"/>
        <v>0.77212061295106282</v>
      </c>
      <c r="AO61" s="2">
        <f t="shared" ref="AO61:AQ61" si="542">E61/Z61</f>
        <v>1.1639185257032008E-2</v>
      </c>
      <c r="AP61" s="2">
        <f t="shared" si="542"/>
        <v>9.0725806451612909E-3</v>
      </c>
      <c r="AQ61" s="2">
        <f t="shared" si="542"/>
        <v>1.0380622837370242E-2</v>
      </c>
      <c r="AR61" s="2">
        <f t="shared" si="11"/>
        <v>0.11057225994180407</v>
      </c>
      <c r="AS61" s="2">
        <f t="shared" ref="AS61:AT61" si="543">R61/AA61</f>
        <v>0.11491935483870967</v>
      </c>
      <c r="AT61" s="2">
        <f t="shared" si="543"/>
        <v>0.10182896688086999</v>
      </c>
      <c r="AU61" s="2">
        <f t="shared" ref="AU61:AW61" si="544">T61/W61</f>
        <v>9.6899224806201549E-4</v>
      </c>
      <c r="AV61" s="2">
        <f t="shared" si="445"/>
        <v>0</v>
      </c>
      <c r="AW61" s="2">
        <f t="shared" si="445"/>
        <v>4.9407114624505926E-4</v>
      </c>
    </row>
    <row r="62" spans="1:49" ht="13" x14ac:dyDescent="0.15">
      <c r="A62" s="1">
        <v>2024</v>
      </c>
      <c r="B62" s="1" t="s">
        <v>49</v>
      </c>
      <c r="C62" s="1" t="s">
        <v>50</v>
      </c>
      <c r="D62" s="1" t="s">
        <v>126</v>
      </c>
      <c r="E62" s="1">
        <v>26</v>
      </c>
      <c r="F62" s="1">
        <v>25</v>
      </c>
      <c r="G62" s="1">
        <v>51</v>
      </c>
      <c r="H62" s="1">
        <v>194</v>
      </c>
      <c r="I62" s="1">
        <v>227</v>
      </c>
      <c r="J62" s="1">
        <v>421</v>
      </c>
      <c r="K62" s="1">
        <v>28</v>
      </c>
      <c r="L62" s="1">
        <v>33</v>
      </c>
      <c r="M62" s="1">
        <v>61</v>
      </c>
      <c r="N62" s="1">
        <v>7</v>
      </c>
      <c r="O62" s="1">
        <v>13</v>
      </c>
      <c r="P62" s="1">
        <v>20</v>
      </c>
      <c r="Q62" s="1">
        <v>4</v>
      </c>
      <c r="R62" s="1">
        <v>7</v>
      </c>
      <c r="S62" s="1">
        <v>11</v>
      </c>
      <c r="T62" s="1">
        <v>4</v>
      </c>
      <c r="U62" s="1">
        <v>6</v>
      </c>
      <c r="V62" s="1">
        <v>10</v>
      </c>
      <c r="W62" s="1">
        <f t="shared" ref="W62:X62" si="545">SUM(E62,H62,K62,N62,Q62,T62)</f>
        <v>263</v>
      </c>
      <c r="X62" s="1">
        <f t="shared" si="545"/>
        <v>311</v>
      </c>
      <c r="Y62" s="1">
        <f t="shared" si="1"/>
        <v>574</v>
      </c>
      <c r="Z62" s="1">
        <f t="shared" ref="Z62:AA62" si="546">W62-T62</f>
        <v>259</v>
      </c>
      <c r="AA62" s="1">
        <f t="shared" si="546"/>
        <v>305</v>
      </c>
      <c r="AB62" s="1">
        <f t="shared" si="3"/>
        <v>564</v>
      </c>
      <c r="AC62" s="1">
        <f t="shared" ref="AC62:AD62" si="547">SUM(E62,H62,K62,N62)</f>
        <v>255</v>
      </c>
      <c r="AD62" s="1">
        <f t="shared" si="547"/>
        <v>298</v>
      </c>
      <c r="AE62" s="1">
        <f t="shared" si="5"/>
        <v>553</v>
      </c>
      <c r="AF62" s="2">
        <f t="shared" ref="AF62:AH62" si="548">AC62/Z62</f>
        <v>0.98455598455598459</v>
      </c>
      <c r="AG62" s="2">
        <f t="shared" si="548"/>
        <v>0.9770491803278688</v>
      </c>
      <c r="AH62" s="2">
        <f t="shared" si="548"/>
        <v>0.98049645390070927</v>
      </c>
      <c r="AI62" s="1">
        <f t="shared" ref="AI62:AJ62" si="549">SUM(E62,H62,K62)</f>
        <v>248</v>
      </c>
      <c r="AJ62" s="1">
        <f t="shared" si="549"/>
        <v>285</v>
      </c>
      <c r="AK62" s="1">
        <f t="shared" si="8"/>
        <v>533</v>
      </c>
      <c r="AL62" s="2">
        <f t="shared" ref="AL62:AN62" si="550">AI62/Z62</f>
        <v>0.9575289575289575</v>
      </c>
      <c r="AM62" s="2">
        <f t="shared" si="550"/>
        <v>0.93442622950819676</v>
      </c>
      <c r="AN62" s="2">
        <f t="shared" si="550"/>
        <v>0.94503546099290781</v>
      </c>
      <c r="AO62" s="2">
        <f t="shared" ref="AO62:AQ62" si="551">E62/Z62</f>
        <v>0.10038610038610038</v>
      </c>
      <c r="AP62" s="2">
        <f t="shared" si="551"/>
        <v>8.1967213114754092E-2</v>
      </c>
      <c r="AQ62" s="2">
        <f t="shared" si="551"/>
        <v>9.0425531914893623E-2</v>
      </c>
      <c r="AR62" s="2">
        <f t="shared" si="11"/>
        <v>2.7027027027027029E-2</v>
      </c>
      <c r="AS62" s="2">
        <f t="shared" ref="AS62:AT62" si="552">R62/AA62</f>
        <v>2.2950819672131147E-2</v>
      </c>
      <c r="AT62" s="2">
        <f t="shared" si="552"/>
        <v>1.9503546099290781E-2</v>
      </c>
      <c r="AU62" s="2">
        <f t="shared" ref="AU62:AW62" si="553">T62/W62</f>
        <v>1.5209125475285171E-2</v>
      </c>
      <c r="AV62" s="2">
        <f t="shared" si="445"/>
        <v>1.9292604501607719E-2</v>
      </c>
      <c r="AW62" s="2">
        <f t="shared" si="445"/>
        <v>1.7421602787456445E-2</v>
      </c>
    </row>
    <row r="63" spans="1:49" ht="13" x14ac:dyDescent="0.15">
      <c r="A63" s="1">
        <v>2024</v>
      </c>
      <c r="B63" s="1" t="s">
        <v>49</v>
      </c>
      <c r="C63" s="1" t="s">
        <v>89</v>
      </c>
      <c r="D63" s="1" t="s">
        <v>127</v>
      </c>
      <c r="E63" s="1">
        <v>102</v>
      </c>
      <c r="F63" s="1">
        <v>84</v>
      </c>
      <c r="G63" s="1">
        <v>186</v>
      </c>
      <c r="H63" s="1">
        <v>900</v>
      </c>
      <c r="I63" s="1">
        <v>914</v>
      </c>
      <c r="J63" s="1">
        <v>1814</v>
      </c>
      <c r="K63" s="1">
        <v>638</v>
      </c>
      <c r="L63" s="1">
        <v>701</v>
      </c>
      <c r="M63" s="1">
        <v>1339</v>
      </c>
      <c r="N63" s="1">
        <v>306</v>
      </c>
      <c r="O63" s="1">
        <v>369</v>
      </c>
      <c r="P63" s="1">
        <v>675</v>
      </c>
      <c r="Q63" s="1">
        <v>347</v>
      </c>
      <c r="R63" s="1">
        <v>437</v>
      </c>
      <c r="S63" s="1">
        <v>784</v>
      </c>
      <c r="T63" s="1">
        <v>11</v>
      </c>
      <c r="U63" s="1">
        <v>24</v>
      </c>
      <c r="V63" s="1">
        <v>35</v>
      </c>
      <c r="W63" s="1">
        <f t="shared" ref="W63:X63" si="554">SUM(E63,H63,K63,N63,Q63,T63)</f>
        <v>2304</v>
      </c>
      <c r="X63" s="1">
        <f t="shared" si="554"/>
        <v>2529</v>
      </c>
      <c r="Y63" s="1">
        <f t="shared" si="1"/>
        <v>4833</v>
      </c>
      <c r="Z63" s="1">
        <f t="shared" ref="Z63:AA63" si="555">W63-T63</f>
        <v>2293</v>
      </c>
      <c r="AA63" s="1">
        <f t="shared" si="555"/>
        <v>2505</v>
      </c>
      <c r="AB63" s="1">
        <f t="shared" si="3"/>
        <v>4798</v>
      </c>
      <c r="AC63" s="1">
        <f t="shared" ref="AC63:AD63" si="556">SUM(E63,H63,K63,N63)</f>
        <v>1946</v>
      </c>
      <c r="AD63" s="1">
        <f t="shared" si="556"/>
        <v>2068</v>
      </c>
      <c r="AE63" s="1">
        <f t="shared" si="5"/>
        <v>4014</v>
      </c>
      <c r="AF63" s="2">
        <f t="shared" ref="AF63:AH63" si="557">AC63/Z63</f>
        <v>0.8486698648059311</v>
      </c>
      <c r="AG63" s="2">
        <f t="shared" si="557"/>
        <v>0.82554890219560884</v>
      </c>
      <c r="AH63" s="2">
        <f t="shared" si="557"/>
        <v>0.83659858274280952</v>
      </c>
      <c r="AI63" s="1">
        <f t="shared" ref="AI63:AJ63" si="558">SUM(E63,H63,K63)</f>
        <v>1640</v>
      </c>
      <c r="AJ63" s="1">
        <f t="shared" si="558"/>
        <v>1699</v>
      </c>
      <c r="AK63" s="1">
        <f t="shared" si="8"/>
        <v>3339</v>
      </c>
      <c r="AL63" s="2">
        <f t="shared" ref="AL63:AN63" si="559">AI63/Z63</f>
        <v>0.71522023549934588</v>
      </c>
      <c r="AM63" s="2">
        <f t="shared" si="559"/>
        <v>0.67824351297405194</v>
      </c>
      <c r="AN63" s="2">
        <f t="shared" si="559"/>
        <v>0.69591496456857027</v>
      </c>
      <c r="AO63" s="2">
        <f t="shared" ref="AO63:AQ63" si="560">E63/Z63</f>
        <v>4.4483209768861755E-2</v>
      </c>
      <c r="AP63" s="2">
        <f t="shared" si="560"/>
        <v>3.3532934131736525E-2</v>
      </c>
      <c r="AQ63" s="2">
        <f t="shared" si="560"/>
        <v>3.8766152563568156E-2</v>
      </c>
      <c r="AR63" s="2">
        <f t="shared" si="11"/>
        <v>0.19058002616659397</v>
      </c>
      <c r="AS63" s="2">
        <f t="shared" ref="AS63:AT63" si="561">R63/AA63</f>
        <v>0.17445109780439122</v>
      </c>
      <c r="AT63" s="2">
        <f t="shared" si="561"/>
        <v>0.16340141725719048</v>
      </c>
      <c r="AU63" s="2">
        <f t="shared" ref="AU63:AW63" si="562">T63/W63</f>
        <v>4.7743055555555559E-3</v>
      </c>
      <c r="AV63" s="2">
        <f t="shared" si="445"/>
        <v>9.4899169632265724E-3</v>
      </c>
      <c r="AW63" s="2">
        <f t="shared" si="445"/>
        <v>7.2418787502586384E-3</v>
      </c>
    </row>
    <row r="64" spans="1:49" ht="13" x14ac:dyDescent="0.15">
      <c r="A64" s="1">
        <v>2024</v>
      </c>
      <c r="B64" s="1" t="s">
        <v>49</v>
      </c>
      <c r="C64" s="1" t="s">
        <v>50</v>
      </c>
      <c r="D64" s="1" t="s">
        <v>128</v>
      </c>
      <c r="E64" s="1">
        <v>257</v>
      </c>
      <c r="F64" s="1">
        <v>314</v>
      </c>
      <c r="G64" s="1">
        <v>571</v>
      </c>
      <c r="H64" s="1">
        <v>1346</v>
      </c>
      <c r="I64" s="1">
        <v>1930</v>
      </c>
      <c r="J64" s="1">
        <v>3276</v>
      </c>
      <c r="K64" s="1">
        <v>472</v>
      </c>
      <c r="L64" s="1">
        <v>573</v>
      </c>
      <c r="M64" s="1">
        <v>1045</v>
      </c>
      <c r="N64" s="1">
        <v>202</v>
      </c>
      <c r="O64" s="1">
        <v>217</v>
      </c>
      <c r="P64" s="1">
        <v>419</v>
      </c>
      <c r="Q64" s="1">
        <v>118</v>
      </c>
      <c r="R64" s="1">
        <v>103</v>
      </c>
      <c r="S64" s="1">
        <v>221</v>
      </c>
      <c r="T64" s="1">
        <v>55</v>
      </c>
      <c r="U64" s="1">
        <v>56</v>
      </c>
      <c r="V64" s="1">
        <v>111</v>
      </c>
      <c r="W64" s="1">
        <f t="shared" ref="W64:X64" si="563">SUM(E64,H64,K64,N64,Q64,T64)</f>
        <v>2450</v>
      </c>
      <c r="X64" s="1">
        <f t="shared" si="563"/>
        <v>3193</v>
      </c>
      <c r="Y64" s="1">
        <f t="shared" si="1"/>
        <v>5643</v>
      </c>
      <c r="Z64" s="1">
        <f t="shared" ref="Z64:AA64" si="564">W64-T64</f>
        <v>2395</v>
      </c>
      <c r="AA64" s="1">
        <f t="shared" si="564"/>
        <v>3137</v>
      </c>
      <c r="AB64" s="1">
        <f t="shared" si="3"/>
        <v>5532</v>
      </c>
      <c r="AC64" s="1">
        <f t="shared" ref="AC64:AD64" si="565">SUM(E64,H64,K64,N64)</f>
        <v>2277</v>
      </c>
      <c r="AD64" s="1">
        <f t="shared" si="565"/>
        <v>3034</v>
      </c>
      <c r="AE64" s="1">
        <f t="shared" si="5"/>
        <v>5311</v>
      </c>
      <c r="AF64" s="2">
        <f t="shared" ref="AF64:AH64" si="566">AC64/Z64</f>
        <v>0.95073068893528179</v>
      </c>
      <c r="AG64" s="2">
        <f t="shared" si="566"/>
        <v>0.96716608224418232</v>
      </c>
      <c r="AH64" s="2">
        <f t="shared" si="566"/>
        <v>0.96005061460592911</v>
      </c>
      <c r="AI64" s="1">
        <f t="shared" ref="AI64:AJ64" si="567">SUM(E64,H64,K64)</f>
        <v>2075</v>
      </c>
      <c r="AJ64" s="1">
        <f t="shared" si="567"/>
        <v>2817</v>
      </c>
      <c r="AK64" s="1">
        <f t="shared" si="8"/>
        <v>4892</v>
      </c>
      <c r="AL64" s="2">
        <f t="shared" ref="AL64:AN64" si="568">AI64/Z64</f>
        <v>0.86638830897703545</v>
      </c>
      <c r="AM64" s="2">
        <f t="shared" si="568"/>
        <v>0.89799171182658588</v>
      </c>
      <c r="AN64" s="2">
        <f t="shared" si="568"/>
        <v>0.88430947216196676</v>
      </c>
      <c r="AO64" s="2">
        <f t="shared" ref="AO64:AQ64" si="569">E64/Z64</f>
        <v>0.10730688935281837</v>
      </c>
      <c r="AP64" s="2">
        <f t="shared" si="569"/>
        <v>0.10009563277016258</v>
      </c>
      <c r="AQ64" s="2">
        <f t="shared" si="569"/>
        <v>0.10321764280549529</v>
      </c>
      <c r="AR64" s="2">
        <f t="shared" si="11"/>
        <v>4.3006263048016705E-2</v>
      </c>
      <c r="AS64" s="2">
        <f t="shared" ref="AS64:AT64" si="570">R64/AA64</f>
        <v>3.2833917755817663E-2</v>
      </c>
      <c r="AT64" s="2">
        <f t="shared" si="570"/>
        <v>3.9949385394070863E-2</v>
      </c>
      <c r="AU64" s="2">
        <f t="shared" ref="AU64:AW64" si="571">T64/W64</f>
        <v>2.2448979591836733E-2</v>
      </c>
      <c r="AV64" s="2">
        <f t="shared" si="445"/>
        <v>1.7538365173817728E-2</v>
      </c>
      <c r="AW64" s="2">
        <f t="shared" si="445"/>
        <v>1.9670388091440724E-2</v>
      </c>
    </row>
    <row r="65" spans="1:49" ht="13" x14ac:dyDescent="0.15">
      <c r="A65" s="1">
        <v>2024</v>
      </c>
      <c r="B65" s="1" t="s">
        <v>69</v>
      </c>
      <c r="C65" s="1" t="s">
        <v>129</v>
      </c>
      <c r="D65" s="1" t="s">
        <v>129</v>
      </c>
      <c r="E65" s="1">
        <v>4326</v>
      </c>
      <c r="F65" s="1">
        <v>4084</v>
      </c>
      <c r="G65" s="1">
        <v>8410</v>
      </c>
      <c r="H65" s="1">
        <v>8006</v>
      </c>
      <c r="I65" s="1">
        <v>9512</v>
      </c>
      <c r="J65" s="1">
        <v>17518</v>
      </c>
      <c r="K65" s="1">
        <v>1343</v>
      </c>
      <c r="L65" s="1">
        <v>1958</v>
      </c>
      <c r="M65" s="1">
        <v>3301</v>
      </c>
      <c r="N65" s="1">
        <v>596</v>
      </c>
      <c r="O65" s="1">
        <v>842</v>
      </c>
      <c r="P65" s="1">
        <v>1438</v>
      </c>
      <c r="Q65" s="1">
        <v>519</v>
      </c>
      <c r="R65" s="1">
        <v>515</v>
      </c>
      <c r="S65" s="1">
        <v>1034</v>
      </c>
      <c r="T65" s="1">
        <v>143</v>
      </c>
      <c r="U65" s="1">
        <v>165</v>
      </c>
      <c r="V65" s="1">
        <v>308</v>
      </c>
      <c r="W65" s="1">
        <f t="shared" ref="W65:X65" si="572">SUM(E65,H65,K65,N65,Q65,T65)</f>
        <v>14933</v>
      </c>
      <c r="X65" s="1">
        <f t="shared" si="572"/>
        <v>17076</v>
      </c>
      <c r="Y65" s="1">
        <f t="shared" si="1"/>
        <v>32009</v>
      </c>
      <c r="Z65" s="1">
        <f t="shared" ref="Z65:AA65" si="573">W65-T65</f>
        <v>14790</v>
      </c>
      <c r="AA65" s="1">
        <f t="shared" si="573"/>
        <v>16911</v>
      </c>
      <c r="AB65" s="1">
        <f t="shared" si="3"/>
        <v>31701</v>
      </c>
      <c r="AC65" s="1">
        <f t="shared" ref="AC65:AD65" si="574">SUM(E65,H65,K65,N65)</f>
        <v>14271</v>
      </c>
      <c r="AD65" s="1">
        <f t="shared" si="574"/>
        <v>16396</v>
      </c>
      <c r="AE65" s="1">
        <f t="shared" si="5"/>
        <v>30667</v>
      </c>
      <c r="AF65" s="2">
        <f t="shared" ref="AF65:AH65" si="575">AC65/Z65</f>
        <v>0.96490872210953349</v>
      </c>
      <c r="AG65" s="2">
        <f t="shared" si="575"/>
        <v>0.96954644905682696</v>
      </c>
      <c r="AH65" s="2">
        <f t="shared" si="575"/>
        <v>0.96738273240591777</v>
      </c>
      <c r="AI65" s="1">
        <f t="shared" ref="AI65:AJ65" si="576">SUM(E65,H65,K65)</f>
        <v>13675</v>
      </c>
      <c r="AJ65" s="1">
        <f t="shared" si="576"/>
        <v>15554</v>
      </c>
      <c r="AK65" s="1">
        <f t="shared" si="8"/>
        <v>29229</v>
      </c>
      <c r="AL65" s="2">
        <f t="shared" ref="AL65:AN65" si="577">AI65/Z65</f>
        <v>0.92461122379986482</v>
      </c>
      <c r="AM65" s="2">
        <f t="shared" si="577"/>
        <v>0.9197563715924546</v>
      </c>
      <c r="AN65" s="2">
        <f t="shared" si="577"/>
        <v>0.92202138733793881</v>
      </c>
      <c r="AO65" s="2">
        <f t="shared" ref="AO65:AQ65" si="578">E65/Z65</f>
        <v>0.2924949290060852</v>
      </c>
      <c r="AP65" s="2">
        <f t="shared" si="578"/>
        <v>0.24149961563479391</v>
      </c>
      <c r="AQ65" s="2">
        <f t="shared" si="578"/>
        <v>0.26529131573136494</v>
      </c>
      <c r="AR65" s="2">
        <f t="shared" si="11"/>
        <v>3.4820824881676808E-2</v>
      </c>
      <c r="AS65" s="2">
        <f t="shared" ref="AS65:AT65" si="579">R65/AA65</f>
        <v>3.0453550943173084E-2</v>
      </c>
      <c r="AT65" s="2">
        <f t="shared" si="579"/>
        <v>3.2617267594082205E-2</v>
      </c>
      <c r="AU65" s="2">
        <f t="shared" ref="AU65:AW65" si="580">T65/W65</f>
        <v>9.576106609522534E-3</v>
      </c>
      <c r="AV65" s="2">
        <f t="shared" si="445"/>
        <v>9.6626844694307802E-3</v>
      </c>
      <c r="AW65" s="2">
        <f t="shared" si="445"/>
        <v>9.6222937298884696E-3</v>
      </c>
    </row>
    <row r="66" spans="1:49" ht="13" x14ac:dyDescent="0.15">
      <c r="A66" s="1">
        <v>2024</v>
      </c>
      <c r="B66" s="1" t="s">
        <v>69</v>
      </c>
      <c r="C66" s="1" t="s">
        <v>89</v>
      </c>
      <c r="D66" s="1" t="s">
        <v>130</v>
      </c>
      <c r="E66" s="1">
        <v>402</v>
      </c>
      <c r="F66" s="1">
        <v>357</v>
      </c>
      <c r="G66" s="1">
        <v>759</v>
      </c>
      <c r="H66" s="1">
        <v>2790</v>
      </c>
      <c r="I66" s="1">
        <v>3363</v>
      </c>
      <c r="J66" s="1">
        <v>6153</v>
      </c>
      <c r="K66" s="1">
        <v>1156</v>
      </c>
      <c r="L66" s="1">
        <v>1672</v>
      </c>
      <c r="M66" s="1">
        <v>2828</v>
      </c>
      <c r="N66" s="1">
        <v>670</v>
      </c>
      <c r="O66" s="1">
        <v>815</v>
      </c>
      <c r="P66" s="1">
        <v>1485</v>
      </c>
      <c r="Q66" s="1">
        <v>422</v>
      </c>
      <c r="R66" s="1">
        <v>534</v>
      </c>
      <c r="S66" s="1">
        <v>956</v>
      </c>
      <c r="T66" s="1">
        <v>57</v>
      </c>
      <c r="U66" s="1">
        <v>63</v>
      </c>
      <c r="V66" s="1">
        <v>120</v>
      </c>
      <c r="W66" s="1">
        <f t="shared" ref="W66:X66" si="581">SUM(E66,H66,K66,N66,Q66,T66)</f>
        <v>5497</v>
      </c>
      <c r="X66" s="1">
        <f t="shared" si="581"/>
        <v>6804</v>
      </c>
      <c r="Y66" s="1">
        <f t="shared" si="1"/>
        <v>12301</v>
      </c>
      <c r="Z66" s="1">
        <f t="shared" ref="Z66:AA66" si="582">W66-T66</f>
        <v>5440</v>
      </c>
      <c r="AA66" s="1">
        <f t="shared" si="582"/>
        <v>6741</v>
      </c>
      <c r="AB66" s="1">
        <f t="shared" si="3"/>
        <v>12181</v>
      </c>
      <c r="AC66" s="1">
        <f t="shared" ref="AC66:AD66" si="583">SUM(E66,H66,K66,N66)</f>
        <v>5018</v>
      </c>
      <c r="AD66" s="1">
        <f t="shared" si="583"/>
        <v>6207</v>
      </c>
      <c r="AE66" s="1">
        <f t="shared" si="5"/>
        <v>11225</v>
      </c>
      <c r="AF66" s="2">
        <f t="shared" ref="AF66:AH66" si="584">AC66/Z66</f>
        <v>0.92242647058823535</v>
      </c>
      <c r="AG66" s="2">
        <f t="shared" si="584"/>
        <v>0.92078326657765908</v>
      </c>
      <c r="AH66" s="2">
        <f t="shared" si="584"/>
        <v>0.92151711682127901</v>
      </c>
      <c r="AI66" s="1">
        <f t="shared" ref="AI66:AJ66" si="585">SUM(E66,H66,K66)</f>
        <v>4348</v>
      </c>
      <c r="AJ66" s="1">
        <f t="shared" si="585"/>
        <v>5392</v>
      </c>
      <c r="AK66" s="1">
        <f t="shared" si="8"/>
        <v>9740</v>
      </c>
      <c r="AL66" s="2">
        <f t="shared" ref="AL66:AN66" si="586">AI66/Z66</f>
        <v>0.79926470588235299</v>
      </c>
      <c r="AM66" s="2">
        <f t="shared" si="586"/>
        <v>0.79988132324580918</v>
      </c>
      <c r="AN66" s="2">
        <f t="shared" si="586"/>
        <v>0.7996059436827847</v>
      </c>
      <c r="AO66" s="2">
        <f t="shared" ref="AO66:AQ66" si="587">E66/Z66</f>
        <v>7.3897058823529413E-2</v>
      </c>
      <c r="AP66" s="2">
        <f t="shared" si="587"/>
        <v>5.2959501557632398E-2</v>
      </c>
      <c r="AQ66" s="2">
        <f t="shared" si="587"/>
        <v>6.2310155159674904E-2</v>
      </c>
      <c r="AR66" s="2">
        <f t="shared" si="11"/>
        <v>9.8161764705882351E-2</v>
      </c>
      <c r="AS66" s="2">
        <f t="shared" ref="AS66:AT66" si="588">R66/AA66</f>
        <v>7.9216733422340896E-2</v>
      </c>
      <c r="AT66" s="2">
        <f t="shared" si="588"/>
        <v>7.8482883178720958E-2</v>
      </c>
      <c r="AU66" s="2">
        <f t="shared" ref="AU66:AW81" si="589">T66/W66</f>
        <v>1.0369292341277061E-2</v>
      </c>
      <c r="AV66" s="2">
        <f t="shared" si="589"/>
        <v>9.2592592592592587E-3</v>
      </c>
      <c r="AW66" s="2">
        <f t="shared" si="589"/>
        <v>9.755304446792944E-3</v>
      </c>
    </row>
    <row r="67" spans="1:49" ht="13" x14ac:dyDescent="0.15">
      <c r="A67" s="1">
        <v>2024</v>
      </c>
      <c r="B67" s="1" t="s">
        <v>117</v>
      </c>
      <c r="C67" s="1" t="s">
        <v>101</v>
      </c>
      <c r="D67" s="1" t="s">
        <v>131</v>
      </c>
      <c r="E67" s="1">
        <v>295</v>
      </c>
      <c r="F67" s="1">
        <v>195</v>
      </c>
      <c r="G67" s="1">
        <v>490</v>
      </c>
      <c r="H67" s="1">
        <v>1467</v>
      </c>
      <c r="I67" s="1">
        <v>1554</v>
      </c>
      <c r="J67" s="1">
        <v>3021</v>
      </c>
      <c r="K67" s="1">
        <v>331</v>
      </c>
      <c r="L67" s="1">
        <v>516</v>
      </c>
      <c r="M67" s="1">
        <v>847</v>
      </c>
      <c r="N67" s="1">
        <v>134</v>
      </c>
      <c r="O67" s="1">
        <v>191</v>
      </c>
      <c r="P67" s="1">
        <v>325</v>
      </c>
      <c r="Q67" s="1">
        <v>45</v>
      </c>
      <c r="R67" s="1">
        <v>100</v>
      </c>
      <c r="S67" s="1">
        <v>145</v>
      </c>
      <c r="T67" s="1">
        <v>28</v>
      </c>
      <c r="U67" s="1">
        <v>20</v>
      </c>
      <c r="V67" s="1">
        <v>48</v>
      </c>
      <c r="W67" s="1">
        <f t="shared" ref="W67:X67" si="590">SUM(E67,H67,K67,N67,Q67,T67)</f>
        <v>2300</v>
      </c>
      <c r="X67" s="1">
        <f t="shared" si="590"/>
        <v>2576</v>
      </c>
      <c r="Y67" s="1">
        <f t="shared" si="1"/>
        <v>4876</v>
      </c>
      <c r="Z67" s="1">
        <f t="shared" ref="Z67:AA67" si="591">W67-T67</f>
        <v>2272</v>
      </c>
      <c r="AA67" s="1">
        <f t="shared" si="591"/>
        <v>2556</v>
      </c>
      <c r="AB67" s="1">
        <f t="shared" si="3"/>
        <v>4828</v>
      </c>
      <c r="AC67" s="1">
        <f t="shared" ref="AC67:AD67" si="592">SUM(E67,H67,K67,N67)</f>
        <v>2227</v>
      </c>
      <c r="AD67" s="1">
        <f t="shared" si="592"/>
        <v>2456</v>
      </c>
      <c r="AE67" s="1">
        <f t="shared" si="5"/>
        <v>4683</v>
      </c>
      <c r="AF67" s="2">
        <f t="shared" ref="AF67:AH67" si="593">AC67/Z67</f>
        <v>0.980193661971831</v>
      </c>
      <c r="AG67" s="2">
        <f t="shared" si="593"/>
        <v>0.96087636932707354</v>
      </c>
      <c r="AH67" s="2">
        <f t="shared" si="593"/>
        <v>0.96996685998343002</v>
      </c>
      <c r="AI67" s="1">
        <f t="shared" ref="AI67:AJ67" si="594">SUM(E67,H67,K67)</f>
        <v>2093</v>
      </c>
      <c r="AJ67" s="1">
        <f t="shared" si="594"/>
        <v>2265</v>
      </c>
      <c r="AK67" s="1">
        <f t="shared" si="8"/>
        <v>4358</v>
      </c>
      <c r="AL67" s="2">
        <f t="shared" ref="AL67:AN67" si="595">AI67/Z67</f>
        <v>0.92121478873239437</v>
      </c>
      <c r="AM67" s="2">
        <f t="shared" si="595"/>
        <v>0.886150234741784</v>
      </c>
      <c r="AN67" s="2">
        <f t="shared" si="595"/>
        <v>0.90265120132560062</v>
      </c>
      <c r="AO67" s="2">
        <f t="shared" ref="AO67:AQ67" si="596">E67/Z67</f>
        <v>0.12984154929577466</v>
      </c>
      <c r="AP67" s="2">
        <f t="shared" si="596"/>
        <v>7.6291079812206578E-2</v>
      </c>
      <c r="AQ67" s="2">
        <f t="shared" si="596"/>
        <v>0.10149130074565037</v>
      </c>
      <c r="AR67" s="2">
        <f t="shared" si="11"/>
        <v>4.401408450704225E-2</v>
      </c>
      <c r="AS67" s="2">
        <f t="shared" ref="AS67:AT67" si="597">R67/AA67</f>
        <v>3.912363067292645E-2</v>
      </c>
      <c r="AT67" s="2">
        <f t="shared" si="597"/>
        <v>3.0033140016570009E-2</v>
      </c>
      <c r="AU67" s="2">
        <f t="shared" ref="AU67:AW67" si="598">T67/W67</f>
        <v>1.2173913043478261E-2</v>
      </c>
      <c r="AV67" s="2">
        <f t="shared" si="589"/>
        <v>7.763975155279503E-3</v>
      </c>
      <c r="AW67" s="2">
        <f t="shared" si="589"/>
        <v>9.8441345365053324E-3</v>
      </c>
    </row>
    <row r="68" spans="1:49" ht="13" x14ac:dyDescent="0.15">
      <c r="A68" s="1">
        <v>2024</v>
      </c>
      <c r="B68" s="1" t="s">
        <v>49</v>
      </c>
      <c r="C68" s="1" t="s">
        <v>52</v>
      </c>
      <c r="D68" s="1" t="s">
        <v>132</v>
      </c>
      <c r="E68" s="1">
        <v>316</v>
      </c>
      <c r="F68" s="1">
        <v>258</v>
      </c>
      <c r="G68" s="1">
        <v>574</v>
      </c>
      <c r="H68" s="1">
        <v>1170</v>
      </c>
      <c r="I68" s="1">
        <v>1376</v>
      </c>
      <c r="J68" s="1">
        <v>2546</v>
      </c>
      <c r="K68" s="1">
        <v>553</v>
      </c>
      <c r="L68" s="1">
        <v>815</v>
      </c>
      <c r="M68" s="1">
        <v>1368</v>
      </c>
      <c r="N68" s="1">
        <v>180</v>
      </c>
      <c r="O68" s="1">
        <v>297</v>
      </c>
      <c r="P68" s="1">
        <v>477</v>
      </c>
      <c r="Q68" s="1">
        <v>126</v>
      </c>
      <c r="R68" s="1">
        <v>217</v>
      </c>
      <c r="S68" s="1">
        <v>343</v>
      </c>
      <c r="T68" s="1">
        <v>23</v>
      </c>
      <c r="U68" s="1">
        <v>40</v>
      </c>
      <c r="V68" s="1">
        <v>63</v>
      </c>
      <c r="W68" s="1">
        <f t="shared" ref="W68:X68" si="599">SUM(E68,H68,K68,N68,Q68,T68)</f>
        <v>2368</v>
      </c>
      <c r="X68" s="1">
        <f t="shared" si="599"/>
        <v>3003</v>
      </c>
      <c r="Y68" s="1">
        <f t="shared" si="1"/>
        <v>5371</v>
      </c>
      <c r="Z68" s="1">
        <f t="shared" ref="Z68:AA68" si="600">W68-T68</f>
        <v>2345</v>
      </c>
      <c r="AA68" s="1">
        <f t="shared" si="600"/>
        <v>2963</v>
      </c>
      <c r="AB68" s="1">
        <f t="shared" si="3"/>
        <v>5308</v>
      </c>
      <c r="AC68" s="1">
        <f t="shared" ref="AC68:AD68" si="601">SUM(E68,H68,K68,N68)</f>
        <v>2219</v>
      </c>
      <c r="AD68" s="1">
        <f t="shared" si="601"/>
        <v>2746</v>
      </c>
      <c r="AE68" s="1">
        <f t="shared" si="5"/>
        <v>4965</v>
      </c>
      <c r="AF68" s="2">
        <f t="shared" ref="AF68:AH68" si="602">AC68/Z68</f>
        <v>0.94626865671641791</v>
      </c>
      <c r="AG68" s="2">
        <f t="shared" si="602"/>
        <v>0.92676341545730678</v>
      </c>
      <c r="AH68" s="2">
        <f t="shared" si="602"/>
        <v>0.93538055764883199</v>
      </c>
      <c r="AI68" s="1">
        <f t="shared" ref="AI68:AJ68" si="603">SUM(E68,H68,K68)</f>
        <v>2039</v>
      </c>
      <c r="AJ68" s="1">
        <f t="shared" si="603"/>
        <v>2449</v>
      </c>
      <c r="AK68" s="1">
        <f t="shared" si="8"/>
        <v>4488</v>
      </c>
      <c r="AL68" s="2">
        <f t="shared" ref="AL68:AN68" si="604">AI68/Z68</f>
        <v>0.86950959488272916</v>
      </c>
      <c r="AM68" s="2">
        <f t="shared" si="604"/>
        <v>0.82652716841039486</v>
      </c>
      <c r="AN68" s="2">
        <f t="shared" si="604"/>
        <v>0.84551620195930666</v>
      </c>
      <c r="AO68" s="2">
        <f t="shared" ref="AO68:AQ68" si="605">E68/Z68</f>
        <v>0.13475479744136459</v>
      </c>
      <c r="AP68" s="2">
        <f t="shared" si="605"/>
        <v>8.7073911576105292E-2</v>
      </c>
      <c r="AQ68" s="2">
        <f t="shared" si="605"/>
        <v>0.1081386586284853</v>
      </c>
      <c r="AR68" s="2">
        <f t="shared" si="11"/>
        <v>9.2537313432835819E-2</v>
      </c>
      <c r="AS68" s="2">
        <f t="shared" ref="AS68:AT68" si="606">R68/AA68</f>
        <v>7.3236584542693217E-2</v>
      </c>
      <c r="AT68" s="2">
        <f t="shared" si="606"/>
        <v>6.4619442351168052E-2</v>
      </c>
      <c r="AU68" s="2">
        <f t="shared" ref="AU68:AW68" si="607">T68/W68</f>
        <v>9.7128378378378375E-3</v>
      </c>
      <c r="AV68" s="2">
        <f t="shared" si="589"/>
        <v>1.332001332001332E-2</v>
      </c>
      <c r="AW68" s="2">
        <f t="shared" si="589"/>
        <v>1.1729659281325638E-2</v>
      </c>
    </row>
    <row r="69" spans="1:49" ht="13" x14ac:dyDescent="0.15">
      <c r="A69" s="1">
        <v>2024</v>
      </c>
      <c r="B69" s="1" t="s">
        <v>49</v>
      </c>
      <c r="C69" s="1" t="s">
        <v>62</v>
      </c>
      <c r="D69" s="1" t="s">
        <v>133</v>
      </c>
      <c r="E69" s="1">
        <v>106</v>
      </c>
      <c r="F69" s="1">
        <v>90</v>
      </c>
      <c r="G69" s="1">
        <v>196</v>
      </c>
      <c r="H69" s="1">
        <v>564</v>
      </c>
      <c r="I69" s="1">
        <v>561</v>
      </c>
      <c r="J69" s="1">
        <v>1125</v>
      </c>
      <c r="K69" s="1">
        <v>420</v>
      </c>
      <c r="L69" s="1">
        <v>520</v>
      </c>
      <c r="M69" s="1">
        <v>940</v>
      </c>
      <c r="N69" s="1">
        <v>260</v>
      </c>
      <c r="O69" s="1">
        <v>323</v>
      </c>
      <c r="P69" s="1">
        <v>583</v>
      </c>
      <c r="Q69" s="1">
        <v>251</v>
      </c>
      <c r="R69" s="1">
        <v>371</v>
      </c>
      <c r="S69" s="1">
        <v>622</v>
      </c>
      <c r="T69" s="1">
        <v>5</v>
      </c>
      <c r="U69" s="1">
        <v>16</v>
      </c>
      <c r="V69" s="1">
        <v>21</v>
      </c>
      <c r="W69" s="1">
        <f t="shared" ref="W69:X69" si="608">SUM(E69,H69,K69,N69,Q69,T69)</f>
        <v>1606</v>
      </c>
      <c r="X69" s="1">
        <f t="shared" si="608"/>
        <v>1881</v>
      </c>
      <c r="Y69" s="1">
        <f t="shared" si="1"/>
        <v>3487</v>
      </c>
      <c r="Z69" s="1">
        <f t="shared" ref="Z69:AA69" si="609">W69-T69</f>
        <v>1601</v>
      </c>
      <c r="AA69" s="1">
        <f t="shared" si="609"/>
        <v>1865</v>
      </c>
      <c r="AB69" s="1">
        <f t="shared" si="3"/>
        <v>3466</v>
      </c>
      <c r="AC69" s="1">
        <f t="shared" ref="AC69:AD69" si="610">SUM(E69,H69,K69,N69)</f>
        <v>1350</v>
      </c>
      <c r="AD69" s="1">
        <f t="shared" si="610"/>
        <v>1494</v>
      </c>
      <c r="AE69" s="1">
        <f t="shared" si="5"/>
        <v>2844</v>
      </c>
      <c r="AF69" s="2">
        <f t="shared" ref="AF69:AH69" si="611">AC69/Z69</f>
        <v>0.84322298563397879</v>
      </c>
      <c r="AG69" s="2">
        <f t="shared" si="611"/>
        <v>0.80107238605898123</v>
      </c>
      <c r="AH69" s="2">
        <f t="shared" si="611"/>
        <v>0.82054241200230815</v>
      </c>
      <c r="AI69" s="1">
        <f t="shared" ref="AI69:AJ69" si="612">SUM(E69,H69,K69)</f>
        <v>1090</v>
      </c>
      <c r="AJ69" s="1">
        <f t="shared" si="612"/>
        <v>1171</v>
      </c>
      <c r="AK69" s="1">
        <f t="shared" si="8"/>
        <v>2261</v>
      </c>
      <c r="AL69" s="2">
        <f t="shared" ref="AL69:AN69" si="613">AI69/Z69</f>
        <v>0.68082448469706436</v>
      </c>
      <c r="AM69" s="2">
        <f t="shared" si="613"/>
        <v>0.62788203753351202</v>
      </c>
      <c r="AN69" s="2">
        <f t="shared" si="613"/>
        <v>0.652336987882285</v>
      </c>
      <c r="AO69" s="2">
        <f t="shared" ref="AO69:AQ69" si="614">E69/Z69</f>
        <v>6.6208619612742034E-2</v>
      </c>
      <c r="AP69" s="2">
        <f t="shared" si="614"/>
        <v>4.8257372654155493E-2</v>
      </c>
      <c r="AQ69" s="2">
        <f t="shared" si="614"/>
        <v>5.6549336410848243E-2</v>
      </c>
      <c r="AR69" s="2">
        <f t="shared" si="11"/>
        <v>0.23173016864459714</v>
      </c>
      <c r="AS69" s="2">
        <f t="shared" ref="AS69:AT69" si="615">R69/AA69</f>
        <v>0.19892761394101877</v>
      </c>
      <c r="AT69" s="2">
        <f t="shared" si="615"/>
        <v>0.17945758799769188</v>
      </c>
      <c r="AU69" s="2">
        <f t="shared" ref="AU69:AW69" si="616">T69/W69</f>
        <v>3.1133250311332502E-3</v>
      </c>
      <c r="AV69" s="2">
        <f t="shared" si="589"/>
        <v>8.5061137692716646E-3</v>
      </c>
      <c r="AW69" s="2">
        <f t="shared" si="589"/>
        <v>6.0223687983940351E-3</v>
      </c>
    </row>
    <row r="70" spans="1:49" ht="13" x14ac:dyDescent="0.15">
      <c r="A70" s="1">
        <v>2024</v>
      </c>
      <c r="B70" s="1" t="s">
        <v>49</v>
      </c>
      <c r="C70" s="1" t="s">
        <v>59</v>
      </c>
      <c r="D70" s="1" t="s">
        <v>134</v>
      </c>
      <c r="E70" s="1">
        <v>21</v>
      </c>
      <c r="F70" s="1">
        <v>1</v>
      </c>
      <c r="G70" s="1">
        <v>22</v>
      </c>
      <c r="H70" s="1">
        <v>405</v>
      </c>
      <c r="I70" s="1">
        <v>285</v>
      </c>
      <c r="J70" s="1">
        <v>690</v>
      </c>
      <c r="K70" s="1">
        <v>240</v>
      </c>
      <c r="L70" s="1">
        <v>335</v>
      </c>
      <c r="M70" s="1">
        <v>575</v>
      </c>
      <c r="N70" s="1">
        <v>105</v>
      </c>
      <c r="O70" s="1">
        <v>97</v>
      </c>
      <c r="P70" s="1">
        <v>202</v>
      </c>
      <c r="Q70" s="1">
        <v>52</v>
      </c>
      <c r="R70" s="1">
        <v>98</v>
      </c>
      <c r="S70" s="1">
        <v>150</v>
      </c>
      <c r="T70" s="1">
        <v>4</v>
      </c>
      <c r="U70" s="1">
        <v>6</v>
      </c>
      <c r="V70" s="1">
        <v>10</v>
      </c>
      <c r="W70" s="1">
        <f t="shared" ref="W70:X70" si="617">SUM(E70,H70,K70,N70,Q70,T70)</f>
        <v>827</v>
      </c>
      <c r="X70" s="1">
        <f t="shared" si="617"/>
        <v>822</v>
      </c>
      <c r="Y70" s="1">
        <f t="shared" si="1"/>
        <v>1649</v>
      </c>
      <c r="Z70" s="1">
        <f t="shared" ref="Z70:AA70" si="618">W70-T70</f>
        <v>823</v>
      </c>
      <c r="AA70" s="1">
        <f t="shared" si="618"/>
        <v>816</v>
      </c>
      <c r="AB70" s="1">
        <f t="shared" si="3"/>
        <v>1639</v>
      </c>
      <c r="AC70" s="1">
        <f t="shared" ref="AC70:AD70" si="619">SUM(E70,H70,K70,N70)</f>
        <v>771</v>
      </c>
      <c r="AD70" s="1">
        <f t="shared" si="619"/>
        <v>718</v>
      </c>
      <c r="AE70" s="1">
        <f t="shared" si="5"/>
        <v>1489</v>
      </c>
      <c r="AF70" s="2">
        <f t="shared" ref="AF70:AH70" si="620">AC70/Z70</f>
        <v>0.93681652490887002</v>
      </c>
      <c r="AG70" s="2">
        <f t="shared" si="620"/>
        <v>0.87990196078431371</v>
      </c>
      <c r="AH70" s="2">
        <f t="shared" si="620"/>
        <v>0.90848078096400242</v>
      </c>
      <c r="AI70" s="1">
        <f t="shared" ref="AI70:AJ70" si="621">SUM(E70,H70,K70)</f>
        <v>666</v>
      </c>
      <c r="AJ70" s="1">
        <f t="shared" si="621"/>
        <v>621</v>
      </c>
      <c r="AK70" s="1">
        <f t="shared" si="8"/>
        <v>1287</v>
      </c>
      <c r="AL70" s="2">
        <f t="shared" ref="AL70:AN70" si="622">AI70/Z70</f>
        <v>0.80923450789793439</v>
      </c>
      <c r="AM70" s="2">
        <f t="shared" si="622"/>
        <v>0.76102941176470584</v>
      </c>
      <c r="AN70" s="2">
        <f t="shared" si="622"/>
        <v>0.78523489932885904</v>
      </c>
      <c r="AO70" s="2">
        <f t="shared" ref="AO70:AQ70" si="623">E70/Z70</f>
        <v>2.551640340218712E-2</v>
      </c>
      <c r="AP70" s="2">
        <f t="shared" si="623"/>
        <v>1.2254901960784314E-3</v>
      </c>
      <c r="AQ70" s="2">
        <f t="shared" si="623"/>
        <v>1.3422818791946308E-2</v>
      </c>
      <c r="AR70" s="2">
        <f t="shared" si="11"/>
        <v>0.11907654921020656</v>
      </c>
      <c r="AS70" s="2">
        <f t="shared" ref="AS70:AT70" si="624">R70/AA70</f>
        <v>0.12009803921568628</v>
      </c>
      <c r="AT70" s="2">
        <f t="shared" si="624"/>
        <v>9.1519219035997565E-2</v>
      </c>
      <c r="AU70" s="2">
        <f t="shared" ref="AU70:AW70" si="625">T70/W70</f>
        <v>4.8367593712212815E-3</v>
      </c>
      <c r="AV70" s="2">
        <f t="shared" si="589"/>
        <v>7.2992700729927005E-3</v>
      </c>
      <c r="AW70" s="2">
        <f t="shared" si="589"/>
        <v>6.0642813826561554E-3</v>
      </c>
    </row>
    <row r="71" spans="1:49" ht="13" x14ac:dyDescent="0.15">
      <c r="A71" s="1">
        <v>2024</v>
      </c>
      <c r="B71" s="1" t="s">
        <v>74</v>
      </c>
      <c r="C71" s="1" t="s">
        <v>75</v>
      </c>
      <c r="D71" s="1" t="s">
        <v>135</v>
      </c>
      <c r="E71" s="1">
        <v>4</v>
      </c>
      <c r="F71" s="1">
        <v>5</v>
      </c>
      <c r="G71" s="1">
        <v>9</v>
      </c>
      <c r="H71" s="1">
        <v>96</v>
      </c>
      <c r="I71" s="1">
        <v>105</v>
      </c>
      <c r="J71" s="1">
        <v>201</v>
      </c>
      <c r="K71" s="1">
        <v>45</v>
      </c>
      <c r="L71" s="1">
        <v>57</v>
      </c>
      <c r="M71" s="1">
        <v>102</v>
      </c>
      <c r="N71" s="1">
        <v>13</v>
      </c>
      <c r="O71" s="1">
        <v>16</v>
      </c>
      <c r="P71" s="1">
        <v>29</v>
      </c>
      <c r="Q71" s="1">
        <v>20</v>
      </c>
      <c r="R71" s="1">
        <v>12</v>
      </c>
      <c r="S71" s="1">
        <v>32</v>
      </c>
      <c r="T71" s="1">
        <v>3</v>
      </c>
      <c r="U71" s="1">
        <v>1</v>
      </c>
      <c r="V71" s="1">
        <v>4</v>
      </c>
      <c r="W71" s="1">
        <f t="shared" ref="W71:X71" si="626">SUM(E71,H71,K71,N71,Q71,T71)</f>
        <v>181</v>
      </c>
      <c r="X71" s="1">
        <f t="shared" si="626"/>
        <v>196</v>
      </c>
      <c r="Y71" s="1">
        <f t="shared" si="1"/>
        <v>377</v>
      </c>
      <c r="Z71" s="1">
        <f t="shared" ref="Z71:AA71" si="627">W71-T71</f>
        <v>178</v>
      </c>
      <c r="AA71" s="1">
        <f t="shared" si="627"/>
        <v>195</v>
      </c>
      <c r="AB71" s="1">
        <f t="shared" si="3"/>
        <v>373</v>
      </c>
      <c r="AC71" s="1">
        <f t="shared" ref="AC71:AD71" si="628">SUM(E71,H71,K71,N71)</f>
        <v>158</v>
      </c>
      <c r="AD71" s="1">
        <f t="shared" si="628"/>
        <v>183</v>
      </c>
      <c r="AE71" s="1">
        <f t="shared" si="5"/>
        <v>341</v>
      </c>
      <c r="AF71" s="2">
        <f t="shared" ref="AF71:AH71" si="629">AC71/Z71</f>
        <v>0.88764044943820219</v>
      </c>
      <c r="AG71" s="2">
        <f t="shared" si="629"/>
        <v>0.93846153846153846</v>
      </c>
      <c r="AH71" s="2">
        <f t="shared" si="629"/>
        <v>0.91420911528150139</v>
      </c>
      <c r="AI71" s="1">
        <f t="shared" ref="AI71:AJ71" si="630">SUM(E71,H71,K71)</f>
        <v>145</v>
      </c>
      <c r="AJ71" s="1">
        <f t="shared" si="630"/>
        <v>167</v>
      </c>
      <c r="AK71" s="1">
        <f t="shared" si="8"/>
        <v>312</v>
      </c>
      <c r="AL71" s="2">
        <f t="shared" ref="AL71:AN71" si="631">AI71/Z71</f>
        <v>0.8146067415730337</v>
      </c>
      <c r="AM71" s="2">
        <f t="shared" si="631"/>
        <v>0.85641025641025637</v>
      </c>
      <c r="AN71" s="2">
        <f t="shared" si="631"/>
        <v>0.83646112600536193</v>
      </c>
      <c r="AO71" s="2">
        <f t="shared" ref="AO71:AQ71" si="632">E71/Z71</f>
        <v>2.247191011235955E-2</v>
      </c>
      <c r="AP71" s="2">
        <f t="shared" si="632"/>
        <v>2.564102564102564E-2</v>
      </c>
      <c r="AQ71" s="2">
        <f t="shared" si="632"/>
        <v>2.4128686327077747E-2</v>
      </c>
      <c r="AR71" s="2">
        <f t="shared" si="11"/>
        <v>6.741573033707865E-2</v>
      </c>
      <c r="AS71" s="2">
        <f t="shared" ref="AS71:AT71" si="633">R71/AA71</f>
        <v>6.1538461538461542E-2</v>
      </c>
      <c r="AT71" s="2">
        <f t="shared" si="633"/>
        <v>8.5790884718498661E-2</v>
      </c>
      <c r="AU71" s="2">
        <f t="shared" ref="AU71:AW71" si="634">T71/W71</f>
        <v>1.6574585635359115E-2</v>
      </c>
      <c r="AV71" s="2">
        <f t="shared" si="589"/>
        <v>5.1020408163265302E-3</v>
      </c>
      <c r="AW71" s="2">
        <f t="shared" si="589"/>
        <v>1.0610079575596816E-2</v>
      </c>
    </row>
    <row r="72" spans="1:49" ht="13" x14ac:dyDescent="0.15">
      <c r="A72" s="1">
        <v>2024</v>
      </c>
      <c r="B72" s="1" t="s">
        <v>117</v>
      </c>
      <c r="C72" s="1" t="s">
        <v>101</v>
      </c>
      <c r="D72" s="1" t="s">
        <v>136</v>
      </c>
      <c r="E72" s="1">
        <v>786</v>
      </c>
      <c r="F72" s="1">
        <v>694</v>
      </c>
      <c r="G72" s="1">
        <v>1480</v>
      </c>
      <c r="H72" s="1">
        <v>4475</v>
      </c>
      <c r="I72" s="1">
        <v>4975</v>
      </c>
      <c r="J72" s="1">
        <v>9450</v>
      </c>
      <c r="K72" s="1">
        <v>1362</v>
      </c>
      <c r="L72" s="1">
        <v>1584</v>
      </c>
      <c r="M72" s="1">
        <v>2946</v>
      </c>
      <c r="N72" s="1">
        <v>507</v>
      </c>
      <c r="O72" s="1">
        <v>540</v>
      </c>
      <c r="P72" s="1">
        <v>1047</v>
      </c>
      <c r="Q72" s="1">
        <v>221</v>
      </c>
      <c r="R72" s="1">
        <v>258</v>
      </c>
      <c r="S72" s="1">
        <v>479</v>
      </c>
      <c r="T72" s="1">
        <v>101</v>
      </c>
      <c r="U72" s="1">
        <v>84</v>
      </c>
      <c r="V72" s="1">
        <v>185</v>
      </c>
      <c r="W72" s="1">
        <f t="shared" ref="W72:X72" si="635">SUM(E72,H72,K72,N72,Q72,T72)</f>
        <v>7452</v>
      </c>
      <c r="X72" s="1">
        <f t="shared" si="635"/>
        <v>8135</v>
      </c>
      <c r="Y72" s="1">
        <f t="shared" si="1"/>
        <v>15587</v>
      </c>
      <c r="Z72" s="1">
        <f t="shared" ref="Z72:AA72" si="636">W72-T72</f>
        <v>7351</v>
      </c>
      <c r="AA72" s="1">
        <f t="shared" si="636"/>
        <v>8051</v>
      </c>
      <c r="AB72" s="1">
        <f t="shared" si="3"/>
        <v>15402</v>
      </c>
      <c r="AC72" s="1">
        <f t="shared" ref="AC72:AD72" si="637">SUM(E72,H72,K72,N72)</f>
        <v>7130</v>
      </c>
      <c r="AD72" s="1">
        <f t="shared" si="637"/>
        <v>7793</v>
      </c>
      <c r="AE72" s="1">
        <f t="shared" si="5"/>
        <v>14923</v>
      </c>
      <c r="AF72" s="2">
        <f t="shared" ref="AF72:AH72" si="638">AC72/Z72</f>
        <v>0.96993606312066383</v>
      </c>
      <c r="AG72" s="2">
        <f t="shared" si="638"/>
        <v>0.96795429139237366</v>
      </c>
      <c r="AH72" s="2">
        <f t="shared" si="638"/>
        <v>0.96890014283859238</v>
      </c>
      <c r="AI72" s="1">
        <f t="shared" ref="AI72:AJ72" si="639">SUM(E72,H72,K72)</f>
        <v>6623</v>
      </c>
      <c r="AJ72" s="1">
        <f t="shared" si="639"/>
        <v>7253</v>
      </c>
      <c r="AK72" s="1">
        <f t="shared" si="8"/>
        <v>13876</v>
      </c>
      <c r="AL72" s="2">
        <f t="shared" ref="AL72:AN72" si="640">AI72/Z72</f>
        <v>0.90096585498571624</v>
      </c>
      <c r="AM72" s="2">
        <f t="shared" si="640"/>
        <v>0.90088187802757425</v>
      </c>
      <c r="AN72" s="2">
        <f t="shared" si="640"/>
        <v>0.90092195818724841</v>
      </c>
      <c r="AO72" s="2">
        <f t="shared" ref="AO72:AQ72" si="641">E72/Z72</f>
        <v>0.10692422799619099</v>
      </c>
      <c r="AP72" s="2">
        <f t="shared" si="641"/>
        <v>8.6200471991057015E-2</v>
      </c>
      <c r="AQ72" s="2">
        <f t="shared" si="641"/>
        <v>9.6091416699129989E-2</v>
      </c>
      <c r="AR72" s="2">
        <f t="shared" si="11"/>
        <v>3.5097265678139027E-2</v>
      </c>
      <c r="AS72" s="2">
        <f t="shared" ref="AS72:AT72" si="642">R72/AA72</f>
        <v>3.2045708607626379E-2</v>
      </c>
      <c r="AT72" s="2">
        <f t="shared" si="642"/>
        <v>3.1099857161407611E-2</v>
      </c>
      <c r="AU72" s="2">
        <f t="shared" ref="AU72:AW72" si="643">T72/W72</f>
        <v>1.3553408480944712E-2</v>
      </c>
      <c r="AV72" s="2">
        <f t="shared" si="589"/>
        <v>1.0325752919483712E-2</v>
      </c>
      <c r="AW72" s="2">
        <f t="shared" si="589"/>
        <v>1.1868865079874254E-2</v>
      </c>
    </row>
    <row r="73" spans="1:49" ht="13" x14ac:dyDescent="0.15">
      <c r="A73" s="1">
        <v>2024</v>
      </c>
      <c r="B73" s="1" t="s">
        <v>49</v>
      </c>
      <c r="C73" s="1" t="s">
        <v>93</v>
      </c>
      <c r="D73" s="1" t="s">
        <v>137</v>
      </c>
      <c r="E73" s="1">
        <v>225</v>
      </c>
      <c r="F73" s="1">
        <v>240</v>
      </c>
      <c r="G73" s="1">
        <v>465</v>
      </c>
      <c r="H73" s="1">
        <v>1389</v>
      </c>
      <c r="I73" s="1">
        <v>1826</v>
      </c>
      <c r="J73" s="1">
        <v>3215</v>
      </c>
      <c r="K73" s="1">
        <v>497</v>
      </c>
      <c r="L73" s="1">
        <v>661</v>
      </c>
      <c r="M73" s="1">
        <v>1158</v>
      </c>
      <c r="N73" s="1">
        <v>277</v>
      </c>
      <c r="O73" s="1">
        <v>277</v>
      </c>
      <c r="P73" s="1">
        <v>554</v>
      </c>
      <c r="Q73" s="1">
        <v>126</v>
      </c>
      <c r="R73" s="1">
        <v>159</v>
      </c>
      <c r="S73" s="1">
        <v>285</v>
      </c>
      <c r="T73" s="1">
        <v>21</v>
      </c>
      <c r="U73" s="1">
        <v>38</v>
      </c>
      <c r="V73" s="1">
        <v>59</v>
      </c>
      <c r="W73" s="1">
        <f t="shared" ref="W73:X73" si="644">SUM(E73,H73,K73,N73,Q73,T73)</f>
        <v>2535</v>
      </c>
      <c r="X73" s="1">
        <f t="shared" si="644"/>
        <v>3201</v>
      </c>
      <c r="Y73" s="1">
        <f t="shared" si="1"/>
        <v>5736</v>
      </c>
      <c r="Z73" s="1">
        <f t="shared" ref="Z73:AA73" si="645">W73-T73</f>
        <v>2514</v>
      </c>
      <c r="AA73" s="1">
        <f t="shared" si="645"/>
        <v>3163</v>
      </c>
      <c r="AB73" s="1">
        <f t="shared" si="3"/>
        <v>5677</v>
      </c>
      <c r="AC73" s="1">
        <f t="shared" ref="AC73:AD73" si="646">SUM(E73,H73,K73,N73)</f>
        <v>2388</v>
      </c>
      <c r="AD73" s="1">
        <f t="shared" si="646"/>
        <v>3004</v>
      </c>
      <c r="AE73" s="1">
        <f t="shared" si="5"/>
        <v>5392</v>
      </c>
      <c r="AF73" s="2">
        <f t="shared" ref="AF73:AH73" si="647">AC73/Z73</f>
        <v>0.94988066825775652</v>
      </c>
      <c r="AG73" s="2">
        <f t="shared" si="647"/>
        <v>0.94973126778374961</v>
      </c>
      <c r="AH73" s="2">
        <f t="shared" si="647"/>
        <v>0.94979742821912982</v>
      </c>
      <c r="AI73" s="1">
        <f t="shared" ref="AI73:AJ73" si="648">SUM(E73,H73,K73)</f>
        <v>2111</v>
      </c>
      <c r="AJ73" s="1">
        <f t="shared" si="648"/>
        <v>2727</v>
      </c>
      <c r="AK73" s="1">
        <f t="shared" si="8"/>
        <v>4838</v>
      </c>
      <c r="AL73" s="2">
        <f t="shared" ref="AL73:AN73" si="649">AI73/Z73</f>
        <v>0.83969769291964991</v>
      </c>
      <c r="AM73" s="2">
        <f t="shared" si="649"/>
        <v>0.86215618084097378</v>
      </c>
      <c r="AN73" s="2">
        <f t="shared" si="649"/>
        <v>0.85221067465210498</v>
      </c>
      <c r="AO73" s="2">
        <f t="shared" ref="AO73:AQ73" si="650">E73/Z73</f>
        <v>8.9498806682577564E-2</v>
      </c>
      <c r="AP73" s="2">
        <f t="shared" si="650"/>
        <v>7.5877331647170407E-2</v>
      </c>
      <c r="AQ73" s="2">
        <f t="shared" si="650"/>
        <v>8.1909459221419761E-2</v>
      </c>
      <c r="AR73" s="2">
        <f t="shared" si="11"/>
        <v>6.3245823389021474E-2</v>
      </c>
      <c r="AS73" s="2">
        <f t="shared" ref="AS73:AT73" si="651">R73/AA73</f>
        <v>5.0268732216250396E-2</v>
      </c>
      <c r="AT73" s="2">
        <f t="shared" si="651"/>
        <v>5.0202571780870175E-2</v>
      </c>
      <c r="AU73" s="2">
        <f t="shared" ref="AU73:AW73" si="652">T73/W73</f>
        <v>8.2840236686390536E-3</v>
      </c>
      <c r="AV73" s="2">
        <f t="shared" si="589"/>
        <v>1.1871290221805686E-2</v>
      </c>
      <c r="AW73" s="2">
        <f t="shared" si="589"/>
        <v>1.0285913528591354E-2</v>
      </c>
    </row>
    <row r="74" spans="1:49" ht="13" x14ac:dyDescent="0.15">
      <c r="A74" s="1">
        <v>2024</v>
      </c>
      <c r="B74" s="1" t="s">
        <v>49</v>
      </c>
      <c r="C74" s="1" t="s">
        <v>59</v>
      </c>
      <c r="D74" s="1" t="s">
        <v>138</v>
      </c>
      <c r="E74" s="1">
        <v>85</v>
      </c>
      <c r="F74" s="1">
        <v>42</v>
      </c>
      <c r="G74" s="1">
        <v>127</v>
      </c>
      <c r="H74" s="1">
        <v>759</v>
      </c>
      <c r="I74" s="1">
        <v>676</v>
      </c>
      <c r="J74" s="1">
        <v>1435</v>
      </c>
      <c r="K74" s="1">
        <v>302</v>
      </c>
      <c r="L74" s="1">
        <v>354</v>
      </c>
      <c r="M74" s="1">
        <v>656</v>
      </c>
      <c r="N74" s="1">
        <v>121</v>
      </c>
      <c r="O74" s="1">
        <v>122</v>
      </c>
      <c r="P74" s="1">
        <v>243</v>
      </c>
      <c r="Q74" s="1">
        <v>110</v>
      </c>
      <c r="R74" s="1">
        <v>131</v>
      </c>
      <c r="S74" s="1">
        <v>241</v>
      </c>
      <c r="T74" s="1">
        <v>10</v>
      </c>
      <c r="U74" s="1">
        <v>14</v>
      </c>
      <c r="V74" s="1">
        <v>24</v>
      </c>
      <c r="W74" s="1">
        <f t="shared" ref="W74:X74" si="653">SUM(E74,H74,K74,N74,Q74,T74)</f>
        <v>1387</v>
      </c>
      <c r="X74" s="1">
        <f t="shared" si="653"/>
        <v>1339</v>
      </c>
      <c r="Y74" s="1">
        <f t="shared" si="1"/>
        <v>2726</v>
      </c>
      <c r="Z74" s="1">
        <f t="shared" ref="Z74:AA74" si="654">W74-T74</f>
        <v>1377</v>
      </c>
      <c r="AA74" s="1">
        <f t="shared" si="654"/>
        <v>1325</v>
      </c>
      <c r="AB74" s="1">
        <f t="shared" si="3"/>
        <v>2702</v>
      </c>
      <c r="AC74" s="1">
        <f t="shared" ref="AC74:AD74" si="655">SUM(E74,H74,K74,N74)</f>
        <v>1267</v>
      </c>
      <c r="AD74" s="1">
        <f t="shared" si="655"/>
        <v>1194</v>
      </c>
      <c r="AE74" s="1">
        <f t="shared" si="5"/>
        <v>2461</v>
      </c>
      <c r="AF74" s="2">
        <f t="shared" ref="AF74:AH74" si="656">AC74/Z74</f>
        <v>0.92011619462599858</v>
      </c>
      <c r="AG74" s="2">
        <f t="shared" si="656"/>
        <v>0.90113207547169816</v>
      </c>
      <c r="AH74" s="2">
        <f t="shared" si="656"/>
        <v>0.91080680977054029</v>
      </c>
      <c r="AI74" s="1">
        <f t="shared" ref="AI74:AJ74" si="657">SUM(E74,H74,K74)</f>
        <v>1146</v>
      </c>
      <c r="AJ74" s="1">
        <f t="shared" si="657"/>
        <v>1072</v>
      </c>
      <c r="AK74" s="1">
        <f t="shared" si="8"/>
        <v>2218</v>
      </c>
      <c r="AL74" s="2">
        <f t="shared" ref="AL74:AN74" si="658">AI74/Z74</f>
        <v>0.83224400871459692</v>
      </c>
      <c r="AM74" s="2">
        <f t="shared" si="658"/>
        <v>0.8090566037735849</v>
      </c>
      <c r="AN74" s="2">
        <f t="shared" si="658"/>
        <v>0.82087342709104372</v>
      </c>
      <c r="AO74" s="2">
        <f t="shared" ref="AO74:AQ74" si="659">E74/Z74</f>
        <v>6.1728395061728392E-2</v>
      </c>
      <c r="AP74" s="2">
        <f t="shared" si="659"/>
        <v>3.1698113207547167E-2</v>
      </c>
      <c r="AQ74" s="2">
        <f t="shared" si="659"/>
        <v>4.7002220577350109E-2</v>
      </c>
      <c r="AR74" s="2">
        <f t="shared" si="11"/>
        <v>9.5134350036310822E-2</v>
      </c>
      <c r="AS74" s="2">
        <f t="shared" ref="AS74:AT74" si="660">R74/AA74</f>
        <v>9.8867924528301884E-2</v>
      </c>
      <c r="AT74" s="2">
        <f t="shared" si="660"/>
        <v>8.9193190229459665E-2</v>
      </c>
      <c r="AU74" s="2">
        <f t="shared" ref="AU74:AW74" si="661">T74/W74</f>
        <v>7.2098053352559477E-3</v>
      </c>
      <c r="AV74" s="2">
        <f t="shared" si="589"/>
        <v>1.0455563853622106E-2</v>
      </c>
      <c r="AW74" s="2">
        <f t="shared" si="589"/>
        <v>8.8041085840058694E-3</v>
      </c>
    </row>
    <row r="75" spans="1:49" ht="13" x14ac:dyDescent="0.15">
      <c r="A75" s="1">
        <v>2024</v>
      </c>
      <c r="B75" s="1" t="s">
        <v>49</v>
      </c>
      <c r="C75" s="1" t="s">
        <v>93</v>
      </c>
      <c r="D75" s="1" t="s">
        <v>139</v>
      </c>
      <c r="E75" s="1">
        <v>273</v>
      </c>
      <c r="F75" s="1">
        <v>285</v>
      </c>
      <c r="G75" s="1">
        <v>558</v>
      </c>
      <c r="H75" s="1">
        <v>2032</v>
      </c>
      <c r="I75" s="1">
        <v>2573</v>
      </c>
      <c r="J75" s="1">
        <v>4605</v>
      </c>
      <c r="K75" s="1">
        <v>764</v>
      </c>
      <c r="L75" s="1">
        <v>1002</v>
      </c>
      <c r="M75" s="1">
        <v>1766</v>
      </c>
      <c r="N75" s="1">
        <v>431</v>
      </c>
      <c r="O75" s="1">
        <v>494</v>
      </c>
      <c r="P75" s="1">
        <v>925</v>
      </c>
      <c r="Q75" s="1">
        <v>260</v>
      </c>
      <c r="R75" s="1">
        <v>421</v>
      </c>
      <c r="S75" s="1">
        <v>681</v>
      </c>
      <c r="T75" s="1">
        <v>61</v>
      </c>
      <c r="U75" s="1">
        <v>91</v>
      </c>
      <c r="V75" s="1">
        <v>152</v>
      </c>
      <c r="W75" s="1">
        <f t="shared" ref="W75:X75" si="662">SUM(E75,H75,K75,N75,Q75,T75)</f>
        <v>3821</v>
      </c>
      <c r="X75" s="1">
        <f t="shared" si="662"/>
        <v>4866</v>
      </c>
      <c r="Y75" s="1">
        <f t="shared" si="1"/>
        <v>8687</v>
      </c>
      <c r="Z75" s="1">
        <f t="shared" ref="Z75:AA75" si="663">W75-T75</f>
        <v>3760</v>
      </c>
      <c r="AA75" s="1">
        <f t="shared" si="663"/>
        <v>4775</v>
      </c>
      <c r="AB75" s="1">
        <f t="shared" si="3"/>
        <v>8535</v>
      </c>
      <c r="AC75" s="1">
        <f t="shared" ref="AC75:AD75" si="664">SUM(E75,H75,K75,N75)</f>
        <v>3500</v>
      </c>
      <c r="AD75" s="1">
        <f t="shared" si="664"/>
        <v>4354</v>
      </c>
      <c r="AE75" s="1">
        <f t="shared" si="5"/>
        <v>7854</v>
      </c>
      <c r="AF75" s="2">
        <f t="shared" ref="AF75:AH75" si="665">AC75/Z75</f>
        <v>0.93085106382978722</v>
      </c>
      <c r="AG75" s="2">
        <f t="shared" si="665"/>
        <v>0.9118324607329843</v>
      </c>
      <c r="AH75" s="2">
        <f t="shared" si="665"/>
        <v>0.92021089630931463</v>
      </c>
      <c r="AI75" s="1">
        <f t="shared" ref="AI75:AJ75" si="666">SUM(E75,H75,K75)</f>
        <v>3069</v>
      </c>
      <c r="AJ75" s="1">
        <f t="shared" si="666"/>
        <v>3860</v>
      </c>
      <c r="AK75" s="1">
        <f t="shared" si="8"/>
        <v>6929</v>
      </c>
      <c r="AL75" s="2">
        <f t="shared" ref="AL75:AN75" si="667">AI75/Z75</f>
        <v>0.81622340425531914</v>
      </c>
      <c r="AM75" s="2">
        <f t="shared" si="667"/>
        <v>0.80837696335078535</v>
      </c>
      <c r="AN75" s="2">
        <f t="shared" si="667"/>
        <v>0.8118336262448741</v>
      </c>
      <c r="AO75" s="2">
        <f t="shared" ref="AO75:AQ75" si="668">E75/Z75</f>
        <v>7.2606382978723405E-2</v>
      </c>
      <c r="AP75" s="2">
        <f t="shared" si="668"/>
        <v>5.9685863874345553E-2</v>
      </c>
      <c r="AQ75" s="2">
        <f t="shared" si="668"/>
        <v>6.5377855887521971E-2</v>
      </c>
      <c r="AR75" s="2">
        <f t="shared" si="11"/>
        <v>0.11196808510638298</v>
      </c>
      <c r="AS75" s="2">
        <f t="shared" ref="AS75:AT75" si="669">R75/AA75</f>
        <v>8.8167539267015704E-2</v>
      </c>
      <c r="AT75" s="2">
        <f t="shared" si="669"/>
        <v>7.9789103690685412E-2</v>
      </c>
      <c r="AU75" s="2">
        <f t="shared" ref="AU75:AW75" si="670">T75/W75</f>
        <v>1.5964407223239989E-2</v>
      </c>
      <c r="AV75" s="2">
        <f t="shared" si="589"/>
        <v>1.8701191944101931E-2</v>
      </c>
      <c r="AW75" s="2">
        <f t="shared" si="589"/>
        <v>1.7497409922873259E-2</v>
      </c>
    </row>
    <row r="76" spans="1:49" ht="13" x14ac:dyDescent="0.15">
      <c r="A76" s="1">
        <v>2024</v>
      </c>
      <c r="B76" s="1" t="s">
        <v>49</v>
      </c>
      <c r="C76" s="1" t="s">
        <v>54</v>
      </c>
      <c r="D76" s="1" t="s">
        <v>140</v>
      </c>
      <c r="E76" s="1">
        <v>306</v>
      </c>
      <c r="F76" s="1">
        <v>333</v>
      </c>
      <c r="G76" s="1">
        <v>639</v>
      </c>
      <c r="H76" s="1">
        <v>1082</v>
      </c>
      <c r="I76" s="1">
        <v>1342</v>
      </c>
      <c r="J76" s="1">
        <v>2424</v>
      </c>
      <c r="K76" s="1">
        <v>82</v>
      </c>
      <c r="L76" s="1">
        <v>135</v>
      </c>
      <c r="M76" s="1">
        <v>217</v>
      </c>
      <c r="N76" s="1">
        <v>25</v>
      </c>
      <c r="O76" s="1">
        <v>36</v>
      </c>
      <c r="P76" s="1">
        <v>61</v>
      </c>
      <c r="Q76" s="1">
        <v>6</v>
      </c>
      <c r="R76" s="1">
        <v>10</v>
      </c>
      <c r="S76" s="1">
        <v>16</v>
      </c>
      <c r="T76" s="1">
        <v>19</v>
      </c>
      <c r="U76" s="1">
        <v>29</v>
      </c>
      <c r="V76" s="1">
        <v>48</v>
      </c>
      <c r="W76" s="1">
        <f t="shared" ref="W76:X76" si="671">SUM(E76,H76,K76,N76,Q76,T76)</f>
        <v>1520</v>
      </c>
      <c r="X76" s="1">
        <f t="shared" si="671"/>
        <v>1885</v>
      </c>
      <c r="Y76" s="1">
        <f t="shared" si="1"/>
        <v>3405</v>
      </c>
      <c r="Z76" s="1">
        <f t="shared" ref="Z76:AA76" si="672">W76-T76</f>
        <v>1501</v>
      </c>
      <c r="AA76" s="1">
        <f t="shared" si="672"/>
        <v>1856</v>
      </c>
      <c r="AB76" s="1">
        <f t="shared" si="3"/>
        <v>3357</v>
      </c>
      <c r="AC76" s="1">
        <f t="shared" ref="AC76:AD76" si="673">SUM(E76,H76,K76,N76)</f>
        <v>1495</v>
      </c>
      <c r="AD76" s="1">
        <f t="shared" si="673"/>
        <v>1846</v>
      </c>
      <c r="AE76" s="1">
        <f t="shared" si="5"/>
        <v>3341</v>
      </c>
      <c r="AF76" s="2">
        <f t="shared" ref="AF76:AH76" si="674">AC76/Z76</f>
        <v>0.99600266489007327</v>
      </c>
      <c r="AG76" s="2">
        <f t="shared" si="674"/>
        <v>0.99461206896551724</v>
      </c>
      <c r="AH76" s="2">
        <f t="shared" si="674"/>
        <v>0.99523383973786117</v>
      </c>
      <c r="AI76" s="1">
        <f t="shared" ref="AI76:AJ76" si="675">SUM(E76,H76,K76)</f>
        <v>1470</v>
      </c>
      <c r="AJ76" s="1">
        <f t="shared" si="675"/>
        <v>1810</v>
      </c>
      <c r="AK76" s="1">
        <f t="shared" si="8"/>
        <v>3280</v>
      </c>
      <c r="AL76" s="2">
        <f t="shared" ref="AL76:AN76" si="676">AI76/Z76</f>
        <v>0.97934710193204533</v>
      </c>
      <c r="AM76" s="2">
        <f t="shared" si="676"/>
        <v>0.97521551724137934</v>
      </c>
      <c r="AN76" s="2">
        <f t="shared" si="676"/>
        <v>0.97706285373845692</v>
      </c>
      <c r="AO76" s="2">
        <f t="shared" ref="AO76:AQ76" si="677">E76/Z76</f>
        <v>0.20386409060626248</v>
      </c>
      <c r="AP76" s="2">
        <f t="shared" si="677"/>
        <v>0.17941810344827586</v>
      </c>
      <c r="AQ76" s="2">
        <f t="shared" si="677"/>
        <v>0.19034852546916889</v>
      </c>
      <c r="AR76" s="2">
        <f t="shared" si="11"/>
        <v>6.6622251832111927E-3</v>
      </c>
      <c r="AS76" s="2">
        <f t="shared" ref="AS76:AT76" si="678">R76/AA76</f>
        <v>5.387931034482759E-3</v>
      </c>
      <c r="AT76" s="2">
        <f t="shared" si="678"/>
        <v>4.7661602621388143E-3</v>
      </c>
      <c r="AU76" s="2">
        <f t="shared" ref="AU76:AW76" si="679">T76/W76</f>
        <v>1.2500000000000001E-2</v>
      </c>
      <c r="AV76" s="2">
        <f t="shared" si="589"/>
        <v>1.5384615384615385E-2</v>
      </c>
      <c r="AW76" s="2">
        <f t="shared" si="589"/>
        <v>1.4096916299559472E-2</v>
      </c>
    </row>
    <row r="77" spans="1:49" ht="13" x14ac:dyDescent="0.15">
      <c r="A77" s="1">
        <v>2024</v>
      </c>
      <c r="B77" s="1" t="s">
        <v>49</v>
      </c>
      <c r="C77" s="1" t="s">
        <v>52</v>
      </c>
      <c r="D77" s="1" t="s">
        <v>141</v>
      </c>
      <c r="E77" s="1">
        <v>102</v>
      </c>
      <c r="F77" s="1">
        <v>81</v>
      </c>
      <c r="G77" s="1">
        <v>183</v>
      </c>
      <c r="H77" s="1">
        <v>611</v>
      </c>
      <c r="I77" s="1">
        <v>682</v>
      </c>
      <c r="J77" s="1">
        <v>1293</v>
      </c>
      <c r="K77" s="1">
        <v>290</v>
      </c>
      <c r="L77" s="1">
        <v>421</v>
      </c>
      <c r="M77" s="1">
        <v>711</v>
      </c>
      <c r="N77" s="1">
        <v>105</v>
      </c>
      <c r="O77" s="1">
        <v>152</v>
      </c>
      <c r="P77" s="1">
        <v>257</v>
      </c>
      <c r="Q77" s="1">
        <v>64</v>
      </c>
      <c r="R77" s="1">
        <v>95</v>
      </c>
      <c r="S77" s="1">
        <v>159</v>
      </c>
      <c r="T77" s="1">
        <v>5</v>
      </c>
      <c r="U77" s="1">
        <v>19</v>
      </c>
      <c r="V77" s="1">
        <v>24</v>
      </c>
      <c r="W77" s="1">
        <f t="shared" ref="W77:X77" si="680">SUM(E77,H77,K77,N77,Q77,T77)</f>
        <v>1177</v>
      </c>
      <c r="X77" s="1">
        <f t="shared" si="680"/>
        <v>1450</v>
      </c>
      <c r="Y77" s="1">
        <f t="shared" si="1"/>
        <v>2627</v>
      </c>
      <c r="Z77" s="1">
        <f t="shared" ref="Z77:AA77" si="681">W77-T77</f>
        <v>1172</v>
      </c>
      <c r="AA77" s="1">
        <f t="shared" si="681"/>
        <v>1431</v>
      </c>
      <c r="AB77" s="1">
        <f t="shared" si="3"/>
        <v>2603</v>
      </c>
      <c r="AC77" s="1">
        <f t="shared" ref="AC77:AD77" si="682">SUM(E77,H77,K77,N77)</f>
        <v>1108</v>
      </c>
      <c r="AD77" s="1">
        <f t="shared" si="682"/>
        <v>1336</v>
      </c>
      <c r="AE77" s="1">
        <f t="shared" si="5"/>
        <v>2444</v>
      </c>
      <c r="AF77" s="2">
        <f t="shared" ref="AF77:AH77" si="683">AC77/Z77</f>
        <v>0.94539249146757676</v>
      </c>
      <c r="AG77" s="2">
        <f t="shared" si="683"/>
        <v>0.93361285814116002</v>
      </c>
      <c r="AH77" s="2">
        <f t="shared" si="683"/>
        <v>0.93891663465232422</v>
      </c>
      <c r="AI77" s="1">
        <f t="shared" ref="AI77:AJ77" si="684">SUM(E77,H77,K77)</f>
        <v>1003</v>
      </c>
      <c r="AJ77" s="1">
        <f t="shared" si="684"/>
        <v>1184</v>
      </c>
      <c r="AK77" s="1">
        <f t="shared" si="8"/>
        <v>2187</v>
      </c>
      <c r="AL77" s="2">
        <f t="shared" ref="AL77:AN77" si="685">AI77/Z77</f>
        <v>0.85580204778156999</v>
      </c>
      <c r="AM77" s="2">
        <f t="shared" si="685"/>
        <v>0.82739343116701602</v>
      </c>
      <c r="AN77" s="2">
        <f t="shared" si="685"/>
        <v>0.84018440261237037</v>
      </c>
      <c r="AO77" s="2">
        <f t="shared" ref="AO77:AQ77" si="686">E77/Z77</f>
        <v>8.7030716723549492E-2</v>
      </c>
      <c r="AP77" s="2">
        <f t="shared" si="686"/>
        <v>5.6603773584905662E-2</v>
      </c>
      <c r="AQ77" s="2">
        <f t="shared" si="686"/>
        <v>7.0303495966192855E-2</v>
      </c>
      <c r="AR77" s="2">
        <f t="shared" si="11"/>
        <v>8.1058020477815698E-2</v>
      </c>
      <c r="AS77" s="2">
        <f t="shared" ref="AS77:AT77" si="687">R77/AA77</f>
        <v>6.6387141858839968E-2</v>
      </c>
      <c r="AT77" s="2">
        <f t="shared" si="687"/>
        <v>6.1083365347675757E-2</v>
      </c>
      <c r="AU77" s="2">
        <f t="shared" ref="AU77:AW77" si="688">T77/W77</f>
        <v>4.248088360237893E-3</v>
      </c>
      <c r="AV77" s="2">
        <f t="shared" si="589"/>
        <v>1.3103448275862069E-2</v>
      </c>
      <c r="AW77" s="2">
        <f t="shared" si="589"/>
        <v>9.1358964598401218E-3</v>
      </c>
    </row>
    <row r="78" spans="1:49" ht="13" x14ac:dyDescent="0.15">
      <c r="A78" s="1">
        <v>2024</v>
      </c>
      <c r="B78" s="1" t="s">
        <v>49</v>
      </c>
      <c r="C78" s="1" t="s">
        <v>93</v>
      </c>
      <c r="D78" s="1" t="s">
        <v>142</v>
      </c>
      <c r="E78" s="1">
        <v>109</v>
      </c>
      <c r="F78" s="1">
        <v>86</v>
      </c>
      <c r="G78" s="1">
        <v>195</v>
      </c>
      <c r="H78" s="1">
        <v>679</v>
      </c>
      <c r="I78" s="1">
        <v>857</v>
      </c>
      <c r="J78" s="1">
        <v>1536</v>
      </c>
      <c r="K78" s="1">
        <v>317</v>
      </c>
      <c r="L78" s="1">
        <v>498</v>
      </c>
      <c r="M78" s="1">
        <v>815</v>
      </c>
      <c r="N78" s="1">
        <v>139</v>
      </c>
      <c r="O78" s="1">
        <v>185</v>
      </c>
      <c r="P78" s="1">
        <v>324</v>
      </c>
      <c r="Q78" s="1">
        <v>131</v>
      </c>
      <c r="R78" s="1">
        <v>167</v>
      </c>
      <c r="S78" s="1">
        <v>298</v>
      </c>
      <c r="T78" s="1">
        <v>36</v>
      </c>
      <c r="U78" s="1">
        <v>39</v>
      </c>
      <c r="V78" s="1">
        <v>75</v>
      </c>
      <c r="W78" s="1">
        <f t="shared" ref="W78:X78" si="689">SUM(E78,H78,K78,N78,Q78,T78)</f>
        <v>1411</v>
      </c>
      <c r="X78" s="1">
        <f t="shared" si="689"/>
        <v>1832</v>
      </c>
      <c r="Y78" s="1">
        <f t="shared" si="1"/>
        <v>3243</v>
      </c>
      <c r="Z78" s="1">
        <f t="shared" ref="Z78:AA78" si="690">W78-T78</f>
        <v>1375</v>
      </c>
      <c r="AA78" s="1">
        <f t="shared" si="690"/>
        <v>1793</v>
      </c>
      <c r="AB78" s="1">
        <f t="shared" si="3"/>
        <v>3168</v>
      </c>
      <c r="AC78" s="1">
        <f t="shared" ref="AC78:AD78" si="691">SUM(E78,H78,K78,N78)</f>
        <v>1244</v>
      </c>
      <c r="AD78" s="1">
        <f t="shared" si="691"/>
        <v>1626</v>
      </c>
      <c r="AE78" s="1">
        <f t="shared" si="5"/>
        <v>2870</v>
      </c>
      <c r="AF78" s="2">
        <f t="shared" ref="AF78:AH78" si="692">AC78/Z78</f>
        <v>0.90472727272727271</v>
      </c>
      <c r="AG78" s="2">
        <f t="shared" si="692"/>
        <v>0.90686001115448966</v>
      </c>
      <c r="AH78" s="2">
        <f t="shared" si="692"/>
        <v>0.90593434343434343</v>
      </c>
      <c r="AI78" s="1">
        <f t="shared" ref="AI78:AJ78" si="693">SUM(E78,H78,K78)</f>
        <v>1105</v>
      </c>
      <c r="AJ78" s="1">
        <f t="shared" si="693"/>
        <v>1441</v>
      </c>
      <c r="AK78" s="1">
        <f t="shared" si="8"/>
        <v>2546</v>
      </c>
      <c r="AL78" s="2">
        <f t="shared" ref="AL78:AN78" si="694">AI78/Z78</f>
        <v>0.80363636363636359</v>
      </c>
      <c r="AM78" s="2">
        <f t="shared" si="694"/>
        <v>0.80368098159509205</v>
      </c>
      <c r="AN78" s="2">
        <f t="shared" si="694"/>
        <v>0.80366161616161613</v>
      </c>
      <c r="AO78" s="2">
        <f t="shared" ref="AO78:AQ78" si="695">E78/Z78</f>
        <v>7.9272727272727272E-2</v>
      </c>
      <c r="AP78" s="2">
        <f t="shared" si="695"/>
        <v>4.796430563301729E-2</v>
      </c>
      <c r="AQ78" s="2">
        <f t="shared" si="695"/>
        <v>6.1553030303030304E-2</v>
      </c>
      <c r="AR78" s="2">
        <f t="shared" si="11"/>
        <v>0.12145454545454545</v>
      </c>
      <c r="AS78" s="2">
        <f t="shared" ref="AS78:AT78" si="696">R78/AA78</f>
        <v>9.3139988845510321E-2</v>
      </c>
      <c r="AT78" s="2">
        <f t="shared" si="696"/>
        <v>9.4065656565656561E-2</v>
      </c>
      <c r="AU78" s="2">
        <f t="shared" ref="AU78:AW78" si="697">T78/W78</f>
        <v>2.5513819985825654E-2</v>
      </c>
      <c r="AV78" s="2">
        <f t="shared" si="589"/>
        <v>2.1288209606986901E-2</v>
      </c>
      <c r="AW78" s="2">
        <f t="shared" si="589"/>
        <v>2.3126734505087881E-2</v>
      </c>
    </row>
    <row r="79" spans="1:49" ht="13" x14ac:dyDescent="0.15">
      <c r="A79" s="1">
        <v>2024</v>
      </c>
      <c r="B79" s="1" t="s">
        <v>49</v>
      </c>
      <c r="C79" s="1" t="s">
        <v>70</v>
      </c>
      <c r="D79" s="1" t="s">
        <v>143</v>
      </c>
      <c r="E79" s="1">
        <v>58</v>
      </c>
      <c r="F79" s="1">
        <v>33</v>
      </c>
      <c r="G79" s="1">
        <v>91</v>
      </c>
      <c r="H79" s="1">
        <v>797</v>
      </c>
      <c r="I79" s="1">
        <v>747</v>
      </c>
      <c r="J79" s="1">
        <v>1544</v>
      </c>
      <c r="K79" s="1">
        <v>587</v>
      </c>
      <c r="L79" s="1">
        <v>731</v>
      </c>
      <c r="M79" s="1">
        <v>1318</v>
      </c>
      <c r="N79" s="1">
        <v>454</v>
      </c>
      <c r="O79" s="1">
        <v>401</v>
      </c>
      <c r="P79" s="1">
        <v>855</v>
      </c>
      <c r="Q79" s="1">
        <v>314</v>
      </c>
      <c r="R79" s="1">
        <v>379</v>
      </c>
      <c r="S79" s="1">
        <v>693</v>
      </c>
      <c r="T79" s="1">
        <v>16</v>
      </c>
      <c r="U79" s="1">
        <v>20</v>
      </c>
      <c r="V79" s="1">
        <v>36</v>
      </c>
      <c r="W79" s="1">
        <f t="shared" ref="W79:X79" si="698">SUM(E79,H79,K79,N79,Q79,T79)</f>
        <v>2226</v>
      </c>
      <c r="X79" s="1">
        <f t="shared" si="698"/>
        <v>2311</v>
      </c>
      <c r="Y79" s="1">
        <f t="shared" si="1"/>
        <v>4537</v>
      </c>
      <c r="Z79" s="1">
        <f t="shared" ref="Z79:AA79" si="699">W79-T79</f>
        <v>2210</v>
      </c>
      <c r="AA79" s="1">
        <f t="shared" si="699"/>
        <v>2291</v>
      </c>
      <c r="AB79" s="1">
        <f t="shared" si="3"/>
        <v>4501</v>
      </c>
      <c r="AC79" s="1">
        <f t="shared" ref="AC79:AD79" si="700">SUM(E79,H79,K79,N79)</f>
        <v>1896</v>
      </c>
      <c r="AD79" s="1">
        <f t="shared" si="700"/>
        <v>1912</v>
      </c>
      <c r="AE79" s="1">
        <f t="shared" si="5"/>
        <v>3808</v>
      </c>
      <c r="AF79" s="2">
        <f t="shared" ref="AF79:AH79" si="701">AC79/Z79</f>
        <v>0.85791855203619904</v>
      </c>
      <c r="AG79" s="2">
        <f t="shared" si="701"/>
        <v>0.83457005674378004</v>
      </c>
      <c r="AH79" s="2">
        <f t="shared" si="701"/>
        <v>0.84603421461897355</v>
      </c>
      <c r="AI79" s="1">
        <f t="shared" ref="AI79:AJ79" si="702">SUM(E79,H79,K79)</f>
        <v>1442</v>
      </c>
      <c r="AJ79" s="1">
        <f t="shared" si="702"/>
        <v>1511</v>
      </c>
      <c r="AK79" s="1">
        <f t="shared" si="8"/>
        <v>2953</v>
      </c>
      <c r="AL79" s="2">
        <f t="shared" ref="AL79:AN79" si="703">AI79/Z79</f>
        <v>0.65248868778280544</v>
      </c>
      <c r="AM79" s="2">
        <f t="shared" si="703"/>
        <v>0.6595373199476211</v>
      </c>
      <c r="AN79" s="2">
        <f t="shared" si="703"/>
        <v>0.65607642746056427</v>
      </c>
      <c r="AO79" s="2">
        <f t="shared" ref="AO79:AQ79" si="704">E79/Z79</f>
        <v>2.6244343891402715E-2</v>
      </c>
      <c r="AP79" s="2">
        <f t="shared" si="704"/>
        <v>1.4404190309908338E-2</v>
      </c>
      <c r="AQ79" s="2">
        <f t="shared" si="704"/>
        <v>2.0217729393468119E-2</v>
      </c>
      <c r="AR79" s="2">
        <f t="shared" si="11"/>
        <v>0.17149321266968326</v>
      </c>
      <c r="AS79" s="2">
        <f t="shared" ref="AS79:AT79" si="705">R79/AA79</f>
        <v>0.16542994325621999</v>
      </c>
      <c r="AT79" s="2">
        <f t="shared" si="705"/>
        <v>0.15396578538102643</v>
      </c>
      <c r="AU79" s="2">
        <f t="shared" ref="AU79:AW79" si="706">T79/W79</f>
        <v>7.1877807726864335E-3</v>
      </c>
      <c r="AV79" s="2">
        <f t="shared" si="589"/>
        <v>8.6542622241453909E-3</v>
      </c>
      <c r="AW79" s="2">
        <f t="shared" si="589"/>
        <v>7.9347586510910301E-3</v>
      </c>
    </row>
    <row r="80" spans="1:49" ht="13" x14ac:dyDescent="0.15">
      <c r="A80" s="1">
        <v>2024</v>
      </c>
      <c r="B80" s="1" t="s">
        <v>117</v>
      </c>
      <c r="C80" s="1" t="s">
        <v>99</v>
      </c>
      <c r="D80" s="1" t="s">
        <v>144</v>
      </c>
      <c r="E80" s="1">
        <v>148</v>
      </c>
      <c r="F80" s="1">
        <v>102</v>
      </c>
      <c r="G80" s="1">
        <v>250</v>
      </c>
      <c r="H80" s="1">
        <v>1095</v>
      </c>
      <c r="I80" s="1">
        <v>950</v>
      </c>
      <c r="J80" s="1">
        <v>2045</v>
      </c>
      <c r="K80" s="1">
        <v>447</v>
      </c>
      <c r="L80" s="1">
        <v>572</v>
      </c>
      <c r="M80" s="1">
        <v>1019</v>
      </c>
      <c r="N80" s="1">
        <v>211</v>
      </c>
      <c r="O80" s="1">
        <v>238</v>
      </c>
      <c r="P80" s="1">
        <v>449</v>
      </c>
      <c r="Q80" s="1">
        <v>138</v>
      </c>
      <c r="R80" s="1">
        <v>225</v>
      </c>
      <c r="S80" s="1">
        <v>363</v>
      </c>
      <c r="T80" s="1">
        <v>68</v>
      </c>
      <c r="U80" s="1">
        <v>65</v>
      </c>
      <c r="V80" s="1">
        <v>133</v>
      </c>
      <c r="W80" s="1">
        <f t="shared" ref="W80:X80" si="707">SUM(E80,H80,K80,N80,Q80,T80)</f>
        <v>2107</v>
      </c>
      <c r="X80" s="1">
        <f t="shared" si="707"/>
        <v>2152</v>
      </c>
      <c r="Y80" s="1">
        <f t="shared" si="1"/>
        <v>4259</v>
      </c>
      <c r="Z80" s="1">
        <f t="shared" ref="Z80:AA80" si="708">W80-T80</f>
        <v>2039</v>
      </c>
      <c r="AA80" s="1">
        <f t="shared" si="708"/>
        <v>2087</v>
      </c>
      <c r="AB80" s="1">
        <f t="shared" si="3"/>
        <v>4126</v>
      </c>
      <c r="AC80" s="1">
        <f t="shared" ref="AC80:AD80" si="709">SUM(E80,H80,K80,N80)</f>
        <v>1901</v>
      </c>
      <c r="AD80" s="1">
        <f t="shared" si="709"/>
        <v>1862</v>
      </c>
      <c r="AE80" s="1">
        <f t="shared" si="5"/>
        <v>3763</v>
      </c>
      <c r="AF80" s="2">
        <f t="shared" ref="AF80:AH80" si="710">AC80/Z80</f>
        <v>0.93231976459048549</v>
      </c>
      <c r="AG80" s="2">
        <f t="shared" si="710"/>
        <v>0.89218974604695733</v>
      </c>
      <c r="AH80" s="2">
        <f t="shared" si="710"/>
        <v>0.91202132816286963</v>
      </c>
      <c r="AI80" s="1">
        <f t="shared" ref="AI80:AJ80" si="711">SUM(E80,H80,K80)</f>
        <v>1690</v>
      </c>
      <c r="AJ80" s="1">
        <f t="shared" si="711"/>
        <v>1624</v>
      </c>
      <c r="AK80" s="1">
        <f t="shared" si="8"/>
        <v>3314</v>
      </c>
      <c r="AL80" s="2">
        <f t="shared" ref="AL80:AN80" si="712">AI80/Z80</f>
        <v>0.82883766552231486</v>
      </c>
      <c r="AM80" s="2">
        <f t="shared" si="712"/>
        <v>0.77815045519885007</v>
      </c>
      <c r="AN80" s="2">
        <f t="shared" si="712"/>
        <v>0.80319922443044112</v>
      </c>
      <c r="AO80" s="2">
        <f t="shared" ref="AO80:AQ80" si="713">E80/Z80</f>
        <v>7.2584600294261892E-2</v>
      </c>
      <c r="AP80" s="2">
        <f t="shared" si="713"/>
        <v>4.8873981792046002E-2</v>
      </c>
      <c r="AQ80" s="2">
        <f t="shared" si="713"/>
        <v>6.0591371788657297E-2</v>
      </c>
      <c r="AR80" s="2">
        <f t="shared" si="11"/>
        <v>0.11034820990681707</v>
      </c>
      <c r="AS80" s="2">
        <f t="shared" ref="AS80:AT80" si="714">R80/AA80</f>
        <v>0.10781025395304264</v>
      </c>
      <c r="AT80" s="2">
        <f t="shared" si="714"/>
        <v>8.7978671837130387E-2</v>
      </c>
      <c r="AU80" s="2">
        <f t="shared" ref="AU80:AW80" si="715">T80/W80</f>
        <v>3.2273374466065499E-2</v>
      </c>
      <c r="AV80" s="2">
        <f t="shared" si="589"/>
        <v>3.0204460966542751E-2</v>
      </c>
      <c r="AW80" s="2">
        <f t="shared" si="589"/>
        <v>3.1227987790561164E-2</v>
      </c>
    </row>
    <row r="81" spans="1:49" ht="13" x14ac:dyDescent="0.15">
      <c r="A81" s="1">
        <v>2024</v>
      </c>
      <c r="B81" s="1" t="s">
        <v>49</v>
      </c>
      <c r="C81" s="1" t="s">
        <v>54</v>
      </c>
      <c r="D81" s="1" t="s">
        <v>145</v>
      </c>
      <c r="E81" s="1">
        <v>361</v>
      </c>
      <c r="F81" s="1">
        <v>288</v>
      </c>
      <c r="G81" s="1">
        <v>649</v>
      </c>
      <c r="H81" s="1">
        <v>1005</v>
      </c>
      <c r="I81" s="1">
        <v>1210</v>
      </c>
      <c r="J81" s="1">
        <v>2215</v>
      </c>
      <c r="K81" s="1">
        <v>64</v>
      </c>
      <c r="L81" s="1">
        <v>103</v>
      </c>
      <c r="M81" s="1">
        <v>167</v>
      </c>
      <c r="N81" s="1">
        <v>22</v>
      </c>
      <c r="O81" s="1">
        <v>36</v>
      </c>
      <c r="P81" s="1">
        <v>58</v>
      </c>
      <c r="Q81" s="1">
        <v>8</v>
      </c>
      <c r="R81" s="1">
        <v>13</v>
      </c>
      <c r="S81" s="1">
        <v>21</v>
      </c>
      <c r="T81" s="1">
        <v>16</v>
      </c>
      <c r="U81" s="1">
        <v>31</v>
      </c>
      <c r="V81" s="1">
        <v>47</v>
      </c>
      <c r="W81" s="1">
        <f t="shared" ref="W81:X81" si="716">SUM(E81,H81,K81,N81,Q81,T81)</f>
        <v>1476</v>
      </c>
      <c r="X81" s="1">
        <f t="shared" si="716"/>
        <v>1681</v>
      </c>
      <c r="Y81" s="1">
        <f t="shared" si="1"/>
        <v>3157</v>
      </c>
      <c r="Z81" s="1">
        <f t="shared" ref="Z81:AA81" si="717">W81-T81</f>
        <v>1460</v>
      </c>
      <c r="AA81" s="1">
        <f t="shared" si="717"/>
        <v>1650</v>
      </c>
      <c r="AB81" s="1">
        <f t="shared" si="3"/>
        <v>3110</v>
      </c>
      <c r="AC81" s="1">
        <f t="shared" ref="AC81:AD81" si="718">SUM(E81,H81,K81,N81)</f>
        <v>1452</v>
      </c>
      <c r="AD81" s="1">
        <f t="shared" si="718"/>
        <v>1637</v>
      </c>
      <c r="AE81" s="1">
        <f t="shared" si="5"/>
        <v>3089</v>
      </c>
      <c r="AF81" s="2">
        <f t="shared" ref="AF81:AH81" si="719">AC81/Z81</f>
        <v>0.9945205479452055</v>
      </c>
      <c r="AG81" s="2">
        <f t="shared" si="719"/>
        <v>0.99212121212121207</v>
      </c>
      <c r="AH81" s="2">
        <f t="shared" si="719"/>
        <v>0.99324758842443728</v>
      </c>
      <c r="AI81" s="1">
        <f t="shared" ref="AI81:AJ81" si="720">SUM(E81,H81,K81)</f>
        <v>1430</v>
      </c>
      <c r="AJ81" s="1">
        <f t="shared" si="720"/>
        <v>1601</v>
      </c>
      <c r="AK81" s="1">
        <f t="shared" si="8"/>
        <v>3031</v>
      </c>
      <c r="AL81" s="2">
        <f t="shared" ref="AL81:AN81" si="721">AI81/Z81</f>
        <v>0.97945205479452058</v>
      </c>
      <c r="AM81" s="2">
        <f t="shared" si="721"/>
        <v>0.97030303030303033</v>
      </c>
      <c r="AN81" s="2">
        <f t="shared" si="721"/>
        <v>0.97459807073954985</v>
      </c>
      <c r="AO81" s="2">
        <f t="shared" ref="AO81:AQ81" si="722">E81/Z81</f>
        <v>0.24726027397260275</v>
      </c>
      <c r="AP81" s="2">
        <f t="shared" si="722"/>
        <v>0.17454545454545456</v>
      </c>
      <c r="AQ81" s="2">
        <f t="shared" si="722"/>
        <v>0.20868167202572346</v>
      </c>
      <c r="AR81" s="2">
        <f t="shared" si="11"/>
        <v>8.9041095890410957E-3</v>
      </c>
      <c r="AS81" s="2">
        <f t="shared" ref="AS81:AT81" si="723">R81/AA81</f>
        <v>7.8787878787878792E-3</v>
      </c>
      <c r="AT81" s="2">
        <f t="shared" si="723"/>
        <v>6.7524115755627006E-3</v>
      </c>
      <c r="AU81" s="2">
        <f t="shared" ref="AU81:AW81" si="724">T81/W81</f>
        <v>1.0840108401084011E-2</v>
      </c>
      <c r="AV81" s="2">
        <f t="shared" si="589"/>
        <v>1.8441403926234383E-2</v>
      </c>
      <c r="AW81" s="2">
        <f t="shared" si="589"/>
        <v>1.4887551472917327E-2</v>
      </c>
    </row>
    <row r="82" spans="1:49" ht="13" x14ac:dyDescent="0.15">
      <c r="A82" s="1">
        <v>2024</v>
      </c>
      <c r="B82" s="1" t="s">
        <v>66</v>
      </c>
      <c r="C82" s="1" t="s">
        <v>99</v>
      </c>
      <c r="D82" s="1" t="s">
        <v>146</v>
      </c>
      <c r="E82" s="1">
        <v>250</v>
      </c>
      <c r="F82" s="1">
        <v>121</v>
      </c>
      <c r="G82" s="1">
        <v>371</v>
      </c>
      <c r="H82" s="1">
        <v>1697</v>
      </c>
      <c r="I82" s="1">
        <v>1130</v>
      </c>
      <c r="J82" s="1">
        <v>2827</v>
      </c>
      <c r="K82" s="1">
        <v>562</v>
      </c>
      <c r="L82" s="1">
        <v>667</v>
      </c>
      <c r="M82" s="1">
        <v>1229</v>
      </c>
      <c r="N82" s="1">
        <v>214</v>
      </c>
      <c r="O82" s="1">
        <v>264</v>
      </c>
      <c r="P82" s="1">
        <v>478</v>
      </c>
      <c r="Q82" s="1">
        <v>141</v>
      </c>
      <c r="R82" s="1">
        <v>221</v>
      </c>
      <c r="S82" s="1">
        <v>362</v>
      </c>
      <c r="T82" s="1">
        <v>15</v>
      </c>
      <c r="U82" s="1">
        <v>22</v>
      </c>
      <c r="V82" s="1">
        <v>37</v>
      </c>
      <c r="W82" s="1">
        <f t="shared" ref="W82:X82" si="725">SUM(E82,H82,K82,N82,Q82,T82)</f>
        <v>2879</v>
      </c>
      <c r="X82" s="1">
        <f t="shared" si="725"/>
        <v>2425</v>
      </c>
      <c r="Y82" s="1">
        <f t="shared" si="1"/>
        <v>5304</v>
      </c>
      <c r="Z82" s="1">
        <f t="shared" ref="Z82:AA82" si="726">W82-T82</f>
        <v>2864</v>
      </c>
      <c r="AA82" s="1">
        <f t="shared" si="726"/>
        <v>2403</v>
      </c>
      <c r="AB82" s="1">
        <f t="shared" si="3"/>
        <v>5267</v>
      </c>
      <c r="AC82" s="1">
        <f t="shared" ref="AC82:AD82" si="727">SUM(E82,H82,K82,N82)</f>
        <v>2723</v>
      </c>
      <c r="AD82" s="1">
        <f t="shared" si="727"/>
        <v>2182</v>
      </c>
      <c r="AE82" s="1">
        <f t="shared" si="5"/>
        <v>4905</v>
      </c>
      <c r="AF82" s="2">
        <f t="shared" ref="AF82:AH82" si="728">AC82/Z82</f>
        <v>0.95076815642458101</v>
      </c>
      <c r="AG82" s="2">
        <f t="shared" si="728"/>
        <v>0.90803162713275076</v>
      </c>
      <c r="AH82" s="2">
        <f t="shared" si="728"/>
        <v>0.93127017277387503</v>
      </c>
      <c r="AI82" s="1">
        <f t="shared" ref="AI82:AJ82" si="729">SUM(E82,H82,K82)</f>
        <v>2509</v>
      </c>
      <c r="AJ82" s="1">
        <f t="shared" si="729"/>
        <v>1918</v>
      </c>
      <c r="AK82" s="1">
        <f t="shared" si="8"/>
        <v>4427</v>
      </c>
      <c r="AL82" s="2">
        <f t="shared" ref="AL82:AN82" si="730">AI82/Z82</f>
        <v>0.87604748603351956</v>
      </c>
      <c r="AM82" s="2">
        <f t="shared" si="730"/>
        <v>0.79816895547232625</v>
      </c>
      <c r="AN82" s="2">
        <f t="shared" si="730"/>
        <v>0.84051642301120177</v>
      </c>
      <c r="AO82" s="2">
        <f t="shared" ref="AO82:AQ82" si="731">E82/Z82</f>
        <v>8.7290502793296088E-2</v>
      </c>
      <c r="AP82" s="2">
        <f t="shared" si="731"/>
        <v>5.0353724511027882E-2</v>
      </c>
      <c r="AQ82" s="2">
        <f t="shared" si="731"/>
        <v>7.0438579836719195E-2</v>
      </c>
      <c r="AR82" s="2">
        <f t="shared" si="11"/>
        <v>7.7164804469273748E-2</v>
      </c>
      <c r="AS82" s="2">
        <f t="shared" ref="AS82:AT82" si="732">R82/AA82</f>
        <v>9.1968372867249265E-2</v>
      </c>
      <c r="AT82" s="2">
        <f t="shared" si="732"/>
        <v>6.8729827226124932E-2</v>
      </c>
      <c r="AU82" s="2">
        <f t="shared" ref="AU82:AW97" si="733">T82/W82</f>
        <v>5.2101424105592221E-3</v>
      </c>
      <c r="AV82" s="2">
        <f t="shared" si="733"/>
        <v>9.0721649484536079E-3</v>
      </c>
      <c r="AW82" s="2">
        <f t="shared" si="733"/>
        <v>6.9758672699849174E-3</v>
      </c>
    </row>
    <row r="83" spans="1:49" ht="13" x14ac:dyDescent="0.15">
      <c r="A83" s="1">
        <v>2024</v>
      </c>
      <c r="B83" s="1" t="s">
        <v>49</v>
      </c>
      <c r="C83" s="1" t="s">
        <v>52</v>
      </c>
      <c r="D83" s="1" t="s">
        <v>147</v>
      </c>
      <c r="E83" s="1">
        <v>327</v>
      </c>
      <c r="F83" s="1">
        <v>322</v>
      </c>
      <c r="G83" s="1">
        <v>649</v>
      </c>
      <c r="H83" s="1">
        <v>1180</v>
      </c>
      <c r="I83" s="1">
        <v>1273</v>
      </c>
      <c r="J83" s="1">
        <v>2453</v>
      </c>
      <c r="K83" s="1">
        <v>554</v>
      </c>
      <c r="L83" s="1">
        <v>893</v>
      </c>
      <c r="M83" s="1">
        <v>1447</v>
      </c>
      <c r="N83" s="1">
        <v>275</v>
      </c>
      <c r="O83" s="1">
        <v>462</v>
      </c>
      <c r="P83" s="1">
        <v>737</v>
      </c>
      <c r="Q83" s="1">
        <v>209</v>
      </c>
      <c r="R83" s="1">
        <v>454</v>
      </c>
      <c r="S83" s="1">
        <v>663</v>
      </c>
      <c r="T83" s="1">
        <v>46</v>
      </c>
      <c r="U83" s="1">
        <v>41</v>
      </c>
      <c r="V83" s="1">
        <v>87</v>
      </c>
      <c r="W83" s="1">
        <f t="shared" ref="W83:X83" si="734">SUM(E83,H83,K83,N83,Q83,T83)</f>
        <v>2591</v>
      </c>
      <c r="X83" s="1">
        <f t="shared" si="734"/>
        <v>3445</v>
      </c>
      <c r="Y83" s="1">
        <f t="shared" si="1"/>
        <v>6036</v>
      </c>
      <c r="Z83" s="1">
        <f t="shared" ref="Z83:AA83" si="735">W83-T83</f>
        <v>2545</v>
      </c>
      <c r="AA83" s="1">
        <f t="shared" si="735"/>
        <v>3404</v>
      </c>
      <c r="AB83" s="1">
        <f t="shared" si="3"/>
        <v>5949</v>
      </c>
      <c r="AC83" s="1">
        <f t="shared" ref="AC83:AD83" si="736">SUM(E83,H83,K83,N83)</f>
        <v>2336</v>
      </c>
      <c r="AD83" s="1">
        <f t="shared" si="736"/>
        <v>2950</v>
      </c>
      <c r="AE83" s="1">
        <f t="shared" si="5"/>
        <v>5286</v>
      </c>
      <c r="AF83" s="2">
        <f t="shared" ref="AF83:AH83" si="737">AC83/Z83</f>
        <v>0.91787819253438119</v>
      </c>
      <c r="AG83" s="2">
        <f t="shared" si="737"/>
        <v>0.86662749706227971</v>
      </c>
      <c r="AH83" s="2">
        <f t="shared" si="737"/>
        <v>0.88855269793242564</v>
      </c>
      <c r="AI83" s="1">
        <f t="shared" ref="AI83:AJ83" si="738">SUM(E83,H83,K83)</f>
        <v>2061</v>
      </c>
      <c r="AJ83" s="1">
        <f t="shared" si="738"/>
        <v>2488</v>
      </c>
      <c r="AK83" s="1">
        <f t="shared" si="8"/>
        <v>4549</v>
      </c>
      <c r="AL83" s="2">
        <f t="shared" ref="AL83:AN83" si="739">AI83/Z83</f>
        <v>0.80982318271119846</v>
      </c>
      <c r="AM83" s="2">
        <f t="shared" si="739"/>
        <v>0.73090481786133965</v>
      </c>
      <c r="AN83" s="2">
        <f t="shared" si="739"/>
        <v>0.7646663304757102</v>
      </c>
      <c r="AO83" s="2">
        <f t="shared" ref="AO83:AQ83" si="740">E83/Z83</f>
        <v>0.12848722986247543</v>
      </c>
      <c r="AP83" s="2">
        <f t="shared" si="740"/>
        <v>9.45945945945946E-2</v>
      </c>
      <c r="AQ83" s="2">
        <f t="shared" si="740"/>
        <v>0.10909396537233149</v>
      </c>
      <c r="AR83" s="2">
        <f t="shared" si="11"/>
        <v>0.17838899803536346</v>
      </c>
      <c r="AS83" s="2">
        <f t="shared" ref="AS83:AT83" si="741">R83/AA83</f>
        <v>0.13337250293772032</v>
      </c>
      <c r="AT83" s="2">
        <f t="shared" si="741"/>
        <v>0.11144730206757439</v>
      </c>
      <c r="AU83" s="2">
        <f t="shared" ref="AU83:AW83" si="742">T83/W83</f>
        <v>1.7753763025858741E-2</v>
      </c>
      <c r="AV83" s="2">
        <f t="shared" si="733"/>
        <v>1.1901306240928883E-2</v>
      </c>
      <c r="AW83" s="2">
        <f t="shared" si="733"/>
        <v>1.4413518886679921E-2</v>
      </c>
    </row>
    <row r="84" spans="1:49" ht="13" x14ac:dyDescent="0.15">
      <c r="A84" s="1">
        <v>2024</v>
      </c>
      <c r="B84" s="1" t="s">
        <v>49</v>
      </c>
      <c r="C84" s="1" t="s">
        <v>101</v>
      </c>
      <c r="D84" s="1" t="s">
        <v>148</v>
      </c>
      <c r="E84" s="1">
        <v>126</v>
      </c>
      <c r="F84" s="1">
        <v>96</v>
      </c>
      <c r="G84" s="1">
        <v>222</v>
      </c>
      <c r="H84" s="1">
        <v>784</v>
      </c>
      <c r="I84" s="1">
        <v>864</v>
      </c>
      <c r="J84" s="1">
        <v>1648</v>
      </c>
      <c r="K84" s="1">
        <v>264</v>
      </c>
      <c r="L84" s="1">
        <v>365</v>
      </c>
      <c r="M84" s="1">
        <v>629</v>
      </c>
      <c r="N84" s="1">
        <v>111</v>
      </c>
      <c r="O84" s="1">
        <v>131</v>
      </c>
      <c r="P84" s="1">
        <v>242</v>
      </c>
      <c r="Q84" s="1">
        <v>51</v>
      </c>
      <c r="R84" s="1">
        <v>67</v>
      </c>
      <c r="S84" s="1">
        <v>118</v>
      </c>
      <c r="T84" s="1">
        <v>17</v>
      </c>
      <c r="U84" s="1">
        <v>25</v>
      </c>
      <c r="V84" s="1">
        <v>42</v>
      </c>
      <c r="W84" s="1">
        <f t="shared" ref="W84:X84" si="743">SUM(E84,H84,K84,N84,Q84,T84)</f>
        <v>1353</v>
      </c>
      <c r="X84" s="1">
        <f t="shared" si="743"/>
        <v>1548</v>
      </c>
      <c r="Y84" s="1">
        <f t="shared" si="1"/>
        <v>2901</v>
      </c>
      <c r="Z84" s="1">
        <f t="shared" ref="Z84:AA84" si="744">W84-T84</f>
        <v>1336</v>
      </c>
      <c r="AA84" s="1">
        <f t="shared" si="744"/>
        <v>1523</v>
      </c>
      <c r="AB84" s="1">
        <f t="shared" si="3"/>
        <v>2859</v>
      </c>
      <c r="AC84" s="1">
        <f t="shared" ref="AC84:AD84" si="745">SUM(E84,H84,K84,N84)</f>
        <v>1285</v>
      </c>
      <c r="AD84" s="1">
        <f t="shared" si="745"/>
        <v>1456</v>
      </c>
      <c r="AE84" s="1">
        <f t="shared" si="5"/>
        <v>2741</v>
      </c>
      <c r="AF84" s="2">
        <f t="shared" ref="AF84:AH84" si="746">AC84/Z84</f>
        <v>0.96182634730538918</v>
      </c>
      <c r="AG84" s="2">
        <f t="shared" si="746"/>
        <v>0.95600787918581742</v>
      </c>
      <c r="AH84" s="2">
        <f t="shared" si="746"/>
        <v>0.9587268275620846</v>
      </c>
      <c r="AI84" s="1">
        <f t="shared" ref="AI84:AJ84" si="747">SUM(E84,H84,K84)</f>
        <v>1174</v>
      </c>
      <c r="AJ84" s="1">
        <f t="shared" si="747"/>
        <v>1325</v>
      </c>
      <c r="AK84" s="1">
        <f t="shared" si="8"/>
        <v>2499</v>
      </c>
      <c r="AL84" s="2">
        <f t="shared" ref="AL84:AN84" si="748">AI84/Z84</f>
        <v>0.87874251497005984</v>
      </c>
      <c r="AM84" s="2">
        <f t="shared" si="748"/>
        <v>0.86999343401181883</v>
      </c>
      <c r="AN84" s="2">
        <f t="shared" si="748"/>
        <v>0.87408184679958023</v>
      </c>
      <c r="AO84" s="2">
        <f t="shared" ref="AO84:AQ84" si="749">E84/Z84</f>
        <v>9.4311377245508976E-2</v>
      </c>
      <c r="AP84" s="2">
        <f t="shared" si="749"/>
        <v>6.3033486539724223E-2</v>
      </c>
      <c r="AQ84" s="2">
        <f t="shared" si="749"/>
        <v>7.7649527806925495E-2</v>
      </c>
      <c r="AR84" s="2">
        <f t="shared" si="11"/>
        <v>5.0149700598802395E-2</v>
      </c>
      <c r="AS84" s="2">
        <f t="shared" ref="AS84:AT84" si="750">R84/AA84</f>
        <v>4.3992120814182537E-2</v>
      </c>
      <c r="AT84" s="2">
        <f t="shared" si="750"/>
        <v>4.1273172437915354E-2</v>
      </c>
      <c r="AU84" s="2">
        <f t="shared" ref="AU84:AW84" si="751">T84/W84</f>
        <v>1.2564671101256468E-2</v>
      </c>
      <c r="AV84" s="2">
        <f t="shared" si="733"/>
        <v>1.614987080103359E-2</v>
      </c>
      <c r="AW84" s="2">
        <f t="shared" si="733"/>
        <v>1.4477766287487074E-2</v>
      </c>
    </row>
    <row r="85" spans="1:49" ht="13" x14ac:dyDescent="0.15">
      <c r="A85" s="1">
        <v>2024</v>
      </c>
      <c r="B85" s="1" t="s">
        <v>49</v>
      </c>
      <c r="C85" s="1" t="s">
        <v>78</v>
      </c>
      <c r="D85" s="1" t="s">
        <v>149</v>
      </c>
      <c r="E85" s="1">
        <v>185</v>
      </c>
      <c r="F85" s="1">
        <v>91</v>
      </c>
      <c r="G85" s="1">
        <v>276</v>
      </c>
      <c r="H85" s="1">
        <v>805</v>
      </c>
      <c r="I85" s="1">
        <v>605</v>
      </c>
      <c r="J85" s="1">
        <v>1410</v>
      </c>
      <c r="K85" s="1">
        <v>453</v>
      </c>
      <c r="L85" s="1">
        <v>500</v>
      </c>
      <c r="M85" s="1">
        <v>953</v>
      </c>
      <c r="N85" s="1">
        <v>435</v>
      </c>
      <c r="O85" s="1">
        <v>287</v>
      </c>
      <c r="P85" s="1">
        <v>722</v>
      </c>
      <c r="Q85" s="1">
        <v>382</v>
      </c>
      <c r="R85" s="1">
        <v>530</v>
      </c>
      <c r="S85" s="1">
        <v>912</v>
      </c>
      <c r="T85" s="1">
        <v>24</v>
      </c>
      <c r="U85" s="1">
        <v>32</v>
      </c>
      <c r="V85" s="1">
        <v>56</v>
      </c>
      <c r="W85" s="1">
        <f t="shared" ref="W85:X85" si="752">SUM(E85,H85,K85,N85,Q85,T85)</f>
        <v>2284</v>
      </c>
      <c r="X85" s="1">
        <f t="shared" si="752"/>
        <v>2045</v>
      </c>
      <c r="Y85" s="1">
        <f t="shared" si="1"/>
        <v>4329</v>
      </c>
      <c r="Z85" s="1">
        <f t="shared" ref="Z85:AA85" si="753">W85-T85</f>
        <v>2260</v>
      </c>
      <c r="AA85" s="1">
        <f t="shared" si="753"/>
        <v>2013</v>
      </c>
      <c r="AB85" s="1">
        <f t="shared" si="3"/>
        <v>4273</v>
      </c>
      <c r="AC85" s="1">
        <f t="shared" ref="AC85:AD85" si="754">SUM(E85,H85,K85,N85)</f>
        <v>1878</v>
      </c>
      <c r="AD85" s="1">
        <f t="shared" si="754"/>
        <v>1483</v>
      </c>
      <c r="AE85" s="1">
        <f t="shared" si="5"/>
        <v>3361</v>
      </c>
      <c r="AF85" s="2">
        <f t="shared" ref="AF85:AH85" si="755">AC85/Z85</f>
        <v>0.83097345132743361</v>
      </c>
      <c r="AG85" s="2">
        <f t="shared" si="755"/>
        <v>0.7367113760556383</v>
      </c>
      <c r="AH85" s="2">
        <f t="shared" si="755"/>
        <v>0.78656681488415636</v>
      </c>
      <c r="AI85" s="1">
        <f t="shared" ref="AI85:AJ85" si="756">SUM(E85,H85,K85)</f>
        <v>1443</v>
      </c>
      <c r="AJ85" s="1">
        <f t="shared" si="756"/>
        <v>1196</v>
      </c>
      <c r="AK85" s="1">
        <f t="shared" si="8"/>
        <v>2639</v>
      </c>
      <c r="AL85" s="2">
        <f t="shared" ref="AL85:AN85" si="757">AI85/Z85</f>
        <v>0.6384955752212389</v>
      </c>
      <c r="AM85" s="2">
        <f t="shared" si="757"/>
        <v>0.59413810233482367</v>
      </c>
      <c r="AN85" s="2">
        <f t="shared" si="757"/>
        <v>0.61759887666744673</v>
      </c>
      <c r="AO85" s="2">
        <f t="shared" ref="AO85:AQ85" si="758">E85/Z85</f>
        <v>8.185840707964602E-2</v>
      </c>
      <c r="AP85" s="2">
        <f t="shared" si="758"/>
        <v>4.520615996025832E-2</v>
      </c>
      <c r="AQ85" s="2">
        <f t="shared" si="758"/>
        <v>6.4591621811373748E-2</v>
      </c>
      <c r="AR85" s="2">
        <f t="shared" si="11"/>
        <v>0.23451327433628319</v>
      </c>
      <c r="AS85" s="2">
        <f t="shared" ref="AS85:AT85" si="759">R85/AA85</f>
        <v>0.26328862394436164</v>
      </c>
      <c r="AT85" s="2">
        <f t="shared" si="759"/>
        <v>0.21343318511584367</v>
      </c>
      <c r="AU85" s="2">
        <f t="shared" ref="AU85:AW85" si="760">T85/W85</f>
        <v>1.0507880910683012E-2</v>
      </c>
      <c r="AV85" s="2">
        <f t="shared" si="733"/>
        <v>1.5647921760391197E-2</v>
      </c>
      <c r="AW85" s="2">
        <f t="shared" si="733"/>
        <v>1.2936012936012936E-2</v>
      </c>
    </row>
    <row r="86" spans="1:49" ht="13" x14ac:dyDescent="0.15">
      <c r="A86" s="1">
        <v>2024</v>
      </c>
      <c r="B86" s="1" t="s">
        <v>66</v>
      </c>
      <c r="C86" s="1" t="s">
        <v>67</v>
      </c>
      <c r="D86" s="1" t="s">
        <v>150</v>
      </c>
      <c r="E86" s="1">
        <v>98</v>
      </c>
      <c r="F86" s="1">
        <v>42</v>
      </c>
      <c r="G86" s="1">
        <v>140</v>
      </c>
      <c r="H86" s="1">
        <v>885</v>
      </c>
      <c r="I86" s="1">
        <v>583</v>
      </c>
      <c r="J86" s="1">
        <v>1468</v>
      </c>
      <c r="K86" s="1">
        <v>558</v>
      </c>
      <c r="L86" s="1">
        <v>633</v>
      </c>
      <c r="M86" s="1">
        <v>1191</v>
      </c>
      <c r="N86" s="1">
        <v>328</v>
      </c>
      <c r="O86" s="1">
        <v>293</v>
      </c>
      <c r="P86" s="1">
        <v>621</v>
      </c>
      <c r="Q86" s="1">
        <v>215</v>
      </c>
      <c r="R86" s="1">
        <v>277</v>
      </c>
      <c r="S86" s="1">
        <v>492</v>
      </c>
      <c r="T86" s="1">
        <v>38</v>
      </c>
      <c r="U86" s="1">
        <v>34</v>
      </c>
      <c r="V86" s="1">
        <v>72</v>
      </c>
      <c r="W86" s="1">
        <f t="shared" ref="W86:X86" si="761">SUM(E86,H86,K86,N86,Q86,T86)</f>
        <v>2122</v>
      </c>
      <c r="X86" s="1">
        <f t="shared" si="761"/>
        <v>1862</v>
      </c>
      <c r="Y86" s="1">
        <f t="shared" si="1"/>
        <v>3984</v>
      </c>
      <c r="Z86" s="1">
        <f t="shared" ref="Z86:AA86" si="762">W86-T86</f>
        <v>2084</v>
      </c>
      <c r="AA86" s="1">
        <f t="shared" si="762"/>
        <v>1828</v>
      </c>
      <c r="AB86" s="1">
        <f t="shared" si="3"/>
        <v>3912</v>
      </c>
      <c r="AC86" s="1">
        <f t="shared" ref="AC86:AD86" si="763">SUM(E86,H86,K86,N86)</f>
        <v>1869</v>
      </c>
      <c r="AD86" s="1">
        <f t="shared" si="763"/>
        <v>1551</v>
      </c>
      <c r="AE86" s="1">
        <f t="shared" si="5"/>
        <v>3420</v>
      </c>
      <c r="AF86" s="2">
        <f t="shared" ref="AF86:AH86" si="764">AC86/Z86</f>
        <v>0.89683301343570054</v>
      </c>
      <c r="AG86" s="2">
        <f t="shared" si="764"/>
        <v>0.84846827133479208</v>
      </c>
      <c r="AH86" s="2">
        <f t="shared" si="764"/>
        <v>0.87423312883435578</v>
      </c>
      <c r="AI86" s="1">
        <f t="shared" ref="AI86:AJ86" si="765">SUM(E86,H86,K86)</f>
        <v>1541</v>
      </c>
      <c r="AJ86" s="1">
        <f t="shared" si="765"/>
        <v>1258</v>
      </c>
      <c r="AK86" s="1">
        <f t="shared" si="8"/>
        <v>2799</v>
      </c>
      <c r="AL86" s="2">
        <f t="shared" ref="AL86:AN86" si="766">AI86/Z86</f>
        <v>0.73944337811900196</v>
      </c>
      <c r="AM86" s="2">
        <f t="shared" si="766"/>
        <v>0.68818380743982499</v>
      </c>
      <c r="AN86" s="2">
        <f t="shared" si="766"/>
        <v>0.7154907975460123</v>
      </c>
      <c r="AO86" s="2">
        <f t="shared" ref="AO86:AQ86" si="767">E86/Z86</f>
        <v>4.7024952015355087E-2</v>
      </c>
      <c r="AP86" s="2">
        <f t="shared" si="767"/>
        <v>2.2975929978118162E-2</v>
      </c>
      <c r="AQ86" s="2">
        <f t="shared" si="767"/>
        <v>3.5787321063394682E-2</v>
      </c>
      <c r="AR86" s="2">
        <f t="shared" si="11"/>
        <v>0.13291746641074856</v>
      </c>
      <c r="AS86" s="2">
        <f t="shared" ref="AS86:AT86" si="768">R86/AA86</f>
        <v>0.15153172866520787</v>
      </c>
      <c r="AT86" s="2">
        <f t="shared" si="768"/>
        <v>0.12576687116564417</v>
      </c>
      <c r="AU86" s="2">
        <f t="shared" ref="AU86:AW86" si="769">T86/W86</f>
        <v>1.7907634307257305E-2</v>
      </c>
      <c r="AV86" s="2">
        <f t="shared" si="733"/>
        <v>1.8259935553168637E-2</v>
      </c>
      <c r="AW86" s="2">
        <f t="shared" si="733"/>
        <v>1.8072289156626505E-2</v>
      </c>
    </row>
    <row r="87" spans="1:49" ht="13" x14ac:dyDescent="0.15">
      <c r="A87" s="1">
        <v>2024</v>
      </c>
      <c r="B87" s="1" t="s">
        <v>49</v>
      </c>
      <c r="C87" s="1" t="s">
        <v>80</v>
      </c>
      <c r="D87" s="1" t="s">
        <v>151</v>
      </c>
      <c r="E87" s="1">
        <v>52</v>
      </c>
      <c r="F87" s="1">
        <v>25</v>
      </c>
      <c r="G87" s="1">
        <v>77</v>
      </c>
      <c r="H87" s="1">
        <v>819</v>
      </c>
      <c r="I87" s="1">
        <v>594</v>
      </c>
      <c r="J87" s="1">
        <v>1413</v>
      </c>
      <c r="K87" s="1">
        <v>372</v>
      </c>
      <c r="L87" s="1">
        <v>513</v>
      </c>
      <c r="M87" s="1">
        <v>885</v>
      </c>
      <c r="N87" s="1">
        <v>269</v>
      </c>
      <c r="O87" s="1">
        <v>216</v>
      </c>
      <c r="P87" s="1">
        <v>485</v>
      </c>
      <c r="Q87" s="1">
        <v>244</v>
      </c>
      <c r="R87" s="1">
        <v>311</v>
      </c>
      <c r="S87" s="1">
        <v>555</v>
      </c>
      <c r="T87" s="1">
        <v>16</v>
      </c>
      <c r="U87" s="1">
        <v>32</v>
      </c>
      <c r="V87" s="1">
        <v>48</v>
      </c>
      <c r="W87" s="1">
        <f t="shared" ref="W87:X87" si="770">SUM(E87,H87,K87,N87,Q87,T87)</f>
        <v>1772</v>
      </c>
      <c r="X87" s="1">
        <f t="shared" si="770"/>
        <v>1691</v>
      </c>
      <c r="Y87" s="1">
        <f t="shared" si="1"/>
        <v>3463</v>
      </c>
      <c r="Z87" s="1">
        <f t="shared" ref="Z87:AA87" si="771">W87-T87</f>
        <v>1756</v>
      </c>
      <c r="AA87" s="1">
        <f t="shared" si="771"/>
        <v>1659</v>
      </c>
      <c r="AB87" s="1">
        <f t="shared" si="3"/>
        <v>3415</v>
      </c>
      <c r="AC87" s="1">
        <f t="shared" ref="AC87:AD87" si="772">SUM(E87,H87,K87,N87)</f>
        <v>1512</v>
      </c>
      <c r="AD87" s="1">
        <f t="shared" si="772"/>
        <v>1348</v>
      </c>
      <c r="AE87" s="1">
        <f t="shared" si="5"/>
        <v>2860</v>
      </c>
      <c r="AF87" s="2">
        <f t="shared" ref="AF87:AH87" si="773">AC87/Z87</f>
        <v>0.86104783599088841</v>
      </c>
      <c r="AG87" s="2">
        <f t="shared" si="773"/>
        <v>0.81253767329716697</v>
      </c>
      <c r="AH87" s="2">
        <f t="shared" si="773"/>
        <v>0.8374816983894583</v>
      </c>
      <c r="AI87" s="1">
        <f t="shared" ref="AI87:AJ87" si="774">SUM(E87,H87,K87)</f>
        <v>1243</v>
      </c>
      <c r="AJ87" s="1">
        <f t="shared" si="774"/>
        <v>1132</v>
      </c>
      <c r="AK87" s="1">
        <f t="shared" si="8"/>
        <v>2375</v>
      </c>
      <c r="AL87" s="2">
        <f t="shared" ref="AL87:AN87" si="775">AI87/Z87</f>
        <v>0.70785876993166286</v>
      </c>
      <c r="AM87" s="2">
        <f t="shared" si="775"/>
        <v>0.6823387582881254</v>
      </c>
      <c r="AN87" s="2">
        <f t="shared" si="775"/>
        <v>0.69546120058565153</v>
      </c>
      <c r="AO87" s="2">
        <f t="shared" ref="AO87:AQ87" si="776">E87/Z87</f>
        <v>2.9612756264236904E-2</v>
      </c>
      <c r="AP87" s="2">
        <f t="shared" si="776"/>
        <v>1.5069318866787222E-2</v>
      </c>
      <c r="AQ87" s="2">
        <f t="shared" si="776"/>
        <v>2.254758418740849E-2</v>
      </c>
      <c r="AR87" s="2">
        <f t="shared" si="11"/>
        <v>0.17710706150341685</v>
      </c>
      <c r="AS87" s="2">
        <f t="shared" ref="AS87:AT87" si="777">R87/AA87</f>
        <v>0.18746232670283303</v>
      </c>
      <c r="AT87" s="2">
        <f t="shared" si="777"/>
        <v>0.16251830161054173</v>
      </c>
      <c r="AU87" s="2">
        <f t="shared" ref="AU87:AW87" si="778">T87/W87</f>
        <v>9.0293453724604959E-3</v>
      </c>
      <c r="AV87" s="2">
        <f t="shared" si="733"/>
        <v>1.8923713778829097E-2</v>
      </c>
      <c r="AW87" s="2">
        <f t="shared" si="733"/>
        <v>1.3860814322841466E-2</v>
      </c>
    </row>
    <row r="88" spans="1:49" ht="13" x14ac:dyDescent="0.15">
      <c r="A88" s="1">
        <v>2023</v>
      </c>
      <c r="B88" s="1" t="s">
        <v>74</v>
      </c>
      <c r="C88" s="1" t="s">
        <v>75</v>
      </c>
      <c r="D88" s="1" t="s">
        <v>135</v>
      </c>
      <c r="E88" s="1">
        <v>3</v>
      </c>
      <c r="F88" s="1">
        <v>3</v>
      </c>
      <c r="G88" s="1">
        <v>6</v>
      </c>
      <c r="H88" s="1">
        <v>88</v>
      </c>
      <c r="I88" s="1">
        <v>71</v>
      </c>
      <c r="J88" s="1">
        <v>159</v>
      </c>
      <c r="K88" s="1">
        <v>39</v>
      </c>
      <c r="L88" s="1">
        <v>70</v>
      </c>
      <c r="M88" s="1">
        <v>109</v>
      </c>
      <c r="N88" s="1">
        <v>19</v>
      </c>
      <c r="O88" s="1">
        <v>25</v>
      </c>
      <c r="P88" s="1">
        <v>44</v>
      </c>
      <c r="Q88" s="1">
        <v>33</v>
      </c>
      <c r="R88" s="1">
        <v>60</v>
      </c>
      <c r="S88" s="1">
        <v>93</v>
      </c>
      <c r="T88" s="1">
        <v>8</v>
      </c>
      <c r="U88" s="1">
        <v>10</v>
      </c>
      <c r="V88" s="1">
        <v>18</v>
      </c>
      <c r="W88" s="1">
        <f t="shared" ref="W88:X88" si="779">SUM(E88,H88,K88,N88,Q88,T88)</f>
        <v>190</v>
      </c>
      <c r="X88" s="1">
        <f t="shared" si="779"/>
        <v>239</v>
      </c>
      <c r="Y88" s="1">
        <f t="shared" si="1"/>
        <v>429</v>
      </c>
      <c r="Z88" s="1">
        <f t="shared" ref="Z88:AA88" si="780">W88-T88</f>
        <v>182</v>
      </c>
      <c r="AA88" s="1">
        <f t="shared" si="780"/>
        <v>229</v>
      </c>
      <c r="AB88" s="1">
        <f t="shared" si="3"/>
        <v>411</v>
      </c>
      <c r="AC88" s="1">
        <f t="shared" ref="AC88:AD88" si="781">SUM(E88,H88,K88,N88)</f>
        <v>149</v>
      </c>
      <c r="AD88" s="1">
        <f t="shared" si="781"/>
        <v>169</v>
      </c>
      <c r="AE88" s="1">
        <f t="shared" si="5"/>
        <v>318</v>
      </c>
      <c r="AF88" s="2">
        <f t="shared" ref="AF88:AH88" si="782">AC88/Z88</f>
        <v>0.81868131868131866</v>
      </c>
      <c r="AG88" s="2">
        <f t="shared" si="782"/>
        <v>0.73799126637554591</v>
      </c>
      <c r="AH88" s="2">
        <f t="shared" si="782"/>
        <v>0.77372262773722633</v>
      </c>
      <c r="AI88" s="1">
        <f t="shared" ref="AI88:AJ88" si="783">SUM(E88,H88,K88)</f>
        <v>130</v>
      </c>
      <c r="AJ88" s="1">
        <f t="shared" si="783"/>
        <v>144</v>
      </c>
      <c r="AK88" s="1">
        <f t="shared" si="8"/>
        <v>274</v>
      </c>
      <c r="AL88" s="2">
        <f t="shared" ref="AL88:AN88" si="784">AI88/Z88</f>
        <v>0.7142857142857143</v>
      </c>
      <c r="AM88" s="2">
        <f t="shared" si="784"/>
        <v>0.62882096069868998</v>
      </c>
      <c r="AN88" s="2">
        <f t="shared" si="784"/>
        <v>0.66666666666666663</v>
      </c>
      <c r="AO88" s="2">
        <f t="shared" ref="AO88:AQ88" si="785">E88/Z88</f>
        <v>1.6483516483516484E-2</v>
      </c>
      <c r="AP88" s="2">
        <f t="shared" si="785"/>
        <v>1.3100436681222707E-2</v>
      </c>
      <c r="AQ88" s="2">
        <f t="shared" si="785"/>
        <v>1.4598540145985401E-2</v>
      </c>
      <c r="AR88" s="2">
        <f t="shared" si="11"/>
        <v>0.32967032967032966</v>
      </c>
      <c r="AS88" s="2">
        <f t="shared" ref="AS88:AT88" si="786">R88/AA88</f>
        <v>0.26200873362445415</v>
      </c>
      <c r="AT88" s="2">
        <f t="shared" si="786"/>
        <v>0.22627737226277372</v>
      </c>
      <c r="AU88" s="2">
        <f t="shared" ref="AU88:AW88" si="787">T88/W88</f>
        <v>4.2105263157894736E-2</v>
      </c>
      <c r="AV88" s="2">
        <f t="shared" si="733"/>
        <v>4.1841004184100417E-2</v>
      </c>
      <c r="AW88" s="2">
        <f t="shared" si="733"/>
        <v>4.195804195804196E-2</v>
      </c>
    </row>
    <row r="89" spans="1:49" ht="13" x14ac:dyDescent="0.15">
      <c r="A89" s="1">
        <v>2024</v>
      </c>
      <c r="B89" s="1" t="s">
        <v>49</v>
      </c>
      <c r="C89" s="1" t="s">
        <v>59</v>
      </c>
      <c r="D89" s="1" t="s">
        <v>152</v>
      </c>
      <c r="E89" s="1">
        <v>210</v>
      </c>
      <c r="F89" s="1">
        <v>194</v>
      </c>
      <c r="G89" s="1">
        <v>404</v>
      </c>
      <c r="H89" s="1">
        <v>1249</v>
      </c>
      <c r="I89" s="1">
        <v>1167</v>
      </c>
      <c r="J89" s="1">
        <v>2416</v>
      </c>
      <c r="K89" s="1">
        <v>633</v>
      </c>
      <c r="L89" s="1">
        <v>855</v>
      </c>
      <c r="M89" s="1">
        <v>1488</v>
      </c>
      <c r="N89" s="1">
        <v>283</v>
      </c>
      <c r="O89" s="1">
        <v>362</v>
      </c>
      <c r="P89" s="1">
        <v>645</v>
      </c>
      <c r="Q89" s="1">
        <v>255</v>
      </c>
      <c r="R89" s="1">
        <v>320</v>
      </c>
      <c r="S89" s="1">
        <v>575</v>
      </c>
      <c r="T89" s="1">
        <v>9</v>
      </c>
      <c r="U89" s="1">
        <v>16</v>
      </c>
      <c r="V89" s="1">
        <v>25</v>
      </c>
      <c r="W89" s="1">
        <f t="shared" ref="W89:X89" si="788">SUM(E89,H89,K89,N89,Q89,T89)</f>
        <v>2639</v>
      </c>
      <c r="X89" s="1">
        <f t="shared" si="788"/>
        <v>2914</v>
      </c>
      <c r="Y89" s="1">
        <f t="shared" si="1"/>
        <v>5553</v>
      </c>
      <c r="Z89" s="1">
        <f t="shared" ref="Z89:AA89" si="789">W89-T89</f>
        <v>2630</v>
      </c>
      <c r="AA89" s="1">
        <f t="shared" si="789"/>
        <v>2898</v>
      </c>
      <c r="AB89" s="1">
        <f t="shared" si="3"/>
        <v>5528</v>
      </c>
      <c r="AC89" s="1">
        <f t="shared" ref="AC89:AD89" si="790">SUM(E89,H89,K89,N89)</f>
        <v>2375</v>
      </c>
      <c r="AD89" s="1">
        <f t="shared" si="790"/>
        <v>2578</v>
      </c>
      <c r="AE89" s="1">
        <f t="shared" si="5"/>
        <v>4953</v>
      </c>
      <c r="AF89" s="2">
        <f t="shared" ref="AF89:AH89" si="791">AC89/Z89</f>
        <v>0.90304182509505704</v>
      </c>
      <c r="AG89" s="2">
        <f t="shared" si="791"/>
        <v>0.88957902001380262</v>
      </c>
      <c r="AH89" s="2">
        <f t="shared" si="791"/>
        <v>0.89598408104196814</v>
      </c>
      <c r="AI89" s="1">
        <f t="shared" ref="AI89:AJ89" si="792">SUM(E89,H89,K89)</f>
        <v>2092</v>
      </c>
      <c r="AJ89" s="1">
        <f t="shared" si="792"/>
        <v>2216</v>
      </c>
      <c r="AK89" s="1">
        <f t="shared" si="8"/>
        <v>4308</v>
      </c>
      <c r="AL89" s="2">
        <f t="shared" ref="AL89:AN89" si="793">AI89/Z89</f>
        <v>0.79543726235741441</v>
      </c>
      <c r="AM89" s="2">
        <f t="shared" si="793"/>
        <v>0.76466528640441689</v>
      </c>
      <c r="AN89" s="2">
        <f t="shared" si="793"/>
        <v>0.77930535455861072</v>
      </c>
      <c r="AO89" s="2">
        <f t="shared" ref="AO89:AQ89" si="794">E89/Z89</f>
        <v>7.9847908745247151E-2</v>
      </c>
      <c r="AP89" s="2">
        <f t="shared" si="794"/>
        <v>6.694271911663216E-2</v>
      </c>
      <c r="AQ89" s="2">
        <f t="shared" si="794"/>
        <v>7.3082489146164983E-2</v>
      </c>
      <c r="AR89" s="2">
        <f t="shared" si="11"/>
        <v>0.12167300380228137</v>
      </c>
      <c r="AS89" s="2">
        <f t="shared" ref="AS89:AT89" si="795">R89/AA89</f>
        <v>0.11042097998619738</v>
      </c>
      <c r="AT89" s="2">
        <f t="shared" si="795"/>
        <v>0.10401591895803183</v>
      </c>
      <c r="AU89" s="2">
        <f t="shared" ref="AU89:AW89" si="796">T89/W89</f>
        <v>3.4103827207275484E-3</v>
      </c>
      <c r="AV89" s="2">
        <f t="shared" si="733"/>
        <v>5.4907343857240904E-3</v>
      </c>
      <c r="AW89" s="2">
        <f t="shared" si="733"/>
        <v>4.5020709526382135E-3</v>
      </c>
    </row>
    <row r="90" spans="1:49" ht="13" x14ac:dyDescent="0.15">
      <c r="A90" s="1">
        <v>2024</v>
      </c>
      <c r="B90" s="1" t="s">
        <v>49</v>
      </c>
      <c r="C90" s="1" t="s">
        <v>80</v>
      </c>
      <c r="D90" s="1" t="s">
        <v>153</v>
      </c>
      <c r="E90" s="1">
        <v>71</v>
      </c>
      <c r="F90" s="1">
        <v>30</v>
      </c>
      <c r="G90" s="1">
        <v>101</v>
      </c>
      <c r="H90" s="1">
        <v>647</v>
      </c>
      <c r="I90" s="1">
        <v>605</v>
      </c>
      <c r="J90" s="1">
        <v>1252</v>
      </c>
      <c r="K90" s="1">
        <v>274</v>
      </c>
      <c r="L90" s="1">
        <v>327</v>
      </c>
      <c r="M90" s="1">
        <v>601</v>
      </c>
      <c r="N90" s="1">
        <v>136</v>
      </c>
      <c r="O90" s="1">
        <v>128</v>
      </c>
      <c r="P90" s="1">
        <v>264</v>
      </c>
      <c r="Q90" s="1">
        <v>112</v>
      </c>
      <c r="R90" s="1">
        <v>136</v>
      </c>
      <c r="S90" s="1">
        <v>248</v>
      </c>
      <c r="T90" s="1">
        <v>17</v>
      </c>
      <c r="U90" s="1">
        <v>13</v>
      </c>
      <c r="V90" s="1">
        <v>30</v>
      </c>
      <c r="W90" s="1">
        <f t="shared" ref="W90:X90" si="797">SUM(E90,H90,K90,N90,Q90,T90)</f>
        <v>1257</v>
      </c>
      <c r="X90" s="1">
        <f t="shared" si="797"/>
        <v>1239</v>
      </c>
      <c r="Y90" s="1">
        <f t="shared" si="1"/>
        <v>2496</v>
      </c>
      <c r="Z90" s="1">
        <f t="shared" ref="Z90:AA90" si="798">W90-T90</f>
        <v>1240</v>
      </c>
      <c r="AA90" s="1">
        <f t="shared" si="798"/>
        <v>1226</v>
      </c>
      <c r="AB90" s="1">
        <f t="shared" si="3"/>
        <v>2466</v>
      </c>
      <c r="AC90" s="1">
        <f t="shared" ref="AC90:AD90" si="799">SUM(E90,H90,K90,N90)</f>
        <v>1128</v>
      </c>
      <c r="AD90" s="1">
        <f t="shared" si="799"/>
        <v>1090</v>
      </c>
      <c r="AE90" s="1">
        <f t="shared" si="5"/>
        <v>2218</v>
      </c>
      <c r="AF90" s="2">
        <f t="shared" ref="AF90:AH90" si="800">AC90/Z90</f>
        <v>0.9096774193548387</v>
      </c>
      <c r="AG90" s="2">
        <f t="shared" si="800"/>
        <v>0.88907014681892338</v>
      </c>
      <c r="AH90" s="2">
        <f t="shared" si="800"/>
        <v>0.89943227899432276</v>
      </c>
      <c r="AI90" s="1">
        <f t="shared" ref="AI90:AJ90" si="801">SUM(E90,H90,K90)</f>
        <v>992</v>
      </c>
      <c r="AJ90" s="1">
        <f t="shared" si="801"/>
        <v>962</v>
      </c>
      <c r="AK90" s="1">
        <f t="shared" si="8"/>
        <v>1954</v>
      </c>
      <c r="AL90" s="2">
        <f t="shared" ref="AL90:AN90" si="802">AI90/Z90</f>
        <v>0.8</v>
      </c>
      <c r="AM90" s="2">
        <f t="shared" si="802"/>
        <v>0.78466557911908641</v>
      </c>
      <c r="AN90" s="2">
        <f t="shared" si="802"/>
        <v>0.79237631792376317</v>
      </c>
      <c r="AO90" s="2">
        <f t="shared" ref="AO90:AQ90" si="803">E90/Z90</f>
        <v>5.7258064516129033E-2</v>
      </c>
      <c r="AP90" s="2">
        <f t="shared" si="803"/>
        <v>2.4469820554649267E-2</v>
      </c>
      <c r="AQ90" s="2">
        <f t="shared" si="803"/>
        <v>4.0957015409570155E-2</v>
      </c>
      <c r="AR90" s="2">
        <f t="shared" si="11"/>
        <v>0.10967741935483871</v>
      </c>
      <c r="AS90" s="2">
        <f t="shared" ref="AS90:AT90" si="804">R90/AA90</f>
        <v>0.11092985318107668</v>
      </c>
      <c r="AT90" s="2">
        <f t="shared" si="804"/>
        <v>0.10056772100567721</v>
      </c>
      <c r="AU90" s="2">
        <f t="shared" ref="AU90:AW90" si="805">T90/W90</f>
        <v>1.3524264120922832E-2</v>
      </c>
      <c r="AV90" s="2">
        <f t="shared" si="733"/>
        <v>1.0492332526230832E-2</v>
      </c>
      <c r="AW90" s="2">
        <f t="shared" si="733"/>
        <v>1.201923076923077E-2</v>
      </c>
    </row>
    <row r="91" spans="1:49" ht="13" x14ac:dyDescent="0.15">
      <c r="A91" s="1">
        <v>2024</v>
      </c>
      <c r="B91" s="1" t="s">
        <v>49</v>
      </c>
      <c r="C91" s="1" t="s">
        <v>62</v>
      </c>
      <c r="D91" s="1" t="s">
        <v>154</v>
      </c>
      <c r="E91" s="1">
        <v>56</v>
      </c>
      <c r="F91" s="1">
        <v>34</v>
      </c>
      <c r="G91" s="1">
        <v>90</v>
      </c>
      <c r="H91" s="1">
        <v>414</v>
      </c>
      <c r="I91" s="1">
        <v>395</v>
      </c>
      <c r="J91" s="1">
        <v>809</v>
      </c>
      <c r="K91" s="1">
        <v>225</v>
      </c>
      <c r="L91" s="1">
        <v>327</v>
      </c>
      <c r="M91" s="1">
        <v>552</v>
      </c>
      <c r="N91" s="1">
        <v>128</v>
      </c>
      <c r="O91" s="1">
        <v>149</v>
      </c>
      <c r="P91" s="1">
        <v>277</v>
      </c>
      <c r="Q91" s="1">
        <v>87</v>
      </c>
      <c r="R91" s="1">
        <v>150</v>
      </c>
      <c r="S91" s="1">
        <v>237</v>
      </c>
      <c r="T91" s="1">
        <v>4</v>
      </c>
      <c r="U91" s="1">
        <v>8</v>
      </c>
      <c r="V91" s="1">
        <v>12</v>
      </c>
      <c r="W91" s="1">
        <f t="shared" ref="W91:X91" si="806">SUM(E91,H91,K91,N91,Q91,T91)</f>
        <v>914</v>
      </c>
      <c r="X91" s="1">
        <f t="shared" si="806"/>
        <v>1063</v>
      </c>
      <c r="Y91" s="1">
        <f t="shared" si="1"/>
        <v>1977</v>
      </c>
      <c r="Z91" s="1">
        <f t="shared" ref="Z91:AA91" si="807">W91-T91</f>
        <v>910</v>
      </c>
      <c r="AA91" s="1">
        <f t="shared" si="807"/>
        <v>1055</v>
      </c>
      <c r="AB91" s="1">
        <f t="shared" si="3"/>
        <v>1965</v>
      </c>
      <c r="AC91" s="1">
        <f t="shared" ref="AC91:AD91" si="808">SUM(E91,H91,K91,N91)</f>
        <v>823</v>
      </c>
      <c r="AD91" s="1">
        <f t="shared" si="808"/>
        <v>905</v>
      </c>
      <c r="AE91" s="1">
        <f t="shared" si="5"/>
        <v>1728</v>
      </c>
      <c r="AF91" s="2">
        <f t="shared" ref="AF91:AH91" si="809">AC91/Z91</f>
        <v>0.9043956043956044</v>
      </c>
      <c r="AG91" s="2">
        <f t="shared" si="809"/>
        <v>0.85781990521327012</v>
      </c>
      <c r="AH91" s="2">
        <f t="shared" si="809"/>
        <v>0.87938931297709921</v>
      </c>
      <c r="AI91" s="1">
        <f t="shared" ref="AI91:AJ91" si="810">SUM(E91,H91,K91)</f>
        <v>695</v>
      </c>
      <c r="AJ91" s="1">
        <f t="shared" si="810"/>
        <v>756</v>
      </c>
      <c r="AK91" s="1">
        <f t="shared" si="8"/>
        <v>1451</v>
      </c>
      <c r="AL91" s="2">
        <f t="shared" ref="AL91:AN91" si="811">AI91/Z91</f>
        <v>0.76373626373626369</v>
      </c>
      <c r="AM91" s="2">
        <f t="shared" si="811"/>
        <v>0.71658767772511844</v>
      </c>
      <c r="AN91" s="2">
        <f t="shared" si="811"/>
        <v>0.73842239185750635</v>
      </c>
      <c r="AO91" s="2">
        <f t="shared" ref="AO91:AQ91" si="812">E91/Z91</f>
        <v>6.1538461538461542E-2</v>
      </c>
      <c r="AP91" s="2">
        <f t="shared" si="812"/>
        <v>3.2227488151658767E-2</v>
      </c>
      <c r="AQ91" s="2">
        <f t="shared" si="812"/>
        <v>4.5801526717557252E-2</v>
      </c>
      <c r="AR91" s="2">
        <f t="shared" si="11"/>
        <v>0.16483516483516483</v>
      </c>
      <c r="AS91" s="2">
        <f t="shared" ref="AS91:AT91" si="813">R91/AA91</f>
        <v>0.14218009478672985</v>
      </c>
      <c r="AT91" s="2">
        <f t="shared" si="813"/>
        <v>0.12061068702290076</v>
      </c>
      <c r="AU91" s="2">
        <f t="shared" ref="AU91:AW91" si="814">T91/W91</f>
        <v>4.3763676148796497E-3</v>
      </c>
      <c r="AV91" s="2">
        <f t="shared" si="733"/>
        <v>7.525870178739417E-3</v>
      </c>
      <c r="AW91" s="2">
        <f t="shared" si="733"/>
        <v>6.0698027314112293E-3</v>
      </c>
    </row>
    <row r="92" spans="1:49" ht="13" x14ac:dyDescent="0.15">
      <c r="A92" s="1">
        <v>2024</v>
      </c>
      <c r="B92" s="1" t="s">
        <v>49</v>
      </c>
      <c r="C92" s="1" t="s">
        <v>93</v>
      </c>
      <c r="D92" s="1" t="s">
        <v>155</v>
      </c>
      <c r="E92" s="1">
        <v>171</v>
      </c>
      <c r="F92" s="1">
        <v>155</v>
      </c>
      <c r="G92" s="1">
        <v>326</v>
      </c>
      <c r="H92" s="1">
        <v>1156</v>
      </c>
      <c r="I92" s="1">
        <v>1385</v>
      </c>
      <c r="J92" s="1">
        <v>2541</v>
      </c>
      <c r="K92" s="1">
        <v>329</v>
      </c>
      <c r="L92" s="1">
        <v>404</v>
      </c>
      <c r="M92" s="1">
        <v>733</v>
      </c>
      <c r="N92" s="1">
        <v>145</v>
      </c>
      <c r="O92" s="1">
        <v>202</v>
      </c>
      <c r="P92" s="1">
        <v>347</v>
      </c>
      <c r="Q92" s="1">
        <v>83</v>
      </c>
      <c r="R92" s="1">
        <v>106</v>
      </c>
      <c r="S92" s="1">
        <v>189</v>
      </c>
      <c r="T92" s="1">
        <v>38</v>
      </c>
      <c r="U92" s="1">
        <v>58</v>
      </c>
      <c r="V92" s="1">
        <v>96</v>
      </c>
      <c r="W92" s="1">
        <f t="shared" ref="W92:X92" si="815">SUM(E92,H92,K92,N92,Q92,T92)</f>
        <v>1922</v>
      </c>
      <c r="X92" s="1">
        <f t="shared" si="815"/>
        <v>2310</v>
      </c>
      <c r="Y92" s="1">
        <f t="shared" si="1"/>
        <v>4232</v>
      </c>
      <c r="Z92" s="1">
        <f t="shared" ref="Z92:AA92" si="816">W92-T92</f>
        <v>1884</v>
      </c>
      <c r="AA92" s="1">
        <f t="shared" si="816"/>
        <v>2252</v>
      </c>
      <c r="AB92" s="1">
        <f t="shared" si="3"/>
        <v>4136</v>
      </c>
      <c r="AC92" s="1">
        <f t="shared" ref="AC92:AD92" si="817">SUM(E92,H92,K92,N92)</f>
        <v>1801</v>
      </c>
      <c r="AD92" s="1">
        <f t="shared" si="817"/>
        <v>2146</v>
      </c>
      <c r="AE92" s="1">
        <f t="shared" si="5"/>
        <v>3947</v>
      </c>
      <c r="AF92" s="2">
        <f t="shared" ref="AF92:AH92" si="818">AC92/Z92</f>
        <v>0.95594479830148615</v>
      </c>
      <c r="AG92" s="2">
        <f t="shared" si="818"/>
        <v>0.95293072824156311</v>
      </c>
      <c r="AH92" s="2">
        <f t="shared" si="818"/>
        <v>0.95430367504835589</v>
      </c>
      <c r="AI92" s="1">
        <f t="shared" ref="AI92:AJ92" si="819">SUM(E92,H92,K92)</f>
        <v>1656</v>
      </c>
      <c r="AJ92" s="1">
        <f t="shared" si="819"/>
        <v>1944</v>
      </c>
      <c r="AK92" s="1">
        <f t="shared" si="8"/>
        <v>3600</v>
      </c>
      <c r="AL92" s="2">
        <f t="shared" ref="AL92:AN92" si="820">AI92/Z92</f>
        <v>0.87898089171974525</v>
      </c>
      <c r="AM92" s="2">
        <f t="shared" si="820"/>
        <v>0.86323268206039072</v>
      </c>
      <c r="AN92" s="2">
        <f t="shared" si="820"/>
        <v>0.87040618955512572</v>
      </c>
      <c r="AO92" s="2">
        <f t="shared" ref="AO92:AQ92" si="821">E92/Z92</f>
        <v>9.0764331210191077E-2</v>
      </c>
      <c r="AP92" s="2">
        <f t="shared" si="821"/>
        <v>6.8827708703374776E-2</v>
      </c>
      <c r="AQ92" s="2">
        <f t="shared" si="821"/>
        <v>7.8820116054158604E-2</v>
      </c>
      <c r="AR92" s="2">
        <f t="shared" si="11"/>
        <v>5.6263269639065819E-2</v>
      </c>
      <c r="AS92" s="2">
        <f t="shared" ref="AS92:AT92" si="822">R92/AA92</f>
        <v>4.7069271758436948E-2</v>
      </c>
      <c r="AT92" s="2">
        <f t="shared" si="822"/>
        <v>4.56963249516441E-2</v>
      </c>
      <c r="AU92" s="2">
        <f t="shared" ref="AU92:AW92" si="823">T92/W92</f>
        <v>1.9771071800208116E-2</v>
      </c>
      <c r="AV92" s="2">
        <f t="shared" si="733"/>
        <v>2.5108225108225107E-2</v>
      </c>
      <c r="AW92" s="2">
        <f t="shared" si="733"/>
        <v>2.2684310018903593E-2</v>
      </c>
    </row>
    <row r="93" spans="1:49" ht="13" x14ac:dyDescent="0.15">
      <c r="A93" s="1">
        <v>2024</v>
      </c>
      <c r="B93" s="1" t="s">
        <v>117</v>
      </c>
      <c r="C93" s="1" t="s">
        <v>101</v>
      </c>
      <c r="D93" s="1" t="s">
        <v>156</v>
      </c>
      <c r="E93" s="1">
        <v>275</v>
      </c>
      <c r="F93" s="1">
        <v>185</v>
      </c>
      <c r="G93" s="1">
        <v>460</v>
      </c>
      <c r="H93" s="1">
        <v>1828</v>
      </c>
      <c r="I93" s="1">
        <v>1907</v>
      </c>
      <c r="J93" s="1">
        <v>3735</v>
      </c>
      <c r="K93" s="1">
        <v>420</v>
      </c>
      <c r="L93" s="1">
        <v>559</v>
      </c>
      <c r="M93" s="1">
        <v>979</v>
      </c>
      <c r="N93" s="1">
        <v>153</v>
      </c>
      <c r="O93" s="1">
        <v>213</v>
      </c>
      <c r="P93" s="1">
        <v>366</v>
      </c>
      <c r="Q93" s="1">
        <v>88</v>
      </c>
      <c r="R93" s="1">
        <v>152</v>
      </c>
      <c r="S93" s="1">
        <v>240</v>
      </c>
      <c r="T93" s="1">
        <v>34</v>
      </c>
      <c r="U93" s="1">
        <v>38</v>
      </c>
      <c r="V93" s="1">
        <v>72</v>
      </c>
      <c r="W93" s="1">
        <f t="shared" ref="W93:X93" si="824">SUM(E93,H93,K93,N93,Q93,T93)</f>
        <v>2798</v>
      </c>
      <c r="X93" s="1">
        <f t="shared" si="824"/>
        <v>3054</v>
      </c>
      <c r="Y93" s="1">
        <f t="shared" si="1"/>
        <v>5852</v>
      </c>
      <c r="Z93" s="1">
        <f t="shared" ref="Z93:AA93" si="825">W93-T93</f>
        <v>2764</v>
      </c>
      <c r="AA93" s="1">
        <f t="shared" si="825"/>
        <v>3016</v>
      </c>
      <c r="AB93" s="1">
        <f t="shared" si="3"/>
        <v>5780</v>
      </c>
      <c r="AC93" s="1">
        <f t="shared" ref="AC93:AD93" si="826">SUM(E93,H93,K93,N93)</f>
        <v>2676</v>
      </c>
      <c r="AD93" s="1">
        <f t="shared" si="826"/>
        <v>2864</v>
      </c>
      <c r="AE93" s="1">
        <f t="shared" si="5"/>
        <v>5540</v>
      </c>
      <c r="AF93" s="2">
        <f t="shared" ref="AF93:AH93" si="827">AC93/Z93</f>
        <v>0.96816208393632419</v>
      </c>
      <c r="AG93" s="2">
        <f t="shared" si="827"/>
        <v>0.9496021220159151</v>
      </c>
      <c r="AH93" s="2">
        <f t="shared" si="827"/>
        <v>0.95847750865051906</v>
      </c>
      <c r="AI93" s="1">
        <f t="shared" ref="AI93:AJ93" si="828">SUM(E93,H93,K93)</f>
        <v>2523</v>
      </c>
      <c r="AJ93" s="1">
        <f t="shared" si="828"/>
        <v>2651</v>
      </c>
      <c r="AK93" s="1">
        <f t="shared" si="8"/>
        <v>5174</v>
      </c>
      <c r="AL93" s="2">
        <f t="shared" ref="AL93:AN93" si="829">AI93/Z93</f>
        <v>0.91280752532561504</v>
      </c>
      <c r="AM93" s="2">
        <f t="shared" si="829"/>
        <v>0.87897877984084882</v>
      </c>
      <c r="AN93" s="2">
        <f t="shared" si="829"/>
        <v>0.8951557093425605</v>
      </c>
      <c r="AO93" s="2">
        <f t="shared" ref="AO93:AQ93" si="830">E93/Z93</f>
        <v>9.9493487698986971E-2</v>
      </c>
      <c r="AP93" s="2">
        <f t="shared" si="830"/>
        <v>6.1339522546419098E-2</v>
      </c>
      <c r="AQ93" s="2">
        <f t="shared" si="830"/>
        <v>7.9584775086505188E-2</v>
      </c>
      <c r="AR93" s="2">
        <f t="shared" si="11"/>
        <v>5.4992764109985527E-2</v>
      </c>
      <c r="AS93" s="2">
        <f t="shared" ref="AS93:AT93" si="831">R93/AA93</f>
        <v>5.0397877984084884E-2</v>
      </c>
      <c r="AT93" s="2">
        <f t="shared" si="831"/>
        <v>4.1522491349480967E-2</v>
      </c>
      <c r="AU93" s="2">
        <f t="shared" ref="AU93:AW93" si="832">T93/W93</f>
        <v>1.2151536812008578E-2</v>
      </c>
      <c r="AV93" s="2">
        <f t="shared" si="733"/>
        <v>1.2442698100851343E-2</v>
      </c>
      <c r="AW93" s="2">
        <f t="shared" si="733"/>
        <v>1.2303485987696514E-2</v>
      </c>
    </row>
    <row r="94" spans="1:49" ht="13" x14ac:dyDescent="0.15">
      <c r="A94" s="1">
        <v>2024</v>
      </c>
      <c r="B94" s="1" t="s">
        <v>49</v>
      </c>
      <c r="C94" s="1" t="s">
        <v>101</v>
      </c>
      <c r="D94" s="1" t="s">
        <v>157</v>
      </c>
      <c r="E94" s="1">
        <v>320</v>
      </c>
      <c r="F94" s="1">
        <v>341</v>
      </c>
      <c r="G94" s="1">
        <v>661</v>
      </c>
      <c r="H94" s="1">
        <v>2701</v>
      </c>
      <c r="I94" s="1">
        <v>3098</v>
      </c>
      <c r="J94" s="1">
        <v>5799</v>
      </c>
      <c r="K94" s="1">
        <v>556</v>
      </c>
      <c r="L94" s="1">
        <v>629</v>
      </c>
      <c r="M94" s="1">
        <v>1185</v>
      </c>
      <c r="N94" s="1">
        <v>183</v>
      </c>
      <c r="O94" s="1">
        <v>205</v>
      </c>
      <c r="P94" s="1">
        <v>388</v>
      </c>
      <c r="Q94" s="1">
        <v>95</v>
      </c>
      <c r="R94" s="1">
        <v>115</v>
      </c>
      <c r="S94" s="1">
        <v>210</v>
      </c>
      <c r="T94" s="1">
        <v>37</v>
      </c>
      <c r="U94" s="1">
        <v>42</v>
      </c>
      <c r="V94" s="1">
        <v>79</v>
      </c>
      <c r="W94" s="1">
        <f t="shared" ref="W94:X94" si="833">SUM(E94,H94,K94,N94,Q94,T94)</f>
        <v>3892</v>
      </c>
      <c r="X94" s="1">
        <f t="shared" si="833"/>
        <v>4430</v>
      </c>
      <c r="Y94" s="1">
        <f t="shared" si="1"/>
        <v>8322</v>
      </c>
      <c r="Z94" s="1">
        <f t="shared" ref="Z94:AA94" si="834">W94-T94</f>
        <v>3855</v>
      </c>
      <c r="AA94" s="1">
        <f t="shared" si="834"/>
        <v>4388</v>
      </c>
      <c r="AB94" s="1">
        <f t="shared" si="3"/>
        <v>8243</v>
      </c>
      <c r="AC94" s="1">
        <f t="shared" ref="AC94:AD94" si="835">SUM(E94,H94,K94,N94)</f>
        <v>3760</v>
      </c>
      <c r="AD94" s="1">
        <f t="shared" si="835"/>
        <v>4273</v>
      </c>
      <c r="AE94" s="1">
        <f t="shared" si="5"/>
        <v>8033</v>
      </c>
      <c r="AF94" s="2">
        <f t="shared" ref="AF94:AH94" si="836">AC94/Z94</f>
        <v>0.97535667963683526</v>
      </c>
      <c r="AG94" s="2">
        <f t="shared" si="836"/>
        <v>0.97379216043755701</v>
      </c>
      <c r="AH94" s="2">
        <f t="shared" si="836"/>
        <v>0.97452383840834644</v>
      </c>
      <c r="AI94" s="1">
        <f t="shared" ref="AI94:AJ94" si="837">SUM(E94,H94,K94)</f>
        <v>3577</v>
      </c>
      <c r="AJ94" s="1">
        <f t="shared" si="837"/>
        <v>4068</v>
      </c>
      <c r="AK94" s="1">
        <f t="shared" si="8"/>
        <v>7645</v>
      </c>
      <c r="AL94" s="2">
        <f t="shared" ref="AL94:AN94" si="838">AI94/Z94</f>
        <v>0.92788586251621274</v>
      </c>
      <c r="AM94" s="2">
        <f t="shared" si="838"/>
        <v>0.92707383773928898</v>
      </c>
      <c r="AN94" s="2">
        <f t="shared" si="838"/>
        <v>0.92745359699138663</v>
      </c>
      <c r="AO94" s="2">
        <f t="shared" ref="AO94:AQ94" si="839">E94/Z94</f>
        <v>8.3009079118028531E-2</v>
      </c>
      <c r="AP94" s="2">
        <f t="shared" si="839"/>
        <v>7.7711941659070194E-2</v>
      </c>
      <c r="AQ94" s="2">
        <f t="shared" si="839"/>
        <v>8.018925148610942E-2</v>
      </c>
      <c r="AR94" s="2">
        <f t="shared" si="11"/>
        <v>2.9831387808041506E-2</v>
      </c>
      <c r="AS94" s="2">
        <f t="shared" ref="AS94:AT94" si="840">R94/AA94</f>
        <v>2.6207839562443026E-2</v>
      </c>
      <c r="AT94" s="2">
        <f t="shared" si="840"/>
        <v>2.5476161591653525E-2</v>
      </c>
      <c r="AU94" s="2">
        <f t="shared" ref="AU94:AW94" si="841">T94/W94</f>
        <v>9.5066803699897229E-3</v>
      </c>
      <c r="AV94" s="2">
        <f t="shared" si="733"/>
        <v>9.4808126410835213E-3</v>
      </c>
      <c r="AW94" s="2">
        <f t="shared" si="733"/>
        <v>9.4929103580869978E-3</v>
      </c>
    </row>
    <row r="95" spans="1:49" ht="13" x14ac:dyDescent="0.15">
      <c r="A95" s="1">
        <v>2024</v>
      </c>
      <c r="B95" s="1" t="s">
        <v>49</v>
      </c>
      <c r="C95" s="1" t="s">
        <v>50</v>
      </c>
      <c r="D95" s="1" t="s">
        <v>158</v>
      </c>
      <c r="E95" s="1">
        <v>641</v>
      </c>
      <c r="F95" s="1">
        <v>564</v>
      </c>
      <c r="G95" s="1">
        <v>1205</v>
      </c>
      <c r="H95" s="1">
        <v>1750</v>
      </c>
      <c r="I95" s="1">
        <v>2169</v>
      </c>
      <c r="J95" s="1">
        <v>3919</v>
      </c>
      <c r="K95" s="1">
        <v>360</v>
      </c>
      <c r="L95" s="1">
        <v>508</v>
      </c>
      <c r="M95" s="1">
        <v>868</v>
      </c>
      <c r="N95" s="1">
        <v>132</v>
      </c>
      <c r="O95" s="1">
        <v>201</v>
      </c>
      <c r="P95" s="1">
        <v>333</v>
      </c>
      <c r="Q95" s="1">
        <v>87</v>
      </c>
      <c r="R95" s="1">
        <v>94</v>
      </c>
      <c r="S95" s="1">
        <v>181</v>
      </c>
      <c r="T95" s="1">
        <v>55</v>
      </c>
      <c r="U95" s="1">
        <v>42</v>
      </c>
      <c r="V95" s="1">
        <v>97</v>
      </c>
      <c r="W95" s="1">
        <f t="shared" ref="W95:X95" si="842">SUM(E95,H95,K95,N95,Q95,T95)</f>
        <v>3025</v>
      </c>
      <c r="X95" s="1">
        <f t="shared" si="842"/>
        <v>3578</v>
      </c>
      <c r="Y95" s="1">
        <f t="shared" si="1"/>
        <v>6603</v>
      </c>
      <c r="Z95" s="1">
        <f t="shared" ref="Z95:AA95" si="843">W95-T95</f>
        <v>2970</v>
      </c>
      <c r="AA95" s="1">
        <f t="shared" si="843"/>
        <v>3536</v>
      </c>
      <c r="AB95" s="1">
        <f t="shared" si="3"/>
        <v>6506</v>
      </c>
      <c r="AC95" s="1">
        <f t="shared" ref="AC95:AD95" si="844">SUM(E95,H95,K95,N95)</f>
        <v>2883</v>
      </c>
      <c r="AD95" s="1">
        <f t="shared" si="844"/>
        <v>3442</v>
      </c>
      <c r="AE95" s="1">
        <f t="shared" si="5"/>
        <v>6325</v>
      </c>
      <c r="AF95" s="2">
        <f t="shared" ref="AF95:AH95" si="845">AC95/Z95</f>
        <v>0.97070707070707074</v>
      </c>
      <c r="AG95" s="2">
        <f t="shared" si="845"/>
        <v>0.97341628959276016</v>
      </c>
      <c r="AH95" s="2">
        <f t="shared" si="845"/>
        <v>0.97217952659083917</v>
      </c>
      <c r="AI95" s="1">
        <f t="shared" ref="AI95:AJ95" si="846">SUM(E95,H95,K95)</f>
        <v>2751</v>
      </c>
      <c r="AJ95" s="1">
        <f t="shared" si="846"/>
        <v>3241</v>
      </c>
      <c r="AK95" s="1">
        <f t="shared" si="8"/>
        <v>5992</v>
      </c>
      <c r="AL95" s="2">
        <f t="shared" ref="AL95:AN95" si="847">AI95/Z95</f>
        <v>0.92626262626262623</v>
      </c>
      <c r="AM95" s="2">
        <f t="shared" si="847"/>
        <v>0.91657239819004521</v>
      </c>
      <c r="AN95" s="2">
        <f t="shared" si="847"/>
        <v>0.92099600368890255</v>
      </c>
      <c r="AO95" s="2">
        <f t="shared" ref="AO95:AQ95" si="848">E95/Z95</f>
        <v>0.21582491582491584</v>
      </c>
      <c r="AP95" s="2">
        <f t="shared" si="848"/>
        <v>0.1595022624434389</v>
      </c>
      <c r="AQ95" s="2">
        <f t="shared" si="848"/>
        <v>0.18521364893944051</v>
      </c>
      <c r="AR95" s="2">
        <f t="shared" si="11"/>
        <v>3.164983164983165E-2</v>
      </c>
      <c r="AS95" s="2">
        <f t="shared" ref="AS95:AT95" si="849">R95/AA95</f>
        <v>2.6583710407239818E-2</v>
      </c>
      <c r="AT95" s="2">
        <f t="shared" si="849"/>
        <v>2.7820473409160773E-2</v>
      </c>
      <c r="AU95" s="2">
        <f t="shared" ref="AU95:AW95" si="850">T95/W95</f>
        <v>1.8181818181818181E-2</v>
      </c>
      <c r="AV95" s="2">
        <f t="shared" si="733"/>
        <v>1.1738401341531582E-2</v>
      </c>
      <c r="AW95" s="2">
        <f t="shared" si="733"/>
        <v>1.4690292291382705E-2</v>
      </c>
    </row>
    <row r="96" spans="1:49" ht="13" x14ac:dyDescent="0.15">
      <c r="A96" s="1">
        <v>2024</v>
      </c>
      <c r="B96" s="1" t="s">
        <v>66</v>
      </c>
      <c r="C96" s="1" t="s">
        <v>78</v>
      </c>
      <c r="D96" s="1" t="s">
        <v>159</v>
      </c>
      <c r="E96" s="1">
        <v>21</v>
      </c>
      <c r="F96" s="1">
        <v>3</v>
      </c>
      <c r="G96" s="1">
        <v>24</v>
      </c>
      <c r="H96" s="1">
        <v>706</v>
      </c>
      <c r="I96" s="1">
        <v>333</v>
      </c>
      <c r="J96" s="1">
        <v>1039</v>
      </c>
      <c r="K96" s="1">
        <v>465</v>
      </c>
      <c r="L96" s="1">
        <v>548</v>
      </c>
      <c r="M96" s="1">
        <v>1013</v>
      </c>
      <c r="N96" s="1">
        <v>289</v>
      </c>
      <c r="O96" s="1">
        <v>211</v>
      </c>
      <c r="P96" s="1">
        <v>500</v>
      </c>
      <c r="Q96" s="1">
        <v>161</v>
      </c>
      <c r="R96" s="1">
        <v>231</v>
      </c>
      <c r="S96" s="1">
        <v>392</v>
      </c>
      <c r="T96" s="1">
        <v>16</v>
      </c>
      <c r="U96" s="1">
        <v>13</v>
      </c>
      <c r="V96" s="1">
        <v>29</v>
      </c>
      <c r="W96" s="1">
        <f t="shared" ref="W96:X96" si="851">SUM(E96,H96,K96,N96,Q96,T96)</f>
        <v>1658</v>
      </c>
      <c r="X96" s="1">
        <f t="shared" si="851"/>
        <v>1339</v>
      </c>
      <c r="Y96" s="1">
        <f t="shared" si="1"/>
        <v>2997</v>
      </c>
      <c r="Z96" s="1">
        <f t="shared" ref="Z96:AA96" si="852">W96-T96</f>
        <v>1642</v>
      </c>
      <c r="AA96" s="1">
        <f t="shared" si="852"/>
        <v>1326</v>
      </c>
      <c r="AB96" s="1">
        <f t="shared" si="3"/>
        <v>2968</v>
      </c>
      <c r="AC96" s="1">
        <f t="shared" ref="AC96:AD96" si="853">SUM(E96,H96,K96,N96)</f>
        <v>1481</v>
      </c>
      <c r="AD96" s="1">
        <f t="shared" si="853"/>
        <v>1095</v>
      </c>
      <c r="AE96" s="1">
        <f t="shared" si="5"/>
        <v>2576</v>
      </c>
      <c r="AF96" s="2">
        <f t="shared" ref="AF96:AH96" si="854">AC96/Z96</f>
        <v>0.90194884287454324</v>
      </c>
      <c r="AG96" s="2">
        <f t="shared" si="854"/>
        <v>0.82579185520361986</v>
      </c>
      <c r="AH96" s="2">
        <f t="shared" si="854"/>
        <v>0.86792452830188682</v>
      </c>
      <c r="AI96" s="1">
        <f t="shared" ref="AI96:AJ96" si="855">SUM(E96,H96,K96)</f>
        <v>1192</v>
      </c>
      <c r="AJ96" s="1">
        <f t="shared" si="855"/>
        <v>884</v>
      </c>
      <c r="AK96" s="1">
        <f t="shared" si="8"/>
        <v>2076</v>
      </c>
      <c r="AL96" s="2">
        <f t="shared" ref="AL96:AN96" si="856">AI96/Z96</f>
        <v>0.72594397076735684</v>
      </c>
      <c r="AM96" s="2">
        <f t="shared" si="856"/>
        <v>0.66666666666666663</v>
      </c>
      <c r="AN96" s="2">
        <f t="shared" si="856"/>
        <v>0.69946091644204855</v>
      </c>
      <c r="AO96" s="2">
        <f t="shared" ref="AO96:AQ96" si="857">E96/Z96</f>
        <v>1.2789281364190013E-2</v>
      </c>
      <c r="AP96" s="2">
        <f t="shared" si="857"/>
        <v>2.2624434389140274E-3</v>
      </c>
      <c r="AQ96" s="2">
        <f t="shared" si="857"/>
        <v>8.0862533692722376E-3</v>
      </c>
      <c r="AR96" s="2">
        <f t="shared" si="11"/>
        <v>0.14068209500609014</v>
      </c>
      <c r="AS96" s="2">
        <f t="shared" ref="AS96:AT96" si="858">R96/AA96</f>
        <v>0.17420814479638008</v>
      </c>
      <c r="AT96" s="2">
        <f t="shared" si="858"/>
        <v>0.13207547169811321</v>
      </c>
      <c r="AU96" s="2">
        <f t="shared" ref="AU96:AW96" si="859">T96/W96</f>
        <v>9.6501809408926411E-3</v>
      </c>
      <c r="AV96" s="2">
        <f t="shared" si="733"/>
        <v>9.7087378640776691E-3</v>
      </c>
      <c r="AW96" s="2">
        <f t="shared" si="733"/>
        <v>9.6763430096763435E-3</v>
      </c>
    </row>
    <row r="97" spans="1:49" ht="13" x14ac:dyDescent="0.15">
      <c r="A97" s="1">
        <v>2024</v>
      </c>
      <c r="B97" s="1" t="s">
        <v>49</v>
      </c>
      <c r="C97" s="1" t="s">
        <v>80</v>
      </c>
      <c r="D97" s="1" t="s">
        <v>160</v>
      </c>
      <c r="E97" s="1">
        <v>739</v>
      </c>
      <c r="F97" s="1">
        <v>622</v>
      </c>
      <c r="G97" s="1">
        <v>1361</v>
      </c>
      <c r="H97" s="1">
        <v>1965</v>
      </c>
      <c r="I97" s="1">
        <v>1994</v>
      </c>
      <c r="J97" s="1">
        <v>3959</v>
      </c>
      <c r="K97" s="1">
        <v>640</v>
      </c>
      <c r="L97" s="1">
        <v>845</v>
      </c>
      <c r="M97" s="1">
        <v>1485</v>
      </c>
      <c r="N97" s="1">
        <v>335</v>
      </c>
      <c r="O97" s="1">
        <v>335</v>
      </c>
      <c r="P97" s="1">
        <v>670</v>
      </c>
      <c r="Q97" s="1">
        <v>349</v>
      </c>
      <c r="R97" s="1">
        <v>468</v>
      </c>
      <c r="S97" s="1">
        <v>817</v>
      </c>
      <c r="T97" s="1">
        <v>44</v>
      </c>
      <c r="U97" s="1">
        <v>31</v>
      </c>
      <c r="V97" s="1">
        <v>75</v>
      </c>
      <c r="W97" s="1">
        <f t="shared" ref="W97:X97" si="860">SUM(E97,H97,K97,N97,Q97,T97)</f>
        <v>4072</v>
      </c>
      <c r="X97" s="1">
        <f t="shared" si="860"/>
        <v>4295</v>
      </c>
      <c r="Y97" s="1">
        <f t="shared" si="1"/>
        <v>8367</v>
      </c>
      <c r="Z97" s="1">
        <f t="shared" ref="Z97:AA97" si="861">W97-T97</f>
        <v>4028</v>
      </c>
      <c r="AA97" s="1">
        <f t="shared" si="861"/>
        <v>4264</v>
      </c>
      <c r="AB97" s="1">
        <f t="shared" si="3"/>
        <v>8292</v>
      </c>
      <c r="AC97" s="1">
        <f t="shared" ref="AC97:AD97" si="862">SUM(E97,H97,K97,N97)</f>
        <v>3679</v>
      </c>
      <c r="AD97" s="1">
        <f t="shared" si="862"/>
        <v>3796</v>
      </c>
      <c r="AE97" s="1">
        <f t="shared" si="5"/>
        <v>7475</v>
      </c>
      <c r="AF97" s="2">
        <f t="shared" ref="AF97:AH97" si="863">AC97/Z97</f>
        <v>0.91335650446871897</v>
      </c>
      <c r="AG97" s="2">
        <f t="shared" si="863"/>
        <v>0.8902439024390244</v>
      </c>
      <c r="AH97" s="2">
        <f t="shared" si="863"/>
        <v>0.90147129763627598</v>
      </c>
      <c r="AI97" s="1">
        <f t="shared" ref="AI97:AJ97" si="864">SUM(E97,H97,K97)</f>
        <v>3344</v>
      </c>
      <c r="AJ97" s="1">
        <f t="shared" si="864"/>
        <v>3461</v>
      </c>
      <c r="AK97" s="1">
        <f t="shared" si="8"/>
        <v>6805</v>
      </c>
      <c r="AL97" s="2">
        <f t="shared" ref="AL97:AN97" si="865">AI97/Z97</f>
        <v>0.83018867924528306</v>
      </c>
      <c r="AM97" s="2">
        <f t="shared" si="865"/>
        <v>0.81167917448405258</v>
      </c>
      <c r="AN97" s="2">
        <f t="shared" si="865"/>
        <v>0.8206705258080077</v>
      </c>
      <c r="AO97" s="2">
        <f t="shared" ref="AO97:AQ97" si="866">E97/Z97</f>
        <v>0.18346573982125125</v>
      </c>
      <c r="AP97" s="2">
        <f t="shared" si="866"/>
        <v>0.14587242026266417</v>
      </c>
      <c r="AQ97" s="2">
        <f t="shared" si="866"/>
        <v>0.16413410516160154</v>
      </c>
      <c r="AR97" s="2">
        <f t="shared" si="11"/>
        <v>0.11618669314796425</v>
      </c>
      <c r="AS97" s="2">
        <f t="shared" ref="AS97:AT97" si="867">R97/AA97</f>
        <v>0.10975609756097561</v>
      </c>
      <c r="AT97" s="2">
        <f t="shared" si="867"/>
        <v>9.8528702363724074E-2</v>
      </c>
      <c r="AU97" s="2">
        <f t="shared" ref="AU97:AW97" si="868">T97/W97</f>
        <v>1.0805500982318271E-2</v>
      </c>
      <c r="AV97" s="2">
        <f t="shared" si="733"/>
        <v>7.2176949941792782E-3</v>
      </c>
      <c r="AW97" s="2">
        <f t="shared" si="733"/>
        <v>8.963786303334529E-3</v>
      </c>
    </row>
    <row r="98" spans="1:49" ht="13" x14ac:dyDescent="0.15">
      <c r="A98" s="1">
        <v>2024</v>
      </c>
      <c r="B98" s="1" t="s">
        <v>49</v>
      </c>
      <c r="C98" s="1" t="s">
        <v>89</v>
      </c>
      <c r="D98" s="1" t="s">
        <v>161</v>
      </c>
      <c r="E98" s="1">
        <v>47</v>
      </c>
      <c r="F98" s="1">
        <v>41</v>
      </c>
      <c r="G98" s="1">
        <v>88</v>
      </c>
      <c r="H98" s="1">
        <v>1114</v>
      </c>
      <c r="I98" s="1">
        <v>1301</v>
      </c>
      <c r="J98" s="1">
        <v>2415</v>
      </c>
      <c r="K98" s="1">
        <v>702</v>
      </c>
      <c r="L98" s="1">
        <v>1001</v>
      </c>
      <c r="M98" s="1">
        <v>1703</v>
      </c>
      <c r="N98" s="1">
        <v>342</v>
      </c>
      <c r="O98" s="1">
        <v>421</v>
      </c>
      <c r="P98" s="1">
        <v>763</v>
      </c>
      <c r="Q98" s="1">
        <v>273</v>
      </c>
      <c r="R98" s="1">
        <v>332</v>
      </c>
      <c r="S98" s="1">
        <v>605</v>
      </c>
      <c r="T98" s="1">
        <v>40</v>
      </c>
      <c r="U98" s="1">
        <v>42</v>
      </c>
      <c r="V98" s="1">
        <v>82</v>
      </c>
      <c r="W98" s="1">
        <f t="shared" ref="W98:X98" si="869">SUM(E98,H98,K98,N98,Q98,T98)</f>
        <v>2518</v>
      </c>
      <c r="X98" s="1">
        <f t="shared" si="869"/>
        <v>3138</v>
      </c>
      <c r="Y98" s="1">
        <f t="shared" si="1"/>
        <v>5656</v>
      </c>
      <c r="Z98" s="1">
        <f t="shared" ref="Z98:AA98" si="870">W98-T98</f>
        <v>2478</v>
      </c>
      <c r="AA98" s="1">
        <f t="shared" si="870"/>
        <v>3096</v>
      </c>
      <c r="AB98" s="1">
        <f t="shared" si="3"/>
        <v>5574</v>
      </c>
      <c r="AC98" s="1">
        <f t="shared" ref="AC98:AD98" si="871">SUM(E98,H98,K98,N98)</f>
        <v>2205</v>
      </c>
      <c r="AD98" s="1">
        <f t="shared" si="871"/>
        <v>2764</v>
      </c>
      <c r="AE98" s="1">
        <f t="shared" si="5"/>
        <v>4969</v>
      </c>
      <c r="AF98" s="2">
        <f t="shared" ref="AF98:AH98" si="872">AC98/Z98</f>
        <v>0.88983050847457623</v>
      </c>
      <c r="AG98" s="2">
        <f t="shared" si="872"/>
        <v>0.89276485788113691</v>
      </c>
      <c r="AH98" s="2">
        <f t="shared" si="872"/>
        <v>0.89146035163257986</v>
      </c>
      <c r="AI98" s="1">
        <f t="shared" ref="AI98:AJ98" si="873">SUM(E98,H98,K98)</f>
        <v>1863</v>
      </c>
      <c r="AJ98" s="1">
        <f t="shared" si="873"/>
        <v>2343</v>
      </c>
      <c r="AK98" s="1">
        <f t="shared" si="8"/>
        <v>4206</v>
      </c>
      <c r="AL98" s="2">
        <f t="shared" ref="AL98:AN98" si="874">AI98/Z98</f>
        <v>0.75181598062953992</v>
      </c>
      <c r="AM98" s="2">
        <f t="shared" si="874"/>
        <v>0.75678294573643412</v>
      </c>
      <c r="AN98" s="2">
        <f t="shared" si="874"/>
        <v>0.75457481162540363</v>
      </c>
      <c r="AO98" s="2">
        <f t="shared" ref="AO98:AQ98" si="875">E98/Z98</f>
        <v>1.8966908797417272E-2</v>
      </c>
      <c r="AP98" s="2">
        <f t="shared" si="875"/>
        <v>1.3242894056847546E-2</v>
      </c>
      <c r="AQ98" s="2">
        <f t="shared" si="875"/>
        <v>1.5787585217079295E-2</v>
      </c>
      <c r="AR98" s="2">
        <f t="shared" si="11"/>
        <v>0.13397901533494755</v>
      </c>
      <c r="AS98" s="2">
        <f t="shared" ref="AS98:AT98" si="876">R98/AA98</f>
        <v>0.10723514211886305</v>
      </c>
      <c r="AT98" s="2">
        <f t="shared" si="876"/>
        <v>0.10853964836742017</v>
      </c>
      <c r="AU98" s="2">
        <f t="shared" ref="AU98:AW113" si="877">T98/W98</f>
        <v>1.5885623510722795E-2</v>
      </c>
      <c r="AV98" s="2">
        <f t="shared" si="877"/>
        <v>1.338432122370937E-2</v>
      </c>
      <c r="AW98" s="2">
        <f t="shared" si="877"/>
        <v>1.4497878359264497E-2</v>
      </c>
    </row>
    <row r="99" spans="1:49" ht="13" x14ac:dyDescent="0.15">
      <c r="A99" s="1">
        <v>2024</v>
      </c>
      <c r="B99" s="1" t="s">
        <v>49</v>
      </c>
      <c r="C99" s="1" t="s">
        <v>93</v>
      </c>
      <c r="D99" s="1" t="s">
        <v>162</v>
      </c>
      <c r="E99" s="1">
        <v>971</v>
      </c>
      <c r="F99" s="1">
        <v>785</v>
      </c>
      <c r="G99" s="1">
        <v>1756</v>
      </c>
      <c r="H99" s="1">
        <v>4090</v>
      </c>
      <c r="I99" s="1">
        <v>4887</v>
      </c>
      <c r="J99" s="1">
        <v>8977</v>
      </c>
      <c r="K99" s="1">
        <v>1111</v>
      </c>
      <c r="L99" s="1">
        <v>1694</v>
      </c>
      <c r="M99" s="1">
        <v>2805</v>
      </c>
      <c r="N99" s="1">
        <v>569</v>
      </c>
      <c r="O99" s="1">
        <v>681</v>
      </c>
      <c r="P99" s="1">
        <v>1250</v>
      </c>
      <c r="Q99" s="1">
        <v>476</v>
      </c>
      <c r="R99" s="1">
        <v>609</v>
      </c>
      <c r="S99" s="1">
        <v>1085</v>
      </c>
      <c r="T99" s="1">
        <v>133</v>
      </c>
      <c r="U99" s="1">
        <v>156</v>
      </c>
      <c r="V99" s="1">
        <v>289</v>
      </c>
      <c r="W99" s="1">
        <f t="shared" ref="W99:X99" si="878">SUM(E99,H99,K99,N99,Q99,T99)</f>
        <v>7350</v>
      </c>
      <c r="X99" s="1">
        <f t="shared" si="878"/>
        <v>8812</v>
      </c>
      <c r="Y99" s="1">
        <f t="shared" si="1"/>
        <v>16162</v>
      </c>
      <c r="Z99" s="1">
        <f t="shared" ref="Z99:AA99" si="879">W99-T99</f>
        <v>7217</v>
      </c>
      <c r="AA99" s="1">
        <f t="shared" si="879"/>
        <v>8656</v>
      </c>
      <c r="AB99" s="1">
        <f t="shared" si="3"/>
        <v>15873</v>
      </c>
      <c r="AC99" s="1">
        <f t="shared" ref="AC99:AD99" si="880">SUM(E99,H99,K99,N99)</f>
        <v>6741</v>
      </c>
      <c r="AD99" s="1">
        <f t="shared" si="880"/>
        <v>8047</v>
      </c>
      <c r="AE99" s="1">
        <f t="shared" si="5"/>
        <v>14788</v>
      </c>
      <c r="AF99" s="2">
        <f t="shared" ref="AF99:AH99" si="881">AC99/Z99</f>
        <v>0.93404461687681861</v>
      </c>
      <c r="AG99" s="2">
        <f t="shared" si="881"/>
        <v>0.92964417744916816</v>
      </c>
      <c r="AH99" s="2">
        <f t="shared" si="881"/>
        <v>0.93164493164493167</v>
      </c>
      <c r="AI99" s="1">
        <f t="shared" ref="AI99:AJ99" si="882">SUM(E99,H99,K99)</f>
        <v>6172</v>
      </c>
      <c r="AJ99" s="1">
        <f t="shared" si="882"/>
        <v>7366</v>
      </c>
      <c r="AK99" s="1">
        <f t="shared" si="8"/>
        <v>13538</v>
      </c>
      <c r="AL99" s="2">
        <f t="shared" ref="AL99:AN99" si="883">AI99/Z99</f>
        <v>0.85520299293335178</v>
      </c>
      <c r="AM99" s="2">
        <f t="shared" si="883"/>
        <v>0.85097042513863219</v>
      </c>
      <c r="AN99" s="2">
        <f t="shared" si="883"/>
        <v>0.8528948528948529</v>
      </c>
      <c r="AO99" s="2">
        <f t="shared" ref="AO99:AQ99" si="884">E99/Z99</f>
        <v>0.13454343910211999</v>
      </c>
      <c r="AP99" s="2">
        <f t="shared" si="884"/>
        <v>9.0688539741219959E-2</v>
      </c>
      <c r="AQ99" s="2">
        <f t="shared" si="884"/>
        <v>0.11062811062811063</v>
      </c>
      <c r="AR99" s="2">
        <f t="shared" si="11"/>
        <v>8.438409311348205E-2</v>
      </c>
      <c r="AS99" s="2">
        <f t="shared" ref="AS99:AT99" si="885">R99/AA99</f>
        <v>7.0355822550831795E-2</v>
      </c>
      <c r="AT99" s="2">
        <f t="shared" si="885"/>
        <v>6.8355068355068355E-2</v>
      </c>
      <c r="AU99" s="2">
        <f t="shared" ref="AU99:AW99" si="886">T99/W99</f>
        <v>1.8095238095238095E-2</v>
      </c>
      <c r="AV99" s="2">
        <f t="shared" si="877"/>
        <v>1.7703132092601E-2</v>
      </c>
      <c r="AW99" s="2">
        <f t="shared" si="877"/>
        <v>1.7881450315555006E-2</v>
      </c>
    </row>
    <row r="100" spans="1:49" ht="13" x14ac:dyDescent="0.15">
      <c r="A100" s="1">
        <v>2024</v>
      </c>
      <c r="B100" s="1" t="s">
        <v>49</v>
      </c>
      <c r="C100" s="1" t="s">
        <v>50</v>
      </c>
      <c r="D100" s="1" t="s">
        <v>163</v>
      </c>
      <c r="E100" s="1">
        <v>415</v>
      </c>
      <c r="F100" s="1">
        <v>392</v>
      </c>
      <c r="G100" s="1">
        <v>807</v>
      </c>
      <c r="H100" s="1">
        <v>1822</v>
      </c>
      <c r="I100" s="1">
        <v>2329</v>
      </c>
      <c r="J100" s="1">
        <v>4151</v>
      </c>
      <c r="K100" s="1">
        <v>599</v>
      </c>
      <c r="L100" s="1">
        <v>838</v>
      </c>
      <c r="M100" s="1">
        <v>1437</v>
      </c>
      <c r="N100" s="1">
        <v>240</v>
      </c>
      <c r="O100" s="1">
        <v>390</v>
      </c>
      <c r="P100" s="1">
        <v>630</v>
      </c>
      <c r="Q100" s="1">
        <v>132</v>
      </c>
      <c r="R100" s="1">
        <v>191</v>
      </c>
      <c r="S100" s="1">
        <v>323</v>
      </c>
      <c r="T100" s="1">
        <v>67</v>
      </c>
      <c r="U100" s="1">
        <v>79</v>
      </c>
      <c r="V100" s="1">
        <v>146</v>
      </c>
      <c r="W100" s="1">
        <f t="shared" ref="W100:X100" si="887">SUM(E100,H100,K100,N100,Q100,T100)</f>
        <v>3275</v>
      </c>
      <c r="X100" s="1">
        <f t="shared" si="887"/>
        <v>4219</v>
      </c>
      <c r="Y100" s="1">
        <f t="shared" si="1"/>
        <v>7494</v>
      </c>
      <c r="Z100" s="1">
        <f t="shared" ref="Z100:AA100" si="888">W100-T100</f>
        <v>3208</v>
      </c>
      <c r="AA100" s="1">
        <f t="shared" si="888"/>
        <v>4140</v>
      </c>
      <c r="AB100" s="1">
        <f t="shared" si="3"/>
        <v>7348</v>
      </c>
      <c r="AC100" s="1">
        <f t="shared" ref="AC100:AD100" si="889">SUM(E100,H100,K100,N100)</f>
        <v>3076</v>
      </c>
      <c r="AD100" s="1">
        <f t="shared" si="889"/>
        <v>3949</v>
      </c>
      <c r="AE100" s="1">
        <f t="shared" si="5"/>
        <v>7025</v>
      </c>
      <c r="AF100" s="2">
        <f t="shared" ref="AF100:AH100" si="890">AC100/Z100</f>
        <v>0.95885286783042389</v>
      </c>
      <c r="AG100" s="2">
        <f t="shared" si="890"/>
        <v>0.9538647342995169</v>
      </c>
      <c r="AH100" s="2">
        <f t="shared" si="890"/>
        <v>0.95604246053347852</v>
      </c>
      <c r="AI100" s="1">
        <f t="shared" ref="AI100:AJ100" si="891">SUM(E100,H100,K100)</f>
        <v>2836</v>
      </c>
      <c r="AJ100" s="1">
        <f t="shared" si="891"/>
        <v>3559</v>
      </c>
      <c r="AK100" s="1">
        <f t="shared" si="8"/>
        <v>6395</v>
      </c>
      <c r="AL100" s="2">
        <f t="shared" ref="AL100:AN100" si="892">AI100/Z100</f>
        <v>0.88403990024937651</v>
      </c>
      <c r="AM100" s="2">
        <f t="shared" si="892"/>
        <v>0.85966183574879229</v>
      </c>
      <c r="AN100" s="2">
        <f t="shared" si="892"/>
        <v>0.87030484485574311</v>
      </c>
      <c r="AO100" s="2">
        <f t="shared" ref="AO100:AQ100" si="893">E100/Z100</f>
        <v>0.1293640897755611</v>
      </c>
      <c r="AP100" s="2">
        <f t="shared" si="893"/>
        <v>9.4685990338164258E-2</v>
      </c>
      <c r="AQ100" s="2">
        <f t="shared" si="893"/>
        <v>0.10982580293957539</v>
      </c>
      <c r="AR100" s="2">
        <f t="shared" si="11"/>
        <v>5.9538653366583538E-2</v>
      </c>
      <c r="AS100" s="2">
        <f t="shared" ref="AS100:AT100" si="894">R100/AA100</f>
        <v>4.613526570048309E-2</v>
      </c>
      <c r="AT100" s="2">
        <f t="shared" si="894"/>
        <v>4.3957539466521506E-2</v>
      </c>
      <c r="AU100" s="2">
        <f t="shared" ref="AU100:AW100" si="895">T100/W100</f>
        <v>2.0458015267175573E-2</v>
      </c>
      <c r="AV100" s="2">
        <f t="shared" si="877"/>
        <v>1.8724816307181796E-2</v>
      </c>
      <c r="AW100" s="2">
        <f t="shared" si="877"/>
        <v>1.9482252468641579E-2</v>
      </c>
    </row>
    <row r="101" spans="1:49" ht="13" x14ac:dyDescent="0.15">
      <c r="A101" s="1">
        <v>2024</v>
      </c>
      <c r="B101" s="1" t="s">
        <v>49</v>
      </c>
      <c r="C101" s="1" t="s">
        <v>50</v>
      </c>
      <c r="D101" s="1" t="s">
        <v>164</v>
      </c>
      <c r="E101" s="1">
        <v>154</v>
      </c>
      <c r="F101" s="1">
        <v>149</v>
      </c>
      <c r="G101" s="1">
        <v>303</v>
      </c>
      <c r="H101" s="1">
        <v>557</v>
      </c>
      <c r="I101" s="1">
        <v>721</v>
      </c>
      <c r="J101" s="1">
        <v>1278</v>
      </c>
      <c r="K101" s="1">
        <v>161</v>
      </c>
      <c r="L101" s="1">
        <v>318</v>
      </c>
      <c r="M101" s="1">
        <v>479</v>
      </c>
      <c r="N101" s="1">
        <v>91</v>
      </c>
      <c r="O101" s="1">
        <v>113</v>
      </c>
      <c r="P101" s="1">
        <v>204</v>
      </c>
      <c r="Q101" s="1">
        <v>23</v>
      </c>
      <c r="R101" s="1">
        <v>36</v>
      </c>
      <c r="S101" s="1">
        <v>59</v>
      </c>
      <c r="T101" s="1">
        <v>15</v>
      </c>
      <c r="U101" s="1">
        <v>21</v>
      </c>
      <c r="V101" s="1">
        <v>36</v>
      </c>
      <c r="W101" s="1">
        <f t="shared" ref="W101:X101" si="896">SUM(E101,H101,K101,N101,Q101,T101)</f>
        <v>1001</v>
      </c>
      <c r="X101" s="1">
        <f t="shared" si="896"/>
        <v>1358</v>
      </c>
      <c r="Y101" s="1">
        <f t="shared" si="1"/>
        <v>2359</v>
      </c>
      <c r="Z101" s="1">
        <f t="shared" ref="Z101:AA101" si="897">W101-T101</f>
        <v>986</v>
      </c>
      <c r="AA101" s="1">
        <f t="shared" si="897"/>
        <v>1337</v>
      </c>
      <c r="AB101" s="1">
        <f t="shared" si="3"/>
        <v>2323</v>
      </c>
      <c r="AC101" s="1">
        <f t="shared" ref="AC101:AD101" si="898">SUM(E101,H101,K101,N101)</f>
        <v>963</v>
      </c>
      <c r="AD101" s="1">
        <f t="shared" si="898"/>
        <v>1301</v>
      </c>
      <c r="AE101" s="1">
        <f t="shared" si="5"/>
        <v>2264</v>
      </c>
      <c r="AF101" s="2">
        <f t="shared" ref="AF101:AH101" si="899">AC101/Z101</f>
        <v>0.97667342799188639</v>
      </c>
      <c r="AG101" s="2">
        <f t="shared" si="899"/>
        <v>0.97307404637247574</v>
      </c>
      <c r="AH101" s="2">
        <f t="shared" si="899"/>
        <v>0.97460180800688767</v>
      </c>
      <c r="AI101" s="1">
        <f t="shared" ref="AI101:AJ101" si="900">SUM(E101,H101,K101)</f>
        <v>872</v>
      </c>
      <c r="AJ101" s="1">
        <f t="shared" si="900"/>
        <v>1188</v>
      </c>
      <c r="AK101" s="1">
        <f t="shared" si="8"/>
        <v>2060</v>
      </c>
      <c r="AL101" s="2">
        <f t="shared" ref="AL101:AN101" si="901">AI101/Z101</f>
        <v>0.88438133874239355</v>
      </c>
      <c r="AM101" s="2">
        <f t="shared" si="901"/>
        <v>0.88855646970830215</v>
      </c>
      <c r="AN101" s="2">
        <f t="shared" si="901"/>
        <v>0.8867843306069737</v>
      </c>
      <c r="AO101" s="2">
        <f t="shared" ref="AO101:AQ101" si="902">E101/Z101</f>
        <v>0.15618661257606492</v>
      </c>
      <c r="AP101" s="2">
        <f t="shared" si="902"/>
        <v>0.11144353029169783</v>
      </c>
      <c r="AQ101" s="2">
        <f t="shared" si="902"/>
        <v>0.13043478260869565</v>
      </c>
      <c r="AR101" s="2">
        <f t="shared" si="11"/>
        <v>3.6511156186612576E-2</v>
      </c>
      <c r="AS101" s="2">
        <f t="shared" ref="AS101:AT101" si="903">R101/AA101</f>
        <v>2.6925953627524309E-2</v>
      </c>
      <c r="AT101" s="2">
        <f t="shared" si="903"/>
        <v>2.5398191993112353E-2</v>
      </c>
      <c r="AU101" s="2">
        <f t="shared" ref="AU101:AW101" si="904">T101/W101</f>
        <v>1.4985014985014986E-2</v>
      </c>
      <c r="AV101" s="2">
        <f t="shared" si="877"/>
        <v>1.5463917525773196E-2</v>
      </c>
      <c r="AW101" s="2">
        <f t="shared" si="877"/>
        <v>1.5260703688003391E-2</v>
      </c>
    </row>
    <row r="102" spans="1:49" ht="13" x14ac:dyDescent="0.15">
      <c r="A102" s="1">
        <v>2024</v>
      </c>
      <c r="B102" s="1" t="s">
        <v>66</v>
      </c>
      <c r="C102" s="1" t="s">
        <v>67</v>
      </c>
      <c r="D102" s="1" t="s">
        <v>165</v>
      </c>
      <c r="E102" s="1">
        <v>3</v>
      </c>
      <c r="F102" s="1">
        <v>0</v>
      </c>
      <c r="G102" s="1">
        <v>3</v>
      </c>
      <c r="H102" s="1">
        <v>279</v>
      </c>
      <c r="I102" s="1">
        <v>90</v>
      </c>
      <c r="J102" s="1">
        <v>369</v>
      </c>
      <c r="K102" s="1">
        <v>323</v>
      </c>
      <c r="L102" s="1">
        <v>189</v>
      </c>
      <c r="M102" s="1">
        <v>512</v>
      </c>
      <c r="N102" s="1">
        <v>265</v>
      </c>
      <c r="O102" s="1">
        <v>94</v>
      </c>
      <c r="P102" s="1">
        <v>359</v>
      </c>
      <c r="Q102" s="1">
        <v>216</v>
      </c>
      <c r="R102" s="1">
        <v>178</v>
      </c>
      <c r="S102" s="1">
        <v>394</v>
      </c>
      <c r="T102" s="1">
        <v>36</v>
      </c>
      <c r="U102" s="1">
        <v>31</v>
      </c>
      <c r="V102" s="1">
        <v>67</v>
      </c>
      <c r="W102" s="1">
        <f t="shared" ref="W102:X102" si="905">SUM(E102,H102,K102,N102,Q102,T102)</f>
        <v>1122</v>
      </c>
      <c r="X102" s="1">
        <f t="shared" si="905"/>
        <v>582</v>
      </c>
      <c r="Y102" s="1">
        <f t="shared" si="1"/>
        <v>1704</v>
      </c>
      <c r="Z102" s="1">
        <f t="shared" ref="Z102:AA102" si="906">W102-T102</f>
        <v>1086</v>
      </c>
      <c r="AA102" s="1">
        <f t="shared" si="906"/>
        <v>551</v>
      </c>
      <c r="AB102" s="1">
        <f t="shared" si="3"/>
        <v>1637</v>
      </c>
      <c r="AC102" s="1">
        <f t="shared" ref="AC102:AD102" si="907">SUM(E102,H102,K102,N102)</f>
        <v>870</v>
      </c>
      <c r="AD102" s="1">
        <f t="shared" si="907"/>
        <v>373</v>
      </c>
      <c r="AE102" s="1">
        <f t="shared" si="5"/>
        <v>1243</v>
      </c>
      <c r="AF102" s="2">
        <f t="shared" ref="AF102:AH102" si="908">AC102/Z102</f>
        <v>0.80110497237569056</v>
      </c>
      <c r="AG102" s="2">
        <f t="shared" si="908"/>
        <v>0.67695099818511795</v>
      </c>
      <c r="AH102" s="2">
        <f t="shared" si="908"/>
        <v>0.75931582162492361</v>
      </c>
      <c r="AI102" s="1">
        <f t="shared" ref="AI102:AJ102" si="909">SUM(E102,H102,K102)</f>
        <v>605</v>
      </c>
      <c r="AJ102" s="1">
        <f t="shared" si="909"/>
        <v>279</v>
      </c>
      <c r="AK102" s="1">
        <f t="shared" si="8"/>
        <v>884</v>
      </c>
      <c r="AL102" s="2">
        <f t="shared" ref="AL102:AN102" si="910">AI102/Z102</f>
        <v>0.55709023941068136</v>
      </c>
      <c r="AM102" s="2">
        <f t="shared" si="910"/>
        <v>0.50635208711433755</v>
      </c>
      <c r="AN102" s="2">
        <f t="shared" si="910"/>
        <v>0.54001221747098349</v>
      </c>
      <c r="AO102" s="2">
        <f t="shared" ref="AO102:AQ102" si="911">E102/Z102</f>
        <v>2.7624309392265192E-3</v>
      </c>
      <c r="AP102" s="2">
        <f t="shared" si="911"/>
        <v>0</v>
      </c>
      <c r="AQ102" s="2">
        <f t="shared" si="911"/>
        <v>1.8326206475259622E-3</v>
      </c>
      <c r="AR102" s="2">
        <f t="shared" si="11"/>
        <v>0.16390423572744015</v>
      </c>
      <c r="AS102" s="2">
        <f t="shared" ref="AS102:AT102" si="912">R102/AA102</f>
        <v>0.32304900181488205</v>
      </c>
      <c r="AT102" s="2">
        <f t="shared" si="912"/>
        <v>0.24068417837507636</v>
      </c>
      <c r="AU102" s="2">
        <f t="shared" ref="AU102:AW102" si="913">T102/W102</f>
        <v>3.2085561497326207E-2</v>
      </c>
      <c r="AV102" s="2">
        <f t="shared" si="877"/>
        <v>5.3264604810996562E-2</v>
      </c>
      <c r="AW102" s="2">
        <f t="shared" si="877"/>
        <v>3.9319248826291078E-2</v>
      </c>
    </row>
    <row r="103" spans="1:49" ht="13" x14ac:dyDescent="0.15">
      <c r="A103" s="1">
        <v>2024</v>
      </c>
      <c r="B103" s="1" t="s">
        <v>49</v>
      </c>
      <c r="C103" s="1" t="s">
        <v>62</v>
      </c>
      <c r="D103" s="1" t="s">
        <v>166</v>
      </c>
      <c r="E103" s="1">
        <v>50</v>
      </c>
      <c r="F103" s="1">
        <v>34</v>
      </c>
      <c r="G103" s="1">
        <v>84</v>
      </c>
      <c r="H103" s="1">
        <v>533</v>
      </c>
      <c r="I103" s="1">
        <v>503</v>
      </c>
      <c r="J103" s="1">
        <v>1036</v>
      </c>
      <c r="K103" s="1">
        <v>399</v>
      </c>
      <c r="L103" s="1">
        <v>548</v>
      </c>
      <c r="M103" s="1">
        <v>947</v>
      </c>
      <c r="N103" s="1">
        <v>254</v>
      </c>
      <c r="O103" s="1">
        <v>281</v>
      </c>
      <c r="P103" s="1">
        <v>535</v>
      </c>
      <c r="Q103" s="1">
        <v>332</v>
      </c>
      <c r="R103" s="1">
        <v>436</v>
      </c>
      <c r="S103" s="1">
        <v>768</v>
      </c>
      <c r="T103" s="1">
        <v>20</v>
      </c>
      <c r="U103" s="1">
        <v>37</v>
      </c>
      <c r="V103" s="1">
        <v>57</v>
      </c>
      <c r="W103" s="1">
        <f t="shared" ref="W103:X103" si="914">SUM(E103,H103,K103,N103,Q103,T103)</f>
        <v>1588</v>
      </c>
      <c r="X103" s="1">
        <f t="shared" si="914"/>
        <v>1839</v>
      </c>
      <c r="Y103" s="1">
        <f t="shared" si="1"/>
        <v>3427</v>
      </c>
      <c r="Z103" s="1">
        <f t="shared" ref="Z103:AA103" si="915">W103-T103</f>
        <v>1568</v>
      </c>
      <c r="AA103" s="1">
        <f t="shared" si="915"/>
        <v>1802</v>
      </c>
      <c r="AB103" s="1">
        <f t="shared" si="3"/>
        <v>3370</v>
      </c>
      <c r="AC103" s="1">
        <f t="shared" ref="AC103:AD103" si="916">SUM(E103,H103,K103,N103)</f>
        <v>1236</v>
      </c>
      <c r="AD103" s="1">
        <f t="shared" si="916"/>
        <v>1366</v>
      </c>
      <c r="AE103" s="1">
        <f t="shared" si="5"/>
        <v>2602</v>
      </c>
      <c r="AF103" s="2">
        <f t="shared" ref="AF103:AH103" si="917">AC103/Z103</f>
        <v>0.78826530612244894</v>
      </c>
      <c r="AG103" s="2">
        <f t="shared" si="917"/>
        <v>0.75804661487236402</v>
      </c>
      <c r="AH103" s="2">
        <f t="shared" si="917"/>
        <v>0.77210682492581606</v>
      </c>
      <c r="AI103" s="1">
        <f t="shared" ref="AI103:AJ103" si="918">SUM(E103,H103,K103)</f>
        <v>982</v>
      </c>
      <c r="AJ103" s="1">
        <f t="shared" si="918"/>
        <v>1085</v>
      </c>
      <c r="AK103" s="1">
        <f t="shared" si="8"/>
        <v>2067</v>
      </c>
      <c r="AL103" s="2">
        <f t="shared" ref="AL103:AN103" si="919">AI103/Z103</f>
        <v>0.62627551020408168</v>
      </c>
      <c r="AM103" s="2">
        <f t="shared" si="919"/>
        <v>0.60210876803551605</v>
      </c>
      <c r="AN103" s="2">
        <f t="shared" si="919"/>
        <v>0.61335311572700302</v>
      </c>
      <c r="AO103" s="2">
        <f t="shared" ref="AO103:AQ103" si="920">E103/Z103</f>
        <v>3.1887755102040817E-2</v>
      </c>
      <c r="AP103" s="2">
        <f t="shared" si="920"/>
        <v>1.8867924528301886E-2</v>
      </c>
      <c r="AQ103" s="2">
        <f t="shared" si="920"/>
        <v>2.4925816023738872E-2</v>
      </c>
      <c r="AR103" s="2">
        <f t="shared" si="11"/>
        <v>0.27806122448979592</v>
      </c>
      <c r="AS103" s="2">
        <f t="shared" ref="AS103:AT103" si="921">R103/AA103</f>
        <v>0.24195338512763595</v>
      </c>
      <c r="AT103" s="2">
        <f t="shared" si="921"/>
        <v>0.22789317507418397</v>
      </c>
      <c r="AU103" s="2">
        <f t="shared" ref="AU103:AW103" si="922">T103/W103</f>
        <v>1.2594458438287154E-2</v>
      </c>
      <c r="AV103" s="2">
        <f t="shared" si="877"/>
        <v>2.0119630233822731E-2</v>
      </c>
      <c r="AW103" s="2">
        <f t="shared" si="877"/>
        <v>1.6632623285672599E-2</v>
      </c>
    </row>
    <row r="104" spans="1:49" ht="13" x14ac:dyDescent="0.15">
      <c r="A104" s="1">
        <v>2024</v>
      </c>
      <c r="B104" s="1" t="s">
        <v>49</v>
      </c>
      <c r="C104" s="1" t="s">
        <v>67</v>
      </c>
      <c r="D104" s="1" t="s">
        <v>167</v>
      </c>
      <c r="E104" s="1">
        <v>34</v>
      </c>
      <c r="F104" s="1">
        <v>5</v>
      </c>
      <c r="G104" s="1">
        <v>39</v>
      </c>
      <c r="H104" s="1">
        <v>710</v>
      </c>
      <c r="I104" s="1">
        <v>311</v>
      </c>
      <c r="J104" s="1">
        <v>1021</v>
      </c>
      <c r="K104" s="1">
        <v>387</v>
      </c>
      <c r="L104" s="1">
        <v>386</v>
      </c>
      <c r="M104" s="1">
        <v>773</v>
      </c>
      <c r="N104" s="1">
        <v>211</v>
      </c>
      <c r="O104" s="1">
        <v>118</v>
      </c>
      <c r="P104" s="1">
        <v>329</v>
      </c>
      <c r="Q104" s="1">
        <v>80</v>
      </c>
      <c r="R104" s="1">
        <v>79</v>
      </c>
      <c r="S104" s="1">
        <v>159</v>
      </c>
      <c r="T104" s="1">
        <v>40</v>
      </c>
      <c r="U104" s="1">
        <v>27</v>
      </c>
      <c r="V104" s="1">
        <v>67</v>
      </c>
      <c r="W104" s="1">
        <f t="shared" ref="W104:X104" si="923">SUM(E104,H104,K104,N104,Q104,T104)</f>
        <v>1462</v>
      </c>
      <c r="X104" s="1">
        <f t="shared" si="923"/>
        <v>926</v>
      </c>
      <c r="Y104" s="1">
        <f t="shared" si="1"/>
        <v>2388</v>
      </c>
      <c r="Z104" s="1">
        <f t="shared" ref="Z104:AA104" si="924">W104-T104</f>
        <v>1422</v>
      </c>
      <c r="AA104" s="1">
        <f t="shared" si="924"/>
        <v>899</v>
      </c>
      <c r="AB104" s="1">
        <f t="shared" si="3"/>
        <v>2321</v>
      </c>
      <c r="AC104" s="1">
        <f t="shared" ref="AC104:AD104" si="925">SUM(E104,H104,K104,N104)</f>
        <v>1342</v>
      </c>
      <c r="AD104" s="1">
        <f t="shared" si="925"/>
        <v>820</v>
      </c>
      <c r="AE104" s="1">
        <f t="shared" si="5"/>
        <v>2162</v>
      </c>
      <c r="AF104" s="2">
        <f t="shared" ref="AF104:AH104" si="926">AC104/Z104</f>
        <v>0.94374120956399432</v>
      </c>
      <c r="AG104" s="2">
        <f t="shared" si="926"/>
        <v>0.91212458286985543</v>
      </c>
      <c r="AH104" s="2">
        <f t="shared" si="926"/>
        <v>0.93149504523912108</v>
      </c>
      <c r="AI104" s="1">
        <f t="shared" ref="AI104:AJ104" si="927">SUM(E104,H104,K104)</f>
        <v>1131</v>
      </c>
      <c r="AJ104" s="1">
        <f t="shared" si="927"/>
        <v>702</v>
      </c>
      <c r="AK104" s="1">
        <f t="shared" si="8"/>
        <v>1833</v>
      </c>
      <c r="AL104" s="2">
        <f t="shared" ref="AL104:AN104" si="928">AI104/Z104</f>
        <v>0.79535864978902948</v>
      </c>
      <c r="AM104" s="2">
        <f t="shared" si="928"/>
        <v>0.78086763070077869</v>
      </c>
      <c r="AN104" s="2">
        <f t="shared" si="928"/>
        <v>0.78974579922447219</v>
      </c>
      <c r="AO104" s="2">
        <f t="shared" ref="AO104:AQ104" si="929">E104/Z104</f>
        <v>2.3909985935302389E-2</v>
      </c>
      <c r="AP104" s="2">
        <f t="shared" si="929"/>
        <v>5.5617352614015575E-3</v>
      </c>
      <c r="AQ104" s="2">
        <f t="shared" si="929"/>
        <v>1.6803102111158982E-2</v>
      </c>
      <c r="AR104" s="2">
        <f t="shared" si="11"/>
        <v>5.5555555555555552E-2</v>
      </c>
      <c r="AS104" s="2">
        <f t="shared" ref="AS104:AT104" si="930">R104/AA104</f>
        <v>8.7875417130144601E-2</v>
      </c>
      <c r="AT104" s="2">
        <f t="shared" si="930"/>
        <v>6.8504954760878936E-2</v>
      </c>
      <c r="AU104" s="2">
        <f t="shared" ref="AU104:AW104" si="931">T104/W104</f>
        <v>2.7359781121751026E-2</v>
      </c>
      <c r="AV104" s="2">
        <f t="shared" si="877"/>
        <v>2.9157667386609073E-2</v>
      </c>
      <c r="AW104" s="2">
        <f t="shared" si="877"/>
        <v>2.8056951423785594E-2</v>
      </c>
    </row>
    <row r="105" spans="1:49" ht="13" x14ac:dyDescent="0.15">
      <c r="A105" s="1">
        <v>2024</v>
      </c>
      <c r="B105" s="1" t="s">
        <v>49</v>
      </c>
      <c r="C105" s="1" t="s">
        <v>50</v>
      </c>
      <c r="D105" s="1" t="s">
        <v>168</v>
      </c>
      <c r="E105" s="1">
        <v>1297</v>
      </c>
      <c r="F105" s="1">
        <v>1186</v>
      </c>
      <c r="G105" s="1">
        <v>2483</v>
      </c>
      <c r="H105" s="1">
        <v>2407</v>
      </c>
      <c r="I105" s="1">
        <v>3100</v>
      </c>
      <c r="J105" s="1">
        <v>5507</v>
      </c>
      <c r="K105" s="1">
        <v>514</v>
      </c>
      <c r="L105" s="1">
        <v>665</v>
      </c>
      <c r="M105" s="1">
        <v>1179</v>
      </c>
      <c r="N105" s="1">
        <v>251</v>
      </c>
      <c r="O105" s="1">
        <v>255</v>
      </c>
      <c r="P105" s="1">
        <v>506</v>
      </c>
      <c r="Q105" s="1">
        <v>131</v>
      </c>
      <c r="R105" s="1">
        <v>150</v>
      </c>
      <c r="S105" s="1">
        <v>281</v>
      </c>
      <c r="T105" s="1">
        <v>62</v>
      </c>
      <c r="U105" s="1">
        <v>55</v>
      </c>
      <c r="V105" s="1">
        <v>117</v>
      </c>
      <c r="W105" s="1">
        <f t="shared" ref="W105:X105" si="932">SUM(E105,H105,K105,N105,Q105,T105)</f>
        <v>4662</v>
      </c>
      <c r="X105" s="1">
        <f t="shared" si="932"/>
        <v>5411</v>
      </c>
      <c r="Y105" s="1">
        <f t="shared" si="1"/>
        <v>10073</v>
      </c>
      <c r="Z105" s="1">
        <f t="shared" ref="Z105:AA105" si="933">W105-T105</f>
        <v>4600</v>
      </c>
      <c r="AA105" s="1">
        <f t="shared" si="933"/>
        <v>5356</v>
      </c>
      <c r="AB105" s="1">
        <f t="shared" si="3"/>
        <v>9956</v>
      </c>
      <c r="AC105" s="1">
        <f t="shared" ref="AC105:AD105" si="934">SUM(E105,H105,K105,N105)</f>
        <v>4469</v>
      </c>
      <c r="AD105" s="1">
        <f t="shared" si="934"/>
        <v>5206</v>
      </c>
      <c r="AE105" s="1">
        <f t="shared" si="5"/>
        <v>9675</v>
      </c>
      <c r="AF105" s="2">
        <f t="shared" ref="AF105:AH105" si="935">AC105/Z105</f>
        <v>0.97152173913043482</v>
      </c>
      <c r="AG105" s="2">
        <f t="shared" si="935"/>
        <v>0.97199402539208368</v>
      </c>
      <c r="AH105" s="2">
        <f t="shared" si="935"/>
        <v>0.97177581357975096</v>
      </c>
      <c r="AI105" s="1">
        <f t="shared" ref="AI105:AJ105" si="936">SUM(E105,H105,K105)</f>
        <v>4218</v>
      </c>
      <c r="AJ105" s="1">
        <f t="shared" si="936"/>
        <v>4951</v>
      </c>
      <c r="AK105" s="1">
        <f t="shared" si="8"/>
        <v>9169</v>
      </c>
      <c r="AL105" s="2">
        <f t="shared" ref="AL105:AN105" si="937">AI105/Z105</f>
        <v>0.91695652173913045</v>
      </c>
      <c r="AM105" s="2">
        <f t="shared" si="937"/>
        <v>0.92438386855862587</v>
      </c>
      <c r="AN105" s="2">
        <f t="shared" si="937"/>
        <v>0.92095218963439129</v>
      </c>
      <c r="AO105" s="2">
        <f t="shared" ref="AO105:AQ105" si="938">E105/Z105</f>
        <v>0.28195652173913044</v>
      </c>
      <c r="AP105" s="2">
        <f t="shared" si="938"/>
        <v>0.22143390589992532</v>
      </c>
      <c r="AQ105" s="2">
        <f t="shared" si="938"/>
        <v>0.24939734833266372</v>
      </c>
      <c r="AR105" s="2">
        <f t="shared" si="11"/>
        <v>3.2608695652173912E-2</v>
      </c>
      <c r="AS105" s="2">
        <f t="shared" ref="AS105:AT105" si="939">R105/AA105</f>
        <v>2.8005974607916356E-2</v>
      </c>
      <c r="AT105" s="2">
        <f t="shared" si="939"/>
        <v>2.8224186420249098E-2</v>
      </c>
      <c r="AU105" s="2">
        <f t="shared" ref="AU105:AW105" si="940">T105/W105</f>
        <v>1.3299013299013299E-2</v>
      </c>
      <c r="AV105" s="2">
        <f t="shared" si="877"/>
        <v>1.0164479763444834E-2</v>
      </c>
      <c r="AW105" s="2">
        <f t="shared" si="877"/>
        <v>1.1615208974486251E-2</v>
      </c>
    </row>
    <row r="106" spans="1:49" ht="13" x14ac:dyDescent="0.15">
      <c r="A106" s="1">
        <v>2024</v>
      </c>
      <c r="B106" s="1" t="s">
        <v>49</v>
      </c>
      <c r="C106" s="1" t="s">
        <v>99</v>
      </c>
      <c r="D106" s="1" t="s">
        <v>169</v>
      </c>
      <c r="E106" s="1">
        <v>264</v>
      </c>
      <c r="F106" s="1">
        <v>180</v>
      </c>
      <c r="G106" s="1">
        <v>444</v>
      </c>
      <c r="H106" s="1">
        <v>1525</v>
      </c>
      <c r="I106" s="1">
        <v>1630</v>
      </c>
      <c r="J106" s="1">
        <v>3155</v>
      </c>
      <c r="K106" s="1">
        <v>401</v>
      </c>
      <c r="L106" s="1">
        <v>624</v>
      </c>
      <c r="M106" s="1">
        <v>1025</v>
      </c>
      <c r="N106" s="1">
        <v>151</v>
      </c>
      <c r="O106" s="1">
        <v>197</v>
      </c>
      <c r="P106" s="1">
        <v>348</v>
      </c>
      <c r="Q106" s="1">
        <v>120</v>
      </c>
      <c r="R106" s="1">
        <v>153</v>
      </c>
      <c r="S106" s="1">
        <v>273</v>
      </c>
      <c r="T106" s="1">
        <v>12</v>
      </c>
      <c r="U106" s="1">
        <v>22</v>
      </c>
      <c r="V106" s="1">
        <v>34</v>
      </c>
      <c r="W106" s="1">
        <f t="shared" ref="W106:X106" si="941">SUM(E106,H106,K106,N106,Q106,T106)</f>
        <v>2473</v>
      </c>
      <c r="X106" s="1">
        <f t="shared" si="941"/>
        <v>2806</v>
      </c>
      <c r="Y106" s="1">
        <f t="shared" si="1"/>
        <v>5279</v>
      </c>
      <c r="Z106" s="1">
        <f t="shared" ref="Z106:AA106" si="942">W106-T106</f>
        <v>2461</v>
      </c>
      <c r="AA106" s="1">
        <f t="shared" si="942"/>
        <v>2784</v>
      </c>
      <c r="AB106" s="1">
        <f t="shared" si="3"/>
        <v>5245</v>
      </c>
      <c r="AC106" s="1">
        <f t="shared" ref="AC106:AD106" si="943">SUM(E106,H106,K106,N106)</f>
        <v>2341</v>
      </c>
      <c r="AD106" s="1">
        <f t="shared" si="943"/>
        <v>2631</v>
      </c>
      <c r="AE106" s="1">
        <f t="shared" si="5"/>
        <v>4972</v>
      </c>
      <c r="AF106" s="2">
        <f t="shared" ref="AF106:AH106" si="944">AC106/Z106</f>
        <v>0.95123933360422597</v>
      </c>
      <c r="AG106" s="2">
        <f t="shared" si="944"/>
        <v>0.94504310344827591</v>
      </c>
      <c r="AH106" s="2">
        <f t="shared" si="944"/>
        <v>0.94795042897998094</v>
      </c>
      <c r="AI106" s="1">
        <f t="shared" ref="AI106:AJ106" si="945">SUM(E106,H106,K106)</f>
        <v>2190</v>
      </c>
      <c r="AJ106" s="1">
        <f t="shared" si="945"/>
        <v>2434</v>
      </c>
      <c r="AK106" s="1">
        <f t="shared" si="8"/>
        <v>4624</v>
      </c>
      <c r="AL106" s="2">
        <f t="shared" ref="AL106:AN106" si="946">AI106/Z106</f>
        <v>0.88988216172287693</v>
      </c>
      <c r="AM106" s="2">
        <f t="shared" si="946"/>
        <v>0.87428160919540232</v>
      </c>
      <c r="AN106" s="2">
        <f t="shared" si="946"/>
        <v>0.88160152526215441</v>
      </c>
      <c r="AO106" s="2">
        <f t="shared" ref="AO106:AQ106" si="947">E106/Z106</f>
        <v>0.10727346607070297</v>
      </c>
      <c r="AP106" s="2">
        <f t="shared" si="947"/>
        <v>6.4655172413793108E-2</v>
      </c>
      <c r="AQ106" s="2">
        <f t="shared" si="947"/>
        <v>8.4652049571020016E-2</v>
      </c>
      <c r="AR106" s="2">
        <f t="shared" si="11"/>
        <v>6.2169849654611947E-2</v>
      </c>
      <c r="AS106" s="2">
        <f t="shared" ref="AS106:AT106" si="948">R106/AA106</f>
        <v>5.4956896551724137E-2</v>
      </c>
      <c r="AT106" s="2">
        <f t="shared" si="948"/>
        <v>5.2049571020019066E-2</v>
      </c>
      <c r="AU106" s="2">
        <f t="shared" ref="AU106:AW106" si="949">T106/W106</f>
        <v>4.8524059846340476E-3</v>
      </c>
      <c r="AV106" s="2">
        <f t="shared" si="877"/>
        <v>7.8403421240199576E-3</v>
      </c>
      <c r="AW106" s="2">
        <f t="shared" si="877"/>
        <v>6.4406137526046596E-3</v>
      </c>
    </row>
    <row r="107" spans="1:49" ht="13" x14ac:dyDescent="0.15">
      <c r="A107" s="1">
        <v>2024</v>
      </c>
      <c r="B107" s="1" t="s">
        <v>49</v>
      </c>
      <c r="C107" s="1" t="s">
        <v>89</v>
      </c>
      <c r="D107" s="1" t="s">
        <v>170</v>
      </c>
      <c r="E107" s="1">
        <v>226</v>
      </c>
      <c r="F107" s="1">
        <v>179</v>
      </c>
      <c r="G107" s="1">
        <v>405</v>
      </c>
      <c r="H107" s="1">
        <v>2261</v>
      </c>
      <c r="I107" s="1">
        <v>2347</v>
      </c>
      <c r="J107" s="1">
        <v>4608</v>
      </c>
      <c r="K107" s="1">
        <v>1175</v>
      </c>
      <c r="L107" s="1">
        <v>1536</v>
      </c>
      <c r="M107" s="1">
        <v>2711</v>
      </c>
      <c r="N107" s="1">
        <v>613</v>
      </c>
      <c r="O107" s="1">
        <v>689</v>
      </c>
      <c r="P107" s="1">
        <v>1302</v>
      </c>
      <c r="Q107" s="1">
        <v>527</v>
      </c>
      <c r="R107" s="1">
        <v>651</v>
      </c>
      <c r="S107" s="1">
        <v>1178</v>
      </c>
      <c r="T107" s="1">
        <v>88</v>
      </c>
      <c r="U107" s="1">
        <v>108</v>
      </c>
      <c r="V107" s="1">
        <v>196</v>
      </c>
      <c r="W107" s="1">
        <f t="shared" ref="W107:X107" si="950">SUM(E107,H107,K107,N107,Q107,T107)</f>
        <v>4890</v>
      </c>
      <c r="X107" s="1">
        <f t="shared" si="950"/>
        <v>5510</v>
      </c>
      <c r="Y107" s="1">
        <f t="shared" si="1"/>
        <v>10400</v>
      </c>
      <c r="Z107" s="1">
        <f t="shared" ref="Z107:AA107" si="951">W107-T107</f>
        <v>4802</v>
      </c>
      <c r="AA107" s="1">
        <f t="shared" si="951"/>
        <v>5402</v>
      </c>
      <c r="AB107" s="1">
        <f t="shared" si="3"/>
        <v>10204</v>
      </c>
      <c r="AC107" s="1">
        <f t="shared" ref="AC107:AD107" si="952">SUM(E107,H107,K107,N107)</f>
        <v>4275</v>
      </c>
      <c r="AD107" s="1">
        <f t="shared" si="952"/>
        <v>4751</v>
      </c>
      <c r="AE107" s="1">
        <f t="shared" si="5"/>
        <v>9026</v>
      </c>
      <c r="AF107" s="2">
        <f t="shared" ref="AF107:AH107" si="953">AC107/Z107</f>
        <v>0.89025406080799663</v>
      </c>
      <c r="AG107" s="2">
        <f t="shared" si="953"/>
        <v>0.87948907811921506</v>
      </c>
      <c r="AH107" s="2">
        <f t="shared" si="953"/>
        <v>0.88455507644061149</v>
      </c>
      <c r="AI107" s="1">
        <f t="shared" ref="AI107:AJ107" si="954">SUM(E107,H107,K107)</f>
        <v>3662</v>
      </c>
      <c r="AJ107" s="1">
        <f t="shared" si="954"/>
        <v>4062</v>
      </c>
      <c r="AK107" s="1">
        <f t="shared" si="8"/>
        <v>7724</v>
      </c>
      <c r="AL107" s="2">
        <f t="shared" ref="AL107:AN107" si="955">AI107/Z107</f>
        <v>0.76259891711786754</v>
      </c>
      <c r="AM107" s="2">
        <f t="shared" si="955"/>
        <v>0.7519437245464643</v>
      </c>
      <c r="AN107" s="2">
        <f t="shared" si="955"/>
        <v>0.7569580556644453</v>
      </c>
      <c r="AO107" s="2">
        <f t="shared" ref="AO107:AQ107" si="956">E107/Z107</f>
        <v>4.7063723448563098E-2</v>
      </c>
      <c r="AP107" s="2">
        <f t="shared" si="956"/>
        <v>3.3135875601629027E-2</v>
      </c>
      <c r="AQ107" s="2">
        <f t="shared" si="956"/>
        <v>3.9690317522540181E-2</v>
      </c>
      <c r="AR107" s="2">
        <f t="shared" si="11"/>
        <v>0.13556851311953352</v>
      </c>
      <c r="AS107" s="2">
        <f t="shared" ref="AS107:AT107" si="957">R107/AA107</f>
        <v>0.1205109218807849</v>
      </c>
      <c r="AT107" s="2">
        <f t="shared" si="957"/>
        <v>0.11544492355938847</v>
      </c>
      <c r="AU107" s="2">
        <f t="shared" ref="AU107:AW107" si="958">T107/W107</f>
        <v>1.7995910020449899E-2</v>
      </c>
      <c r="AV107" s="2">
        <f t="shared" si="877"/>
        <v>1.9600725952813067E-2</v>
      </c>
      <c r="AW107" s="2">
        <f t="shared" si="877"/>
        <v>1.8846153846153846E-2</v>
      </c>
    </row>
    <row r="108" spans="1:49" ht="13" x14ac:dyDescent="0.15">
      <c r="A108" s="1">
        <v>2024</v>
      </c>
      <c r="B108" s="1" t="s">
        <v>49</v>
      </c>
      <c r="C108" s="1" t="s">
        <v>62</v>
      </c>
      <c r="D108" s="1" t="s">
        <v>171</v>
      </c>
      <c r="E108" s="1">
        <v>541</v>
      </c>
      <c r="F108" s="1">
        <v>417</v>
      </c>
      <c r="G108" s="1">
        <v>958</v>
      </c>
      <c r="H108" s="1">
        <v>2599</v>
      </c>
      <c r="I108" s="1">
        <v>3060</v>
      </c>
      <c r="J108" s="1">
        <v>5659</v>
      </c>
      <c r="K108" s="1">
        <v>1251</v>
      </c>
      <c r="L108" s="1">
        <v>1807</v>
      </c>
      <c r="M108" s="1">
        <v>3058</v>
      </c>
      <c r="N108" s="1">
        <v>589</v>
      </c>
      <c r="O108" s="1">
        <v>869</v>
      </c>
      <c r="P108" s="1">
        <v>1458</v>
      </c>
      <c r="Q108" s="1">
        <v>533</v>
      </c>
      <c r="R108" s="1">
        <v>731</v>
      </c>
      <c r="S108" s="1">
        <v>1264</v>
      </c>
      <c r="T108" s="1">
        <v>40</v>
      </c>
      <c r="U108" s="1">
        <v>85</v>
      </c>
      <c r="V108" s="1">
        <v>125</v>
      </c>
      <c r="W108" s="1">
        <f t="shared" ref="W108:X108" si="959">SUM(E108,H108,K108,N108,Q108,T108)</f>
        <v>5553</v>
      </c>
      <c r="X108" s="1">
        <f t="shared" si="959"/>
        <v>6969</v>
      </c>
      <c r="Y108" s="1">
        <f t="shared" si="1"/>
        <v>12522</v>
      </c>
      <c r="Z108" s="1">
        <f t="shared" ref="Z108:AA108" si="960">W108-T108</f>
        <v>5513</v>
      </c>
      <c r="AA108" s="1">
        <f t="shared" si="960"/>
        <v>6884</v>
      </c>
      <c r="AB108" s="1">
        <f t="shared" si="3"/>
        <v>12397</v>
      </c>
      <c r="AC108" s="1">
        <f t="shared" ref="AC108:AD108" si="961">SUM(E108,H108,K108,N108)</f>
        <v>4980</v>
      </c>
      <c r="AD108" s="1">
        <f t="shared" si="961"/>
        <v>6153</v>
      </c>
      <c r="AE108" s="1">
        <f t="shared" si="5"/>
        <v>11133</v>
      </c>
      <c r="AF108" s="2">
        <f t="shared" ref="AF108:AH108" si="962">AC108/Z108</f>
        <v>0.90331942680935973</v>
      </c>
      <c r="AG108" s="2">
        <f t="shared" si="962"/>
        <v>0.89381173736199881</v>
      </c>
      <c r="AH108" s="2">
        <f t="shared" si="962"/>
        <v>0.8980398483504074</v>
      </c>
      <c r="AI108" s="1">
        <f t="shared" ref="AI108:AJ108" si="963">SUM(E108,H108,K108)</f>
        <v>4391</v>
      </c>
      <c r="AJ108" s="1">
        <f t="shared" si="963"/>
        <v>5284</v>
      </c>
      <c r="AK108" s="1">
        <f t="shared" si="8"/>
        <v>9675</v>
      </c>
      <c r="AL108" s="2">
        <f t="shared" ref="AL108:AN108" si="964">AI108/Z108</f>
        <v>0.79648104480319248</v>
      </c>
      <c r="AM108" s="2">
        <f t="shared" si="964"/>
        <v>0.76757699012202207</v>
      </c>
      <c r="AN108" s="2">
        <f t="shared" si="964"/>
        <v>0.7804307493748488</v>
      </c>
      <c r="AO108" s="2">
        <f t="shared" ref="AO108:AQ108" si="965">E108/Z108</f>
        <v>9.813168873571558E-2</v>
      </c>
      <c r="AP108" s="2">
        <f t="shared" si="965"/>
        <v>6.0575246949447999E-2</v>
      </c>
      <c r="AQ108" s="2">
        <f t="shared" si="965"/>
        <v>7.7276760506574171E-2</v>
      </c>
      <c r="AR108" s="2">
        <f t="shared" si="11"/>
        <v>0.1325956829312534</v>
      </c>
      <c r="AS108" s="2">
        <f t="shared" ref="AS108:AT108" si="966">R108/AA108</f>
        <v>0.10618826263800116</v>
      </c>
      <c r="AT108" s="2">
        <f t="shared" si="966"/>
        <v>0.10196015164959264</v>
      </c>
      <c r="AU108" s="2">
        <f t="shared" ref="AU108:AW108" si="967">T108/W108</f>
        <v>7.2033135242211416E-3</v>
      </c>
      <c r="AV108" s="2">
        <f t="shared" si="877"/>
        <v>1.2196871861099154E-2</v>
      </c>
      <c r="AW108" s="2">
        <f t="shared" si="877"/>
        <v>9.9824309215780227E-3</v>
      </c>
    </row>
    <row r="109" spans="1:49" ht="13" x14ac:dyDescent="0.15">
      <c r="A109" s="1">
        <v>2024</v>
      </c>
      <c r="B109" s="1" t="s">
        <v>49</v>
      </c>
      <c r="C109" s="1" t="s">
        <v>54</v>
      </c>
      <c r="D109" s="1" t="s">
        <v>172</v>
      </c>
      <c r="E109" s="1">
        <v>1636</v>
      </c>
      <c r="F109" s="1">
        <v>1470</v>
      </c>
      <c r="G109" s="1">
        <v>3106</v>
      </c>
      <c r="H109" s="1">
        <v>2448</v>
      </c>
      <c r="I109" s="1">
        <v>3213</v>
      </c>
      <c r="J109" s="1">
        <v>5661</v>
      </c>
      <c r="K109" s="1">
        <v>247</v>
      </c>
      <c r="L109" s="1">
        <v>330</v>
      </c>
      <c r="M109" s="1">
        <v>577</v>
      </c>
      <c r="N109" s="1">
        <v>74</v>
      </c>
      <c r="O109" s="1">
        <v>95</v>
      </c>
      <c r="P109" s="1">
        <v>169</v>
      </c>
      <c r="Q109" s="1">
        <v>53</v>
      </c>
      <c r="R109" s="1">
        <v>51</v>
      </c>
      <c r="S109" s="1">
        <v>104</v>
      </c>
      <c r="T109" s="1">
        <v>50</v>
      </c>
      <c r="U109" s="1">
        <v>50</v>
      </c>
      <c r="V109" s="1">
        <v>100</v>
      </c>
      <c r="W109" s="1">
        <f t="shared" ref="W109:X109" si="968">SUM(E109,H109,K109,N109,Q109,T109)</f>
        <v>4508</v>
      </c>
      <c r="X109" s="1">
        <f t="shared" si="968"/>
        <v>5209</v>
      </c>
      <c r="Y109" s="1">
        <f t="shared" si="1"/>
        <v>9717</v>
      </c>
      <c r="Z109" s="1">
        <f t="shared" ref="Z109:AA109" si="969">W109-T109</f>
        <v>4458</v>
      </c>
      <c r="AA109" s="1">
        <f t="shared" si="969"/>
        <v>5159</v>
      </c>
      <c r="AB109" s="1">
        <f t="shared" si="3"/>
        <v>9617</v>
      </c>
      <c r="AC109" s="1">
        <f t="shared" ref="AC109:AD109" si="970">SUM(E109,H109,K109,N109)</f>
        <v>4405</v>
      </c>
      <c r="AD109" s="1">
        <f t="shared" si="970"/>
        <v>5108</v>
      </c>
      <c r="AE109" s="1">
        <f t="shared" si="5"/>
        <v>9513</v>
      </c>
      <c r="AF109" s="2">
        <f t="shared" ref="AF109:AH109" si="971">AC109/Z109</f>
        <v>0.98811126065500221</v>
      </c>
      <c r="AG109" s="2">
        <f t="shared" si="971"/>
        <v>0.99011436324869162</v>
      </c>
      <c r="AH109" s="2">
        <f t="shared" si="971"/>
        <v>0.9891858167827805</v>
      </c>
      <c r="AI109" s="1">
        <f t="shared" ref="AI109:AJ109" si="972">SUM(E109,H109,K109)</f>
        <v>4331</v>
      </c>
      <c r="AJ109" s="1">
        <f t="shared" si="972"/>
        <v>5013</v>
      </c>
      <c r="AK109" s="1">
        <f t="shared" si="8"/>
        <v>9344</v>
      </c>
      <c r="AL109" s="2">
        <f t="shared" ref="AL109:AN109" si="973">AI109/Z109</f>
        <v>0.97151188873934502</v>
      </c>
      <c r="AM109" s="2">
        <f t="shared" si="973"/>
        <v>0.97169994184919561</v>
      </c>
      <c r="AN109" s="2">
        <f t="shared" si="973"/>
        <v>0.97161276905479876</v>
      </c>
      <c r="AO109" s="2">
        <f t="shared" ref="AO109:AQ109" si="974">E109/Z109</f>
        <v>0.36698070883804396</v>
      </c>
      <c r="AP109" s="2">
        <f t="shared" si="974"/>
        <v>0.28493894165535955</v>
      </c>
      <c r="AQ109" s="2">
        <f t="shared" si="974"/>
        <v>0.32296974108349796</v>
      </c>
      <c r="AR109" s="2">
        <f t="shared" si="11"/>
        <v>1.1440107671601614E-2</v>
      </c>
      <c r="AS109" s="2">
        <f t="shared" ref="AS109:AT109" si="975">R109/AA109</f>
        <v>9.8856367513083937E-3</v>
      </c>
      <c r="AT109" s="2">
        <f t="shared" si="975"/>
        <v>1.0814183217219508E-2</v>
      </c>
      <c r="AU109" s="2">
        <f t="shared" ref="AU109:AW109" si="976">T109/W109</f>
        <v>1.1091393078970719E-2</v>
      </c>
      <c r="AV109" s="2">
        <f t="shared" si="877"/>
        <v>9.5987713572662694E-3</v>
      </c>
      <c r="AW109" s="2">
        <f t="shared" si="877"/>
        <v>1.0291242152927859E-2</v>
      </c>
    </row>
    <row r="110" spans="1:49" ht="13" x14ac:dyDescent="0.15">
      <c r="A110" s="1">
        <v>2024</v>
      </c>
      <c r="B110" s="1" t="s">
        <v>49</v>
      </c>
      <c r="C110" s="1" t="s">
        <v>54</v>
      </c>
      <c r="D110" s="1" t="s">
        <v>173</v>
      </c>
      <c r="E110" s="1">
        <v>398</v>
      </c>
      <c r="F110" s="1">
        <v>393</v>
      </c>
      <c r="G110" s="1">
        <v>791</v>
      </c>
      <c r="H110" s="1">
        <v>1314</v>
      </c>
      <c r="I110" s="1">
        <v>1568</v>
      </c>
      <c r="J110" s="1">
        <v>2882</v>
      </c>
      <c r="K110" s="1">
        <v>332</v>
      </c>
      <c r="L110" s="1">
        <v>444</v>
      </c>
      <c r="M110" s="1">
        <v>776</v>
      </c>
      <c r="N110" s="1">
        <v>120</v>
      </c>
      <c r="O110" s="1">
        <v>116</v>
      </c>
      <c r="P110" s="1">
        <v>236</v>
      </c>
      <c r="Q110" s="1">
        <v>58</v>
      </c>
      <c r="R110" s="1">
        <v>55</v>
      </c>
      <c r="S110" s="1">
        <v>113</v>
      </c>
      <c r="T110" s="1">
        <v>28</v>
      </c>
      <c r="U110" s="1">
        <v>42</v>
      </c>
      <c r="V110" s="1">
        <v>70</v>
      </c>
      <c r="W110" s="1">
        <f t="shared" ref="W110:X110" si="977">SUM(E110,H110,K110,N110,Q110,T110)</f>
        <v>2250</v>
      </c>
      <c r="X110" s="1">
        <f t="shared" si="977"/>
        <v>2618</v>
      </c>
      <c r="Y110" s="1">
        <f t="shared" si="1"/>
        <v>4868</v>
      </c>
      <c r="Z110" s="1">
        <f t="shared" ref="Z110:AA110" si="978">W110-T110</f>
        <v>2222</v>
      </c>
      <c r="AA110" s="1">
        <f t="shared" si="978"/>
        <v>2576</v>
      </c>
      <c r="AB110" s="1">
        <f t="shared" si="3"/>
        <v>4798</v>
      </c>
      <c r="AC110" s="1">
        <f t="shared" ref="AC110:AD110" si="979">SUM(E110,H110,K110,N110)</f>
        <v>2164</v>
      </c>
      <c r="AD110" s="1">
        <f t="shared" si="979"/>
        <v>2521</v>
      </c>
      <c r="AE110" s="1">
        <f t="shared" si="5"/>
        <v>4685</v>
      </c>
      <c r="AF110" s="2">
        <f t="shared" ref="AF110:AH110" si="980">AC110/Z110</f>
        <v>0.97389738973897388</v>
      </c>
      <c r="AG110" s="2">
        <f t="shared" si="980"/>
        <v>0.97864906832298137</v>
      </c>
      <c r="AH110" s="2">
        <f t="shared" si="980"/>
        <v>0.97644852021675699</v>
      </c>
      <c r="AI110" s="1">
        <f t="shared" ref="AI110:AJ110" si="981">SUM(E110,H110,K110)</f>
        <v>2044</v>
      </c>
      <c r="AJ110" s="1">
        <f t="shared" si="981"/>
        <v>2405</v>
      </c>
      <c r="AK110" s="1">
        <f t="shared" si="8"/>
        <v>4449</v>
      </c>
      <c r="AL110" s="2">
        <f t="shared" ref="AL110:AN110" si="982">AI110/Z110</f>
        <v>0.9198919891989199</v>
      </c>
      <c r="AM110" s="2">
        <f t="shared" si="982"/>
        <v>0.9336180124223602</v>
      </c>
      <c r="AN110" s="2">
        <f t="shared" si="982"/>
        <v>0.92726135889954142</v>
      </c>
      <c r="AO110" s="2">
        <f t="shared" ref="AO110:AQ110" si="983">E110/Z110</f>
        <v>0.17911791179117911</v>
      </c>
      <c r="AP110" s="2">
        <f t="shared" si="983"/>
        <v>0.15256211180124224</v>
      </c>
      <c r="AQ110" s="2">
        <f t="shared" si="983"/>
        <v>0.16486035848270111</v>
      </c>
      <c r="AR110" s="2">
        <f t="shared" si="11"/>
        <v>2.4752475247524754E-2</v>
      </c>
      <c r="AS110" s="2">
        <f t="shared" ref="AS110:AT110" si="984">R110/AA110</f>
        <v>2.1350931677018632E-2</v>
      </c>
      <c r="AT110" s="2">
        <f t="shared" si="984"/>
        <v>2.3551479783243019E-2</v>
      </c>
      <c r="AU110" s="2">
        <f t="shared" ref="AU110:AW110" si="985">T110/W110</f>
        <v>1.2444444444444444E-2</v>
      </c>
      <c r="AV110" s="2">
        <f t="shared" si="877"/>
        <v>1.6042780748663103E-2</v>
      </c>
      <c r="AW110" s="2">
        <f t="shared" si="877"/>
        <v>1.4379622021364009E-2</v>
      </c>
    </row>
    <row r="111" spans="1:49" ht="13" x14ac:dyDescent="0.15">
      <c r="A111" s="1">
        <v>2024</v>
      </c>
      <c r="B111" s="1" t="s">
        <v>49</v>
      </c>
      <c r="C111" s="1" t="s">
        <v>93</v>
      </c>
      <c r="D111" s="1" t="s">
        <v>174</v>
      </c>
      <c r="E111" s="1">
        <v>643</v>
      </c>
      <c r="F111" s="1">
        <v>637</v>
      </c>
      <c r="G111" s="1">
        <v>1280</v>
      </c>
      <c r="H111" s="1">
        <v>2715</v>
      </c>
      <c r="I111" s="1">
        <v>3333</v>
      </c>
      <c r="J111" s="1">
        <v>6048</v>
      </c>
      <c r="K111" s="1">
        <v>790</v>
      </c>
      <c r="L111" s="1">
        <v>1118</v>
      </c>
      <c r="M111" s="1">
        <v>1908</v>
      </c>
      <c r="N111" s="1">
        <v>461</v>
      </c>
      <c r="O111" s="1">
        <v>570</v>
      </c>
      <c r="P111" s="1">
        <v>1031</v>
      </c>
      <c r="Q111" s="1">
        <v>354</v>
      </c>
      <c r="R111" s="1">
        <v>409</v>
      </c>
      <c r="S111" s="1">
        <v>763</v>
      </c>
      <c r="T111" s="1">
        <v>124</v>
      </c>
      <c r="U111" s="1">
        <v>100</v>
      </c>
      <c r="V111" s="1">
        <v>224</v>
      </c>
      <c r="W111" s="1">
        <f t="shared" ref="W111:X111" si="986">SUM(E111,H111,K111,N111,Q111,T111)</f>
        <v>5087</v>
      </c>
      <c r="X111" s="1">
        <f t="shared" si="986"/>
        <v>6167</v>
      </c>
      <c r="Y111" s="1">
        <f t="shared" si="1"/>
        <v>11254</v>
      </c>
      <c r="Z111" s="1">
        <f t="shared" ref="Z111:AA111" si="987">W111-T111</f>
        <v>4963</v>
      </c>
      <c r="AA111" s="1">
        <f t="shared" si="987"/>
        <v>6067</v>
      </c>
      <c r="AB111" s="1">
        <f t="shared" si="3"/>
        <v>11030</v>
      </c>
      <c r="AC111" s="1">
        <f t="shared" ref="AC111:AD111" si="988">SUM(E111,H111,K111,N111)</f>
        <v>4609</v>
      </c>
      <c r="AD111" s="1">
        <f t="shared" si="988"/>
        <v>5658</v>
      </c>
      <c r="AE111" s="1">
        <f t="shared" si="5"/>
        <v>10267</v>
      </c>
      <c r="AF111" s="2">
        <f t="shared" ref="AF111:AH111" si="989">AC111/Z111</f>
        <v>0.92867217408825309</v>
      </c>
      <c r="AG111" s="2">
        <f t="shared" si="989"/>
        <v>0.93258612164166799</v>
      </c>
      <c r="AH111" s="2">
        <f t="shared" si="989"/>
        <v>0.93082502266545786</v>
      </c>
      <c r="AI111" s="1">
        <f t="shared" ref="AI111:AJ111" si="990">SUM(E111,H111,K111)</f>
        <v>4148</v>
      </c>
      <c r="AJ111" s="1">
        <f t="shared" si="990"/>
        <v>5088</v>
      </c>
      <c r="AK111" s="1">
        <f t="shared" si="8"/>
        <v>9236</v>
      </c>
      <c r="AL111" s="2">
        <f t="shared" ref="AL111:AN111" si="991">AI111/Z111</f>
        <v>0.83578480757606288</v>
      </c>
      <c r="AM111" s="2">
        <f t="shared" si="991"/>
        <v>0.83863523982198784</v>
      </c>
      <c r="AN111" s="2">
        <f t="shared" si="991"/>
        <v>0.8373526745240254</v>
      </c>
      <c r="AO111" s="2">
        <f t="shared" ref="AO111:AQ111" si="992">E111/Z111</f>
        <v>0.12955873463630868</v>
      </c>
      <c r="AP111" s="2">
        <f t="shared" si="992"/>
        <v>0.10499423108620405</v>
      </c>
      <c r="AQ111" s="2">
        <f t="shared" si="992"/>
        <v>0.11604714415231188</v>
      </c>
      <c r="AR111" s="2">
        <f t="shared" si="11"/>
        <v>8.240983276244207E-2</v>
      </c>
      <c r="AS111" s="2">
        <f t="shared" ref="AS111:AT111" si="993">R111/AA111</f>
        <v>6.7413878358331958E-2</v>
      </c>
      <c r="AT111" s="2">
        <f t="shared" si="993"/>
        <v>6.9174977334542156E-2</v>
      </c>
      <c r="AU111" s="2">
        <f t="shared" ref="AU111:AW111" si="994">T111/W111</f>
        <v>2.4375860035384313E-2</v>
      </c>
      <c r="AV111" s="2">
        <f t="shared" si="877"/>
        <v>1.6215339711366954E-2</v>
      </c>
      <c r="AW111" s="2">
        <f t="shared" si="877"/>
        <v>1.9904034121201352E-2</v>
      </c>
    </row>
    <row r="112" spans="1:49" ht="13" x14ac:dyDescent="0.15">
      <c r="A112" s="1">
        <v>2022</v>
      </c>
      <c r="B112" s="1" t="s">
        <v>74</v>
      </c>
      <c r="C112" s="1" t="s">
        <v>75</v>
      </c>
      <c r="D112" s="1" t="s">
        <v>135</v>
      </c>
      <c r="E112" s="1">
        <v>4</v>
      </c>
      <c r="F112" s="1">
        <v>1</v>
      </c>
      <c r="G112" s="1">
        <v>5</v>
      </c>
      <c r="H112" s="1">
        <v>110</v>
      </c>
      <c r="I112" s="1">
        <v>100</v>
      </c>
      <c r="J112" s="1">
        <v>210</v>
      </c>
      <c r="K112" s="1">
        <v>30</v>
      </c>
      <c r="L112" s="1">
        <v>57</v>
      </c>
      <c r="M112" s="1">
        <v>87</v>
      </c>
      <c r="N112" s="1">
        <v>31</v>
      </c>
      <c r="O112" s="1">
        <v>37</v>
      </c>
      <c r="P112" s="1">
        <v>68</v>
      </c>
      <c r="Q112" s="1">
        <v>27</v>
      </c>
      <c r="R112" s="1">
        <v>28</v>
      </c>
      <c r="S112" s="1">
        <v>55</v>
      </c>
      <c r="T112" s="1">
        <v>5</v>
      </c>
      <c r="U112" s="1">
        <v>8</v>
      </c>
      <c r="V112" s="1">
        <v>13</v>
      </c>
      <c r="W112" s="1">
        <f t="shared" ref="W112:X112" si="995">SUM(E112,H112,K112,N112,Q112,T112)</f>
        <v>207</v>
      </c>
      <c r="X112" s="1">
        <f t="shared" si="995"/>
        <v>231</v>
      </c>
      <c r="Y112" s="1">
        <f t="shared" si="1"/>
        <v>438</v>
      </c>
      <c r="Z112" s="1">
        <f t="shared" ref="Z112:AA112" si="996">W112-T112</f>
        <v>202</v>
      </c>
      <c r="AA112" s="1">
        <f t="shared" si="996"/>
        <v>223</v>
      </c>
      <c r="AB112" s="1">
        <f t="shared" si="3"/>
        <v>425</v>
      </c>
      <c r="AC112" s="1">
        <f t="shared" ref="AC112:AD112" si="997">SUM(E112,H112,K112,N112)</f>
        <v>175</v>
      </c>
      <c r="AD112" s="1">
        <f t="shared" si="997"/>
        <v>195</v>
      </c>
      <c r="AE112" s="1">
        <f t="shared" si="5"/>
        <v>370</v>
      </c>
      <c r="AF112" s="2">
        <f t="shared" ref="AF112:AH112" si="998">AC112/Z112</f>
        <v>0.86633663366336633</v>
      </c>
      <c r="AG112" s="2">
        <f t="shared" si="998"/>
        <v>0.87443946188340804</v>
      </c>
      <c r="AH112" s="2">
        <f t="shared" si="998"/>
        <v>0.87058823529411766</v>
      </c>
      <c r="AI112" s="1">
        <f t="shared" ref="AI112:AJ112" si="999">SUM(E112,H112,K112)</f>
        <v>144</v>
      </c>
      <c r="AJ112" s="1">
        <f t="shared" si="999"/>
        <v>158</v>
      </c>
      <c r="AK112" s="1">
        <f t="shared" si="8"/>
        <v>302</v>
      </c>
      <c r="AL112" s="2">
        <f t="shared" ref="AL112:AN112" si="1000">AI112/Z112</f>
        <v>0.71287128712871284</v>
      </c>
      <c r="AM112" s="2">
        <f t="shared" si="1000"/>
        <v>0.70852017937219736</v>
      </c>
      <c r="AN112" s="2">
        <f t="shared" si="1000"/>
        <v>0.71058823529411763</v>
      </c>
      <c r="AO112" s="2">
        <f t="shared" ref="AO112:AQ112" si="1001">E112/Z112</f>
        <v>1.9801980198019802E-2</v>
      </c>
      <c r="AP112" s="2">
        <f t="shared" si="1001"/>
        <v>4.4843049327354259E-3</v>
      </c>
      <c r="AQ112" s="2">
        <f t="shared" si="1001"/>
        <v>1.1764705882352941E-2</v>
      </c>
      <c r="AR112" s="2">
        <f t="shared" si="11"/>
        <v>0.13861386138613863</v>
      </c>
      <c r="AS112" s="2">
        <f t="shared" ref="AS112:AT112" si="1002">R112/AA112</f>
        <v>0.12556053811659193</v>
      </c>
      <c r="AT112" s="2">
        <f t="shared" si="1002"/>
        <v>0.12941176470588237</v>
      </c>
      <c r="AU112" s="2">
        <f t="shared" ref="AU112:AW112" si="1003">T112/W112</f>
        <v>2.4154589371980676E-2</v>
      </c>
      <c r="AV112" s="2">
        <f t="shared" si="877"/>
        <v>3.4632034632034632E-2</v>
      </c>
      <c r="AW112" s="2">
        <f t="shared" si="877"/>
        <v>2.9680365296803651E-2</v>
      </c>
    </row>
    <row r="113" spans="1:49" ht="13" x14ac:dyDescent="0.15">
      <c r="A113" s="1">
        <v>2024</v>
      </c>
      <c r="B113" s="1" t="s">
        <v>49</v>
      </c>
      <c r="C113" s="1" t="s">
        <v>67</v>
      </c>
      <c r="D113" s="1" t="s">
        <v>175</v>
      </c>
      <c r="E113" s="1">
        <v>21</v>
      </c>
      <c r="F113" s="1">
        <v>8</v>
      </c>
      <c r="G113" s="1">
        <v>29</v>
      </c>
      <c r="H113" s="1">
        <v>332</v>
      </c>
      <c r="I113" s="1">
        <v>286</v>
      </c>
      <c r="J113" s="1">
        <v>618</v>
      </c>
      <c r="K113" s="1">
        <v>293</v>
      </c>
      <c r="L113" s="1">
        <v>363</v>
      </c>
      <c r="M113" s="1">
        <v>656</v>
      </c>
      <c r="N113" s="1">
        <v>189</v>
      </c>
      <c r="O113" s="1">
        <v>157</v>
      </c>
      <c r="P113" s="1">
        <v>346</v>
      </c>
      <c r="Q113" s="1">
        <v>103</v>
      </c>
      <c r="R113" s="1">
        <v>127</v>
      </c>
      <c r="S113" s="1">
        <v>230</v>
      </c>
      <c r="T113" s="1">
        <v>4</v>
      </c>
      <c r="U113" s="1">
        <v>4</v>
      </c>
      <c r="V113" s="1">
        <v>8</v>
      </c>
      <c r="W113" s="1">
        <f t="shared" ref="W113:X113" si="1004">SUM(E113,H113,K113,N113,Q113,T113)</f>
        <v>942</v>
      </c>
      <c r="X113" s="1">
        <f t="shared" si="1004"/>
        <v>945</v>
      </c>
      <c r="Y113" s="1">
        <f t="shared" si="1"/>
        <v>1887</v>
      </c>
      <c r="Z113" s="1">
        <f t="shared" ref="Z113:AA113" si="1005">W113-T113</f>
        <v>938</v>
      </c>
      <c r="AA113" s="1">
        <f t="shared" si="1005"/>
        <v>941</v>
      </c>
      <c r="AB113" s="1">
        <f t="shared" si="3"/>
        <v>1879</v>
      </c>
      <c r="AC113" s="1">
        <f t="shared" ref="AC113:AD113" si="1006">SUM(E113,H113,K113,N113)</f>
        <v>835</v>
      </c>
      <c r="AD113" s="1">
        <f t="shared" si="1006"/>
        <v>814</v>
      </c>
      <c r="AE113" s="1">
        <f t="shared" si="5"/>
        <v>1649</v>
      </c>
      <c r="AF113" s="2">
        <f t="shared" ref="AF113:AH113" si="1007">AC113/Z113</f>
        <v>0.89019189765458417</v>
      </c>
      <c r="AG113" s="2">
        <f t="shared" si="1007"/>
        <v>0.86503719447396388</v>
      </c>
      <c r="AH113" s="2">
        <f t="shared" si="1007"/>
        <v>0.87759446514103245</v>
      </c>
      <c r="AI113" s="1">
        <f t="shared" ref="AI113:AJ113" si="1008">SUM(E113,H113,K113)</f>
        <v>646</v>
      </c>
      <c r="AJ113" s="1">
        <f t="shared" si="1008"/>
        <v>657</v>
      </c>
      <c r="AK113" s="1">
        <f t="shared" si="8"/>
        <v>1303</v>
      </c>
      <c r="AL113" s="2">
        <f t="shared" ref="AL113:AN113" si="1009">AI113/Z113</f>
        <v>0.68869936034115142</v>
      </c>
      <c r="AM113" s="2">
        <f t="shared" si="1009"/>
        <v>0.6981934112646121</v>
      </c>
      <c r="AN113" s="2">
        <f t="shared" si="1009"/>
        <v>0.69345396487493349</v>
      </c>
      <c r="AO113" s="2">
        <f t="shared" ref="AO113:AQ113" si="1010">E113/Z113</f>
        <v>2.2388059701492536E-2</v>
      </c>
      <c r="AP113" s="2">
        <f t="shared" si="1010"/>
        <v>8.5015940488841653E-3</v>
      </c>
      <c r="AQ113" s="2">
        <f t="shared" si="1010"/>
        <v>1.5433741351782864E-2</v>
      </c>
      <c r="AR113" s="2">
        <f t="shared" si="11"/>
        <v>0.13539445628997868</v>
      </c>
      <c r="AS113" s="2">
        <f t="shared" ref="AS113:AT113" si="1011">R113/AA113</f>
        <v>0.13496280552603612</v>
      </c>
      <c r="AT113" s="2">
        <f t="shared" si="1011"/>
        <v>0.12240553485896753</v>
      </c>
      <c r="AU113" s="2">
        <f t="shared" ref="AU113:AW113" si="1012">T113/W113</f>
        <v>4.246284501061571E-3</v>
      </c>
      <c r="AV113" s="2">
        <f t="shared" si="877"/>
        <v>4.2328042328042331E-3</v>
      </c>
      <c r="AW113" s="2">
        <f t="shared" si="877"/>
        <v>4.2395336512983575E-3</v>
      </c>
    </row>
    <row r="114" spans="1:49" ht="13" x14ac:dyDescent="0.15">
      <c r="A114" s="1">
        <v>2024</v>
      </c>
      <c r="B114" s="1" t="s">
        <v>49</v>
      </c>
      <c r="C114" s="1" t="s">
        <v>50</v>
      </c>
      <c r="D114" s="1" t="s">
        <v>176</v>
      </c>
      <c r="E114" s="1">
        <v>643</v>
      </c>
      <c r="F114" s="1">
        <v>613</v>
      </c>
      <c r="G114" s="1">
        <v>1256</v>
      </c>
      <c r="H114" s="1">
        <v>2966</v>
      </c>
      <c r="I114" s="1">
        <v>3402</v>
      </c>
      <c r="J114" s="1">
        <v>6368</v>
      </c>
      <c r="K114" s="1">
        <v>630</v>
      </c>
      <c r="L114" s="1">
        <v>896</v>
      </c>
      <c r="M114" s="1">
        <v>1526</v>
      </c>
      <c r="N114" s="1">
        <v>336</v>
      </c>
      <c r="O114" s="1">
        <v>351</v>
      </c>
      <c r="P114" s="1">
        <v>687</v>
      </c>
      <c r="Q114" s="1">
        <v>188</v>
      </c>
      <c r="R114" s="1">
        <v>177</v>
      </c>
      <c r="S114" s="1">
        <v>365</v>
      </c>
      <c r="T114" s="1">
        <v>81</v>
      </c>
      <c r="U114" s="1">
        <v>96</v>
      </c>
      <c r="V114" s="1">
        <v>177</v>
      </c>
      <c r="W114" s="1">
        <f t="shared" ref="W114:X114" si="1013">SUM(E114,H114,K114,N114,Q114,T114)</f>
        <v>4844</v>
      </c>
      <c r="X114" s="1">
        <f t="shared" si="1013"/>
        <v>5535</v>
      </c>
      <c r="Y114" s="1">
        <f t="shared" si="1"/>
        <v>10379</v>
      </c>
      <c r="Z114" s="1">
        <f t="shared" ref="Z114:AA114" si="1014">W114-T114</f>
        <v>4763</v>
      </c>
      <c r="AA114" s="1">
        <f t="shared" si="1014"/>
        <v>5439</v>
      </c>
      <c r="AB114" s="1">
        <f t="shared" si="3"/>
        <v>10202</v>
      </c>
      <c r="AC114" s="1">
        <f t="shared" ref="AC114:AD114" si="1015">SUM(E114,H114,K114,N114)</f>
        <v>4575</v>
      </c>
      <c r="AD114" s="1">
        <f t="shared" si="1015"/>
        <v>5262</v>
      </c>
      <c r="AE114" s="1">
        <f t="shared" si="5"/>
        <v>9837</v>
      </c>
      <c r="AF114" s="2">
        <f t="shared" ref="AF114:AH114" si="1016">AC114/Z114</f>
        <v>0.96052907831198819</v>
      </c>
      <c r="AG114" s="2">
        <f t="shared" si="1016"/>
        <v>0.96745725317153886</v>
      </c>
      <c r="AH114" s="2">
        <f t="shared" si="1016"/>
        <v>0.9642227014310919</v>
      </c>
      <c r="AI114" s="1">
        <f t="shared" ref="AI114:AJ114" si="1017">SUM(E114,H114,K114)</f>
        <v>4239</v>
      </c>
      <c r="AJ114" s="1">
        <f t="shared" si="1017"/>
        <v>4911</v>
      </c>
      <c r="AK114" s="1">
        <f t="shared" si="8"/>
        <v>9150</v>
      </c>
      <c r="AL114" s="2">
        <f t="shared" ref="AL114:AN114" si="1018">AI114/Z114</f>
        <v>0.88998530338022253</v>
      </c>
      <c r="AM114" s="2">
        <f t="shared" si="1018"/>
        <v>0.90292333149476012</v>
      </c>
      <c r="AN114" s="2">
        <f t="shared" si="1018"/>
        <v>0.89688296412468138</v>
      </c>
      <c r="AO114" s="2">
        <f t="shared" ref="AO114:AQ114" si="1019">E114/Z114</f>
        <v>0.13499895024144445</v>
      </c>
      <c r="AP114" s="2">
        <f t="shared" si="1019"/>
        <v>0.11270454127596985</v>
      </c>
      <c r="AQ114" s="2">
        <f t="shared" si="1019"/>
        <v>0.1231131150754754</v>
      </c>
      <c r="AR114" s="2">
        <f t="shared" si="11"/>
        <v>3.7161452865840855E-2</v>
      </c>
      <c r="AS114" s="2">
        <f t="shared" ref="AS114:AT114" si="1020">R114/AA114</f>
        <v>3.2542746828461117E-2</v>
      </c>
      <c r="AT114" s="2">
        <f t="shared" si="1020"/>
        <v>3.5777298568908059E-2</v>
      </c>
      <c r="AU114" s="2">
        <f t="shared" ref="AU114:AW129" si="1021">T114/W114</f>
        <v>1.6721717588769613E-2</v>
      </c>
      <c r="AV114" s="2">
        <f t="shared" si="1021"/>
        <v>1.7344173441734417E-2</v>
      </c>
      <c r="AW114" s="2">
        <f t="shared" si="1021"/>
        <v>1.7053666056460162E-2</v>
      </c>
    </row>
    <row r="115" spans="1:49" ht="13" x14ac:dyDescent="0.15">
      <c r="A115" s="1">
        <v>2024</v>
      </c>
      <c r="B115" s="1" t="s">
        <v>117</v>
      </c>
      <c r="C115" s="1" t="s">
        <v>93</v>
      </c>
      <c r="D115" s="1" t="s">
        <v>177</v>
      </c>
      <c r="E115" s="1">
        <v>291</v>
      </c>
      <c r="F115" s="1">
        <v>213</v>
      </c>
      <c r="G115" s="1">
        <v>504</v>
      </c>
      <c r="H115" s="1">
        <v>1903</v>
      </c>
      <c r="I115" s="1">
        <v>2105</v>
      </c>
      <c r="J115" s="1">
        <v>4008</v>
      </c>
      <c r="K115" s="1">
        <v>756</v>
      </c>
      <c r="L115" s="1">
        <v>1062</v>
      </c>
      <c r="M115" s="1">
        <v>1818</v>
      </c>
      <c r="N115" s="1">
        <v>364</v>
      </c>
      <c r="O115" s="1">
        <v>435</v>
      </c>
      <c r="P115" s="1">
        <v>799</v>
      </c>
      <c r="Q115" s="1">
        <v>290</v>
      </c>
      <c r="R115" s="1">
        <v>399</v>
      </c>
      <c r="S115" s="1">
        <v>689</v>
      </c>
      <c r="T115" s="1">
        <v>44</v>
      </c>
      <c r="U115" s="1">
        <v>45</v>
      </c>
      <c r="V115" s="1">
        <v>89</v>
      </c>
      <c r="W115" s="1">
        <f t="shared" ref="W115:X115" si="1022">SUM(E115,H115,K115,N115,Q115,T115)</f>
        <v>3648</v>
      </c>
      <c r="X115" s="1">
        <f t="shared" si="1022"/>
        <v>4259</v>
      </c>
      <c r="Y115" s="1">
        <f t="shared" si="1"/>
        <v>7907</v>
      </c>
      <c r="Z115" s="1">
        <f t="shared" ref="Z115:AA115" si="1023">W115-T115</f>
        <v>3604</v>
      </c>
      <c r="AA115" s="1">
        <f t="shared" si="1023"/>
        <v>4214</v>
      </c>
      <c r="AB115" s="1">
        <f t="shared" si="3"/>
        <v>7818</v>
      </c>
      <c r="AC115" s="1">
        <f t="shared" ref="AC115:AD115" si="1024">SUM(E115,H115,K115,N115)</f>
        <v>3314</v>
      </c>
      <c r="AD115" s="1">
        <f t="shared" si="1024"/>
        <v>3815</v>
      </c>
      <c r="AE115" s="1">
        <f t="shared" si="5"/>
        <v>7129</v>
      </c>
      <c r="AF115" s="2">
        <f t="shared" ref="AF115:AH115" si="1025">AC115/Z115</f>
        <v>0.91953385127635956</v>
      </c>
      <c r="AG115" s="2">
        <f t="shared" si="1025"/>
        <v>0.90531561461794019</v>
      </c>
      <c r="AH115" s="2">
        <f t="shared" si="1025"/>
        <v>0.9118700434893835</v>
      </c>
      <c r="AI115" s="1">
        <f t="shared" ref="AI115:AJ115" si="1026">SUM(E115,H115,K115)</f>
        <v>2950</v>
      </c>
      <c r="AJ115" s="1">
        <f t="shared" si="1026"/>
        <v>3380</v>
      </c>
      <c r="AK115" s="1">
        <f t="shared" si="8"/>
        <v>6330</v>
      </c>
      <c r="AL115" s="2">
        <f t="shared" ref="AL115:AN115" si="1027">AI115/Z115</f>
        <v>0.81853496115427304</v>
      </c>
      <c r="AM115" s="2">
        <f t="shared" si="1027"/>
        <v>0.80208827717133369</v>
      </c>
      <c r="AN115" s="2">
        <f t="shared" si="1027"/>
        <v>0.80966999232540293</v>
      </c>
      <c r="AO115" s="2">
        <f t="shared" ref="AO115:AQ115" si="1028">E115/Z115</f>
        <v>8.0743618201997783E-2</v>
      </c>
      <c r="AP115" s="2">
        <f t="shared" si="1028"/>
        <v>5.0545799715234929E-2</v>
      </c>
      <c r="AQ115" s="2">
        <f t="shared" si="1028"/>
        <v>6.4466615502686106E-2</v>
      </c>
      <c r="AR115" s="2">
        <f t="shared" si="11"/>
        <v>0.1107103218645949</v>
      </c>
      <c r="AS115" s="2">
        <f t="shared" ref="AS115:AT115" si="1029">R115/AA115</f>
        <v>9.4684385382059796E-2</v>
      </c>
      <c r="AT115" s="2">
        <f t="shared" si="1029"/>
        <v>8.8129956510616531E-2</v>
      </c>
      <c r="AU115" s="2">
        <f t="shared" ref="AU115:AW115" si="1030">T115/W115</f>
        <v>1.2061403508771929E-2</v>
      </c>
      <c r="AV115" s="2">
        <f t="shared" si="1021"/>
        <v>1.0565860530640996E-2</v>
      </c>
      <c r="AW115" s="2">
        <f t="shared" si="1021"/>
        <v>1.1255849247502213E-2</v>
      </c>
    </row>
    <row r="116" spans="1:49" ht="13" x14ac:dyDescent="0.15">
      <c r="A116" s="1">
        <v>2024</v>
      </c>
      <c r="B116" s="1" t="s">
        <v>69</v>
      </c>
      <c r="C116" s="1" t="s">
        <v>93</v>
      </c>
      <c r="D116" s="1" t="s">
        <v>178</v>
      </c>
      <c r="E116" s="1">
        <v>2519</v>
      </c>
      <c r="F116" s="1">
        <v>2367</v>
      </c>
      <c r="G116" s="1">
        <v>4886</v>
      </c>
      <c r="H116" s="1">
        <v>5517</v>
      </c>
      <c r="I116" s="1">
        <v>6713</v>
      </c>
      <c r="J116" s="1">
        <v>12230</v>
      </c>
      <c r="K116" s="1">
        <v>1424</v>
      </c>
      <c r="L116" s="1">
        <v>2025</v>
      </c>
      <c r="M116" s="1">
        <v>3449</v>
      </c>
      <c r="N116" s="1">
        <v>731</v>
      </c>
      <c r="O116" s="1">
        <v>897</v>
      </c>
      <c r="P116" s="1">
        <v>1628</v>
      </c>
      <c r="Q116" s="1">
        <v>614</v>
      </c>
      <c r="R116" s="1">
        <v>754</v>
      </c>
      <c r="S116" s="1">
        <v>1368</v>
      </c>
      <c r="T116" s="1">
        <v>204</v>
      </c>
      <c r="U116" s="1">
        <v>195</v>
      </c>
      <c r="V116" s="1">
        <v>399</v>
      </c>
      <c r="W116" s="1">
        <f t="shared" ref="W116:X116" si="1031">SUM(E116,H116,K116,N116,Q116,T116)</f>
        <v>11009</v>
      </c>
      <c r="X116" s="1">
        <f t="shared" si="1031"/>
        <v>12951</v>
      </c>
      <c r="Y116" s="1">
        <f t="shared" si="1"/>
        <v>23960</v>
      </c>
      <c r="Z116" s="1">
        <f t="shared" ref="Z116:AA116" si="1032">W116-T116</f>
        <v>10805</v>
      </c>
      <c r="AA116" s="1">
        <f t="shared" si="1032"/>
        <v>12756</v>
      </c>
      <c r="AB116" s="1">
        <f t="shared" si="3"/>
        <v>23561</v>
      </c>
      <c r="AC116" s="1">
        <f t="shared" ref="AC116:AD116" si="1033">SUM(E116,H116,K116,N116)</f>
        <v>10191</v>
      </c>
      <c r="AD116" s="1">
        <f t="shared" si="1033"/>
        <v>12002</v>
      </c>
      <c r="AE116" s="1">
        <f t="shared" si="5"/>
        <v>22193</v>
      </c>
      <c r="AF116" s="2">
        <f t="shared" ref="AF116:AH116" si="1034">AC116/Z116</f>
        <v>0.94317445627024521</v>
      </c>
      <c r="AG116" s="2">
        <f t="shared" si="1034"/>
        <v>0.94089056130448412</v>
      </c>
      <c r="AH116" s="2">
        <f t="shared" si="1034"/>
        <v>0.94193794830440136</v>
      </c>
      <c r="AI116" s="1">
        <f t="shared" ref="AI116:AJ116" si="1035">SUM(E116,H116,K116)</f>
        <v>9460</v>
      </c>
      <c r="AJ116" s="1">
        <f t="shared" si="1035"/>
        <v>11105</v>
      </c>
      <c r="AK116" s="1">
        <f t="shared" si="8"/>
        <v>20565</v>
      </c>
      <c r="AL116" s="2">
        <f t="shared" ref="AL116:AN116" si="1036">AI116/Z116</f>
        <v>0.87552059231837109</v>
      </c>
      <c r="AM116" s="2">
        <f t="shared" si="1036"/>
        <v>0.87057071182188772</v>
      </c>
      <c r="AN116" s="2">
        <f t="shared" si="1036"/>
        <v>0.87284071134501928</v>
      </c>
      <c r="AO116" s="2">
        <f t="shared" ref="AO116:AQ116" si="1037">E116/Z116</f>
        <v>0.23313280888477556</v>
      </c>
      <c r="AP116" s="2">
        <f t="shared" si="1037"/>
        <v>0.18555973659454375</v>
      </c>
      <c r="AQ116" s="2">
        <f t="shared" si="1037"/>
        <v>0.20737659691863672</v>
      </c>
      <c r="AR116" s="2">
        <f t="shared" si="11"/>
        <v>6.9782508098102727E-2</v>
      </c>
      <c r="AS116" s="2">
        <f t="shared" ref="AS116:AT116" si="1038">R116/AA116</f>
        <v>5.9109438695515833E-2</v>
      </c>
      <c r="AT116" s="2">
        <f t="shared" si="1038"/>
        <v>5.8062051695598658E-2</v>
      </c>
      <c r="AU116" s="2">
        <f t="shared" ref="AU116:AW116" si="1039">T116/W116</f>
        <v>1.8530293396312108E-2</v>
      </c>
      <c r="AV116" s="2">
        <f t="shared" si="1021"/>
        <v>1.5056752374334029E-2</v>
      </c>
      <c r="AW116" s="2">
        <f t="shared" si="1021"/>
        <v>1.6652754590984975E-2</v>
      </c>
    </row>
    <row r="117" spans="1:49" ht="13" x14ac:dyDescent="0.15">
      <c r="A117" s="1">
        <v>2024</v>
      </c>
      <c r="B117" s="1" t="s">
        <v>74</v>
      </c>
      <c r="C117" s="1" t="s">
        <v>75</v>
      </c>
      <c r="D117" s="1" t="s">
        <v>179</v>
      </c>
      <c r="E117" s="1">
        <v>9</v>
      </c>
      <c r="F117" s="1">
        <v>0</v>
      </c>
      <c r="G117" s="1">
        <v>9</v>
      </c>
      <c r="H117" s="1">
        <v>266</v>
      </c>
      <c r="I117" s="1">
        <v>91</v>
      </c>
      <c r="J117" s="1">
        <v>357</v>
      </c>
      <c r="K117" s="1">
        <v>107</v>
      </c>
      <c r="L117" s="1">
        <v>76</v>
      </c>
      <c r="M117" s="1">
        <v>183</v>
      </c>
      <c r="N117" s="1">
        <v>44</v>
      </c>
      <c r="O117" s="1">
        <v>41</v>
      </c>
      <c r="P117" s="1">
        <v>85</v>
      </c>
      <c r="Q117" s="1">
        <v>26</v>
      </c>
      <c r="R117" s="1">
        <v>34</v>
      </c>
      <c r="S117" s="1">
        <v>60</v>
      </c>
      <c r="T117" s="1">
        <v>5</v>
      </c>
      <c r="U117" s="1">
        <v>1</v>
      </c>
      <c r="V117" s="1">
        <v>6</v>
      </c>
      <c r="W117" s="1">
        <f t="shared" ref="W117:X117" si="1040">SUM(E117,H117,K117,N117,Q117,T117)</f>
        <v>457</v>
      </c>
      <c r="X117" s="1">
        <f t="shared" si="1040"/>
        <v>243</v>
      </c>
      <c r="Y117" s="1">
        <f t="shared" si="1"/>
        <v>700</v>
      </c>
      <c r="Z117" s="1">
        <f t="shared" ref="Z117:AA117" si="1041">W117-T117</f>
        <v>452</v>
      </c>
      <c r="AA117" s="1">
        <f t="shared" si="1041"/>
        <v>242</v>
      </c>
      <c r="AB117" s="1">
        <f t="shared" si="3"/>
        <v>694</v>
      </c>
      <c r="AC117" s="1">
        <f t="shared" ref="AC117:AD117" si="1042">SUM(E117,H117,K117,N117)</f>
        <v>426</v>
      </c>
      <c r="AD117" s="1">
        <f t="shared" si="1042"/>
        <v>208</v>
      </c>
      <c r="AE117" s="1">
        <f t="shared" si="5"/>
        <v>634</v>
      </c>
      <c r="AF117" s="2">
        <f t="shared" ref="AF117:AH117" si="1043">AC117/Z117</f>
        <v>0.94247787610619471</v>
      </c>
      <c r="AG117" s="2">
        <f t="shared" si="1043"/>
        <v>0.85950413223140498</v>
      </c>
      <c r="AH117" s="2">
        <f t="shared" si="1043"/>
        <v>0.91354466858789629</v>
      </c>
      <c r="AI117" s="1">
        <f t="shared" ref="AI117:AJ117" si="1044">SUM(E117,H117,K117)</f>
        <v>382</v>
      </c>
      <c r="AJ117" s="1">
        <f t="shared" si="1044"/>
        <v>167</v>
      </c>
      <c r="AK117" s="1">
        <f t="shared" si="8"/>
        <v>549</v>
      </c>
      <c r="AL117" s="2">
        <f t="shared" ref="AL117:AN117" si="1045">AI117/Z117</f>
        <v>0.84513274336283184</v>
      </c>
      <c r="AM117" s="2">
        <f t="shared" si="1045"/>
        <v>0.69008264462809921</v>
      </c>
      <c r="AN117" s="2">
        <f t="shared" si="1045"/>
        <v>0.79106628242074928</v>
      </c>
      <c r="AO117" s="2">
        <f t="shared" ref="AO117:AQ117" si="1046">E117/Z117</f>
        <v>1.9911504424778761E-2</v>
      </c>
      <c r="AP117" s="2">
        <f t="shared" si="1046"/>
        <v>0</v>
      </c>
      <c r="AQ117" s="2">
        <f t="shared" si="1046"/>
        <v>1.2968299711815562E-2</v>
      </c>
      <c r="AR117" s="2">
        <f t="shared" si="11"/>
        <v>7.5221238938053103E-2</v>
      </c>
      <c r="AS117" s="2">
        <f t="shared" ref="AS117:AT117" si="1047">R117/AA117</f>
        <v>0.14049586776859505</v>
      </c>
      <c r="AT117" s="2">
        <f t="shared" si="1047"/>
        <v>8.645533141210375E-2</v>
      </c>
      <c r="AU117" s="2">
        <f t="shared" ref="AU117:AW117" si="1048">T117/W117</f>
        <v>1.0940919037199124E-2</v>
      </c>
      <c r="AV117" s="2">
        <f t="shared" si="1021"/>
        <v>4.11522633744856E-3</v>
      </c>
      <c r="AW117" s="2">
        <f t="shared" si="1021"/>
        <v>8.5714285714285719E-3</v>
      </c>
    </row>
    <row r="118" spans="1:49" ht="13" x14ac:dyDescent="0.15">
      <c r="A118" s="1">
        <v>2023</v>
      </c>
      <c r="B118" s="1" t="s">
        <v>74</v>
      </c>
      <c r="C118" s="1" t="s">
        <v>75</v>
      </c>
      <c r="D118" s="1" t="s">
        <v>179</v>
      </c>
      <c r="E118" s="1">
        <v>5</v>
      </c>
      <c r="F118" s="1">
        <v>0</v>
      </c>
      <c r="G118" s="1">
        <v>5</v>
      </c>
      <c r="H118" s="1">
        <v>245</v>
      </c>
      <c r="I118" s="1">
        <v>79</v>
      </c>
      <c r="J118" s="1">
        <v>324</v>
      </c>
      <c r="K118" s="1">
        <v>123</v>
      </c>
      <c r="L118" s="1">
        <v>88</v>
      </c>
      <c r="M118" s="1">
        <v>211</v>
      </c>
      <c r="N118" s="1">
        <v>54</v>
      </c>
      <c r="O118" s="1">
        <v>43</v>
      </c>
      <c r="P118" s="1">
        <v>97</v>
      </c>
      <c r="Q118" s="1">
        <v>35</v>
      </c>
      <c r="R118" s="1">
        <v>23</v>
      </c>
      <c r="S118" s="1">
        <v>58</v>
      </c>
      <c r="T118" s="1">
        <v>8</v>
      </c>
      <c r="U118" s="1">
        <v>6</v>
      </c>
      <c r="V118" s="1">
        <v>14</v>
      </c>
      <c r="W118" s="1">
        <f t="shared" ref="W118:X118" si="1049">SUM(E118,H118,K118,N118,Q118,T118)</f>
        <v>470</v>
      </c>
      <c r="X118" s="1">
        <f t="shared" si="1049"/>
        <v>239</v>
      </c>
      <c r="Y118" s="1">
        <f t="shared" si="1"/>
        <v>709</v>
      </c>
      <c r="Z118" s="1">
        <f t="shared" ref="Z118:AA118" si="1050">W118-T118</f>
        <v>462</v>
      </c>
      <c r="AA118" s="1">
        <f t="shared" si="1050"/>
        <v>233</v>
      </c>
      <c r="AB118" s="1">
        <f t="shared" si="3"/>
        <v>695</v>
      </c>
      <c r="AC118" s="1">
        <f t="shared" ref="AC118:AD118" si="1051">SUM(E118,H118,K118,N118)</f>
        <v>427</v>
      </c>
      <c r="AD118" s="1">
        <f t="shared" si="1051"/>
        <v>210</v>
      </c>
      <c r="AE118" s="1">
        <f t="shared" si="5"/>
        <v>637</v>
      </c>
      <c r="AF118" s="2">
        <f t="shared" ref="AF118:AH118" si="1052">AC118/Z118</f>
        <v>0.9242424242424242</v>
      </c>
      <c r="AG118" s="2">
        <f t="shared" si="1052"/>
        <v>0.90128755364806867</v>
      </c>
      <c r="AH118" s="2">
        <f t="shared" si="1052"/>
        <v>0.91654676258992807</v>
      </c>
      <c r="AI118" s="1">
        <f t="shared" ref="AI118:AJ118" si="1053">SUM(E118,H118,K118)</f>
        <v>373</v>
      </c>
      <c r="AJ118" s="1">
        <f t="shared" si="1053"/>
        <v>167</v>
      </c>
      <c r="AK118" s="1">
        <f t="shared" si="8"/>
        <v>540</v>
      </c>
      <c r="AL118" s="2">
        <f t="shared" ref="AL118:AN118" si="1054">AI118/Z118</f>
        <v>0.80735930735930739</v>
      </c>
      <c r="AM118" s="2">
        <f t="shared" si="1054"/>
        <v>0.71673819742489275</v>
      </c>
      <c r="AN118" s="2">
        <f t="shared" si="1054"/>
        <v>0.7769784172661871</v>
      </c>
      <c r="AO118" s="2">
        <f t="shared" ref="AO118:AQ118" si="1055">E118/Z118</f>
        <v>1.0822510822510822E-2</v>
      </c>
      <c r="AP118" s="2">
        <f t="shared" si="1055"/>
        <v>0</v>
      </c>
      <c r="AQ118" s="2">
        <f t="shared" si="1055"/>
        <v>7.1942446043165471E-3</v>
      </c>
      <c r="AR118" s="2">
        <f t="shared" si="11"/>
        <v>4.9783549783549784E-2</v>
      </c>
      <c r="AS118" s="2">
        <f t="shared" ref="AS118:AT118" si="1056">R118/AA118</f>
        <v>9.8712446351931327E-2</v>
      </c>
      <c r="AT118" s="2">
        <f t="shared" si="1056"/>
        <v>8.3453237410071948E-2</v>
      </c>
      <c r="AU118" s="2">
        <f t="shared" ref="AU118:AW118" si="1057">T118/W118</f>
        <v>1.7021276595744681E-2</v>
      </c>
      <c r="AV118" s="2">
        <f t="shared" si="1021"/>
        <v>2.5104602510460251E-2</v>
      </c>
      <c r="AW118" s="2">
        <f t="shared" si="1021"/>
        <v>1.9746121297602257E-2</v>
      </c>
    </row>
    <row r="119" spans="1:49" ht="13" x14ac:dyDescent="0.15">
      <c r="A119" s="1">
        <v>2024</v>
      </c>
      <c r="B119" s="1" t="s">
        <v>49</v>
      </c>
      <c r="C119" s="1" t="s">
        <v>93</v>
      </c>
      <c r="D119" s="1" t="s">
        <v>180</v>
      </c>
      <c r="E119" s="1">
        <v>211</v>
      </c>
      <c r="F119" s="1">
        <v>179</v>
      </c>
      <c r="G119" s="1">
        <v>390</v>
      </c>
      <c r="H119" s="1">
        <v>1517</v>
      </c>
      <c r="I119" s="1">
        <v>1763</v>
      </c>
      <c r="J119" s="1">
        <v>3280</v>
      </c>
      <c r="K119" s="1">
        <v>421</v>
      </c>
      <c r="L119" s="1">
        <v>664</v>
      </c>
      <c r="M119" s="1">
        <v>1085</v>
      </c>
      <c r="N119" s="1">
        <v>202</v>
      </c>
      <c r="O119" s="1">
        <v>235</v>
      </c>
      <c r="P119" s="1">
        <v>437</v>
      </c>
      <c r="Q119" s="1">
        <v>100</v>
      </c>
      <c r="R119" s="1">
        <v>153</v>
      </c>
      <c r="S119" s="1">
        <v>253</v>
      </c>
      <c r="T119" s="1">
        <v>48</v>
      </c>
      <c r="U119" s="1">
        <v>54</v>
      </c>
      <c r="V119" s="1">
        <v>102</v>
      </c>
      <c r="W119" s="1">
        <f t="shared" ref="W119:X119" si="1058">SUM(E119,H119,K119,N119,Q119,T119)</f>
        <v>2499</v>
      </c>
      <c r="X119" s="1">
        <f t="shared" si="1058"/>
        <v>3048</v>
      </c>
      <c r="Y119" s="1">
        <f t="shared" si="1"/>
        <v>5547</v>
      </c>
      <c r="Z119" s="1">
        <f t="shared" ref="Z119:AA119" si="1059">W119-T119</f>
        <v>2451</v>
      </c>
      <c r="AA119" s="1">
        <f t="shared" si="1059"/>
        <v>2994</v>
      </c>
      <c r="AB119" s="1">
        <f t="shared" si="3"/>
        <v>5445</v>
      </c>
      <c r="AC119" s="1">
        <f t="shared" ref="AC119:AD119" si="1060">SUM(E119,H119,K119,N119)</f>
        <v>2351</v>
      </c>
      <c r="AD119" s="1">
        <f t="shared" si="1060"/>
        <v>2841</v>
      </c>
      <c r="AE119" s="1">
        <f t="shared" si="5"/>
        <v>5192</v>
      </c>
      <c r="AF119" s="2">
        <f t="shared" ref="AF119:AH119" si="1061">AC119/Z119</f>
        <v>0.95920032639738884</v>
      </c>
      <c r="AG119" s="2">
        <f t="shared" si="1061"/>
        <v>0.94889779559118237</v>
      </c>
      <c r="AH119" s="2">
        <f t="shared" si="1061"/>
        <v>0.95353535353535357</v>
      </c>
      <c r="AI119" s="1">
        <f t="shared" ref="AI119:AJ119" si="1062">SUM(E119,H119,K119)</f>
        <v>2149</v>
      </c>
      <c r="AJ119" s="1">
        <f t="shared" si="1062"/>
        <v>2606</v>
      </c>
      <c r="AK119" s="1">
        <f t="shared" si="8"/>
        <v>4755</v>
      </c>
      <c r="AL119" s="2">
        <f t="shared" ref="AL119:AN119" si="1063">AI119/Z119</f>
        <v>0.87678498572011421</v>
      </c>
      <c r="AM119" s="2">
        <f t="shared" si="1063"/>
        <v>0.87040748162992654</v>
      </c>
      <c r="AN119" s="2">
        <f t="shared" si="1063"/>
        <v>0.8732782369146006</v>
      </c>
      <c r="AO119" s="2">
        <f t="shared" ref="AO119:AQ119" si="1064">E119/Z119</f>
        <v>8.6087311301509595E-2</v>
      </c>
      <c r="AP119" s="2">
        <f t="shared" si="1064"/>
        <v>5.9786239144956579E-2</v>
      </c>
      <c r="AQ119" s="2">
        <f t="shared" si="1064"/>
        <v>7.1625344352617082E-2</v>
      </c>
      <c r="AR119" s="2">
        <f t="shared" si="11"/>
        <v>6.2423500611995107E-2</v>
      </c>
      <c r="AS119" s="2">
        <f t="shared" ref="AS119:AT119" si="1065">R119/AA119</f>
        <v>5.1102204408817638E-2</v>
      </c>
      <c r="AT119" s="2">
        <f t="shared" si="1065"/>
        <v>4.6464646464646465E-2</v>
      </c>
      <c r="AU119" s="2">
        <f t="shared" ref="AU119:AW119" si="1066">T119/W119</f>
        <v>1.920768307322929E-2</v>
      </c>
      <c r="AV119" s="2">
        <f t="shared" si="1021"/>
        <v>1.7716535433070866E-2</v>
      </c>
      <c r="AW119" s="2">
        <f t="shared" si="1021"/>
        <v>1.8388318009734991E-2</v>
      </c>
    </row>
    <row r="120" spans="1:49" ht="13" x14ac:dyDescent="0.15">
      <c r="A120" s="1">
        <v>2024</v>
      </c>
      <c r="B120" s="1" t="s">
        <v>49</v>
      </c>
      <c r="C120" s="1" t="s">
        <v>93</v>
      </c>
      <c r="D120" s="1" t="s">
        <v>181</v>
      </c>
      <c r="E120" s="1">
        <v>148</v>
      </c>
      <c r="F120" s="1">
        <v>121</v>
      </c>
      <c r="G120" s="1">
        <v>269</v>
      </c>
      <c r="H120" s="1">
        <v>882</v>
      </c>
      <c r="I120" s="1">
        <v>986</v>
      </c>
      <c r="J120" s="1">
        <v>1868</v>
      </c>
      <c r="K120" s="1">
        <v>393</v>
      </c>
      <c r="L120" s="1">
        <v>611</v>
      </c>
      <c r="M120" s="1">
        <v>1004</v>
      </c>
      <c r="N120" s="1">
        <v>197</v>
      </c>
      <c r="O120" s="1">
        <v>269</v>
      </c>
      <c r="P120" s="1">
        <v>466</v>
      </c>
      <c r="Q120" s="1">
        <v>248</v>
      </c>
      <c r="R120" s="1">
        <v>357</v>
      </c>
      <c r="S120" s="1">
        <v>605</v>
      </c>
      <c r="T120" s="1">
        <v>63</v>
      </c>
      <c r="U120" s="1">
        <v>74</v>
      </c>
      <c r="V120" s="1">
        <v>137</v>
      </c>
      <c r="W120" s="1">
        <f t="shared" ref="W120:X120" si="1067">SUM(E120,H120,K120,N120,Q120,T120)</f>
        <v>1931</v>
      </c>
      <c r="X120" s="1">
        <f t="shared" si="1067"/>
        <v>2418</v>
      </c>
      <c r="Y120" s="1">
        <f t="shared" si="1"/>
        <v>4349</v>
      </c>
      <c r="Z120" s="1">
        <f t="shared" ref="Z120:AA120" si="1068">W120-T120</f>
        <v>1868</v>
      </c>
      <c r="AA120" s="1">
        <f t="shared" si="1068"/>
        <v>2344</v>
      </c>
      <c r="AB120" s="1">
        <f t="shared" si="3"/>
        <v>4212</v>
      </c>
      <c r="AC120" s="1">
        <f t="shared" ref="AC120:AD120" si="1069">SUM(E120,H120,K120,N120)</f>
        <v>1620</v>
      </c>
      <c r="AD120" s="1">
        <f t="shared" si="1069"/>
        <v>1987</v>
      </c>
      <c r="AE120" s="1">
        <f t="shared" si="5"/>
        <v>3607</v>
      </c>
      <c r="AF120" s="2">
        <f t="shared" ref="AF120:AH120" si="1070">AC120/Z120</f>
        <v>0.86723768736616702</v>
      </c>
      <c r="AG120" s="2">
        <f t="shared" si="1070"/>
        <v>0.84769624573378843</v>
      </c>
      <c r="AH120" s="2">
        <f t="shared" si="1070"/>
        <v>0.85636277302943975</v>
      </c>
      <c r="AI120" s="1">
        <f t="shared" ref="AI120:AJ120" si="1071">SUM(E120,H120,K120)</f>
        <v>1423</v>
      </c>
      <c r="AJ120" s="1">
        <f t="shared" si="1071"/>
        <v>1718</v>
      </c>
      <c r="AK120" s="1">
        <f t="shared" si="8"/>
        <v>3141</v>
      </c>
      <c r="AL120" s="2">
        <f t="shared" ref="AL120:AN120" si="1072">AI120/Z120</f>
        <v>0.76177730192719484</v>
      </c>
      <c r="AM120" s="2">
        <f t="shared" si="1072"/>
        <v>0.73293515358361772</v>
      </c>
      <c r="AN120" s="2">
        <f t="shared" si="1072"/>
        <v>0.74572649572649574</v>
      </c>
      <c r="AO120" s="2">
        <f t="shared" ref="AO120:AQ120" si="1073">E120/Z120</f>
        <v>7.922912205567452E-2</v>
      </c>
      <c r="AP120" s="2">
        <f t="shared" si="1073"/>
        <v>5.1621160409556312E-2</v>
      </c>
      <c r="AQ120" s="2">
        <f t="shared" si="1073"/>
        <v>6.3865147198480535E-2</v>
      </c>
      <c r="AR120" s="2">
        <f t="shared" si="11"/>
        <v>0.1911134903640257</v>
      </c>
      <c r="AS120" s="2">
        <f t="shared" ref="AS120:AT120" si="1074">R120/AA120</f>
        <v>0.15230375426621159</v>
      </c>
      <c r="AT120" s="2">
        <f t="shared" si="1074"/>
        <v>0.14363722697056031</v>
      </c>
      <c r="AU120" s="2">
        <f t="shared" ref="AU120:AW120" si="1075">T120/W120</f>
        <v>3.2625582599689278E-2</v>
      </c>
      <c r="AV120" s="2">
        <f t="shared" si="1021"/>
        <v>3.0603804797353185E-2</v>
      </c>
      <c r="AW120" s="2">
        <f t="shared" si="1021"/>
        <v>3.1501494596458957E-2</v>
      </c>
    </row>
    <row r="121" spans="1:49" ht="13" x14ac:dyDescent="0.15">
      <c r="A121" s="1">
        <v>2024</v>
      </c>
      <c r="B121" s="1" t="s">
        <v>49</v>
      </c>
      <c r="C121" s="1" t="s">
        <v>89</v>
      </c>
      <c r="D121" s="1" t="s">
        <v>182</v>
      </c>
      <c r="E121" s="1">
        <v>188</v>
      </c>
      <c r="F121" s="1">
        <v>159</v>
      </c>
      <c r="G121" s="1">
        <v>347</v>
      </c>
      <c r="H121" s="1">
        <v>1180</v>
      </c>
      <c r="I121" s="1">
        <v>935</v>
      </c>
      <c r="J121" s="1">
        <v>2115</v>
      </c>
      <c r="K121" s="1">
        <v>392</v>
      </c>
      <c r="L121" s="1">
        <v>450</v>
      </c>
      <c r="M121" s="1">
        <v>842</v>
      </c>
      <c r="N121" s="1">
        <v>202</v>
      </c>
      <c r="O121" s="1">
        <v>221</v>
      </c>
      <c r="P121" s="1">
        <v>423</v>
      </c>
      <c r="Q121" s="1">
        <v>135</v>
      </c>
      <c r="R121" s="1">
        <v>134</v>
      </c>
      <c r="S121" s="1">
        <v>269</v>
      </c>
      <c r="T121" s="1">
        <v>10</v>
      </c>
      <c r="U121" s="1">
        <v>12</v>
      </c>
      <c r="V121" s="1">
        <v>22</v>
      </c>
      <c r="W121" s="1">
        <f t="shared" ref="W121:X121" si="1076">SUM(E121,H121,K121,N121,Q121,T121)</f>
        <v>2107</v>
      </c>
      <c r="X121" s="1">
        <f t="shared" si="1076"/>
        <v>1911</v>
      </c>
      <c r="Y121" s="1">
        <f t="shared" si="1"/>
        <v>4018</v>
      </c>
      <c r="Z121" s="1">
        <f t="shared" ref="Z121:AA121" si="1077">W121-T121</f>
        <v>2097</v>
      </c>
      <c r="AA121" s="1">
        <f t="shared" si="1077"/>
        <v>1899</v>
      </c>
      <c r="AB121" s="1">
        <f t="shared" si="3"/>
        <v>3996</v>
      </c>
      <c r="AC121" s="1">
        <f t="shared" ref="AC121:AD121" si="1078">SUM(E121,H121,K121,N121)</f>
        <v>1962</v>
      </c>
      <c r="AD121" s="1">
        <f t="shared" si="1078"/>
        <v>1765</v>
      </c>
      <c r="AE121" s="1">
        <f t="shared" si="5"/>
        <v>3727</v>
      </c>
      <c r="AF121" s="2">
        <f t="shared" ref="AF121:AH121" si="1079">AC121/Z121</f>
        <v>0.93562231759656656</v>
      </c>
      <c r="AG121" s="2">
        <f t="shared" si="1079"/>
        <v>0.92943654555028965</v>
      </c>
      <c r="AH121" s="2">
        <f t="shared" si="1079"/>
        <v>0.93268268268268273</v>
      </c>
      <c r="AI121" s="1">
        <f t="shared" ref="AI121:AJ121" si="1080">SUM(E121,H121,K121)</f>
        <v>1760</v>
      </c>
      <c r="AJ121" s="1">
        <f t="shared" si="1080"/>
        <v>1544</v>
      </c>
      <c r="AK121" s="1">
        <f t="shared" si="8"/>
        <v>3304</v>
      </c>
      <c r="AL121" s="2">
        <f t="shared" ref="AL121:AN121" si="1081">AI121/Z121</f>
        <v>0.83929422985216973</v>
      </c>
      <c r="AM121" s="2">
        <f t="shared" si="1081"/>
        <v>0.81305950500263291</v>
      </c>
      <c r="AN121" s="2">
        <f t="shared" si="1081"/>
        <v>0.82682682682682684</v>
      </c>
      <c r="AO121" s="2">
        <f t="shared" ref="AO121:AQ121" si="1082">E121/Z121</f>
        <v>8.9651883643299957E-2</v>
      </c>
      <c r="AP121" s="2">
        <f t="shared" si="1082"/>
        <v>8.3728278041074244E-2</v>
      </c>
      <c r="AQ121" s="2">
        <f t="shared" si="1082"/>
        <v>8.6836836836836837E-2</v>
      </c>
      <c r="AR121" s="2">
        <f t="shared" si="11"/>
        <v>6.3900810681926559E-2</v>
      </c>
      <c r="AS121" s="2">
        <f t="shared" ref="AS121:AT121" si="1083">R121/AA121</f>
        <v>7.0563454449710378E-2</v>
      </c>
      <c r="AT121" s="2">
        <f t="shared" si="1083"/>
        <v>6.7317317317317313E-2</v>
      </c>
      <c r="AU121" s="2">
        <f t="shared" ref="AU121:AW121" si="1084">T121/W121</f>
        <v>4.7460844803037493E-3</v>
      </c>
      <c r="AV121" s="2">
        <f t="shared" si="1021"/>
        <v>6.2794348508634227E-3</v>
      </c>
      <c r="AW121" s="2">
        <f t="shared" si="1021"/>
        <v>5.4753608760577405E-3</v>
      </c>
    </row>
    <row r="122" spans="1:49" ht="13" x14ac:dyDescent="0.15">
      <c r="A122" s="1">
        <v>2024</v>
      </c>
      <c r="B122" s="1" t="s">
        <v>49</v>
      </c>
      <c r="C122" s="1" t="s">
        <v>62</v>
      </c>
      <c r="D122" s="1" t="s">
        <v>183</v>
      </c>
      <c r="E122" s="1">
        <v>79</v>
      </c>
      <c r="F122" s="1">
        <v>50</v>
      </c>
      <c r="G122" s="1">
        <v>129</v>
      </c>
      <c r="H122" s="1">
        <v>742</v>
      </c>
      <c r="I122" s="1">
        <v>796</v>
      </c>
      <c r="J122" s="1">
        <v>1538</v>
      </c>
      <c r="K122" s="1">
        <v>645</v>
      </c>
      <c r="L122" s="1">
        <v>852</v>
      </c>
      <c r="M122" s="1">
        <v>1497</v>
      </c>
      <c r="N122" s="1">
        <v>344</v>
      </c>
      <c r="O122" s="1">
        <v>402</v>
      </c>
      <c r="P122" s="1">
        <v>746</v>
      </c>
      <c r="Q122" s="1">
        <v>371</v>
      </c>
      <c r="R122" s="1">
        <v>453</v>
      </c>
      <c r="S122" s="1">
        <v>824</v>
      </c>
      <c r="T122" s="1">
        <v>25</v>
      </c>
      <c r="U122" s="1">
        <v>31</v>
      </c>
      <c r="V122" s="1">
        <v>56</v>
      </c>
      <c r="W122" s="1">
        <f t="shared" ref="W122:X122" si="1085">SUM(E122,H122,K122,N122,Q122,T122)</f>
        <v>2206</v>
      </c>
      <c r="X122" s="1">
        <f t="shared" si="1085"/>
        <v>2584</v>
      </c>
      <c r="Y122" s="1">
        <f t="shared" si="1"/>
        <v>4790</v>
      </c>
      <c r="Z122" s="1">
        <f t="shared" ref="Z122:AA122" si="1086">W122-T122</f>
        <v>2181</v>
      </c>
      <c r="AA122" s="1">
        <f t="shared" si="1086"/>
        <v>2553</v>
      </c>
      <c r="AB122" s="1">
        <f t="shared" si="3"/>
        <v>4734</v>
      </c>
      <c r="AC122" s="1">
        <f t="shared" ref="AC122:AD122" si="1087">SUM(E122,H122,K122,N122)</f>
        <v>1810</v>
      </c>
      <c r="AD122" s="1">
        <f t="shared" si="1087"/>
        <v>2100</v>
      </c>
      <c r="AE122" s="1">
        <f t="shared" si="5"/>
        <v>3910</v>
      </c>
      <c r="AF122" s="2">
        <f t="shared" ref="AF122:AH122" si="1088">AC122/Z122</f>
        <v>0.82989454378725358</v>
      </c>
      <c r="AG122" s="2">
        <f t="shared" si="1088"/>
        <v>0.82256169212690955</v>
      </c>
      <c r="AH122" s="2">
        <f t="shared" si="1088"/>
        <v>0.82594000844951421</v>
      </c>
      <c r="AI122" s="1">
        <f t="shared" ref="AI122:AJ122" si="1089">SUM(E122,H122,K122)</f>
        <v>1466</v>
      </c>
      <c r="AJ122" s="1">
        <f t="shared" si="1089"/>
        <v>1698</v>
      </c>
      <c r="AK122" s="1">
        <f t="shared" si="8"/>
        <v>3164</v>
      </c>
      <c r="AL122" s="2">
        <f t="shared" ref="AL122:AN122" si="1090">AI122/Z122</f>
        <v>0.67216872994039434</v>
      </c>
      <c r="AM122" s="2">
        <f t="shared" si="1090"/>
        <v>0.66509988249118679</v>
      </c>
      <c r="AN122" s="2">
        <f t="shared" si="1090"/>
        <v>0.66835656949725386</v>
      </c>
      <c r="AO122" s="2">
        <f t="shared" ref="AO122:AQ122" si="1091">E122/Z122</f>
        <v>3.6221916552040351E-2</v>
      </c>
      <c r="AP122" s="2">
        <f t="shared" si="1091"/>
        <v>1.9584802193497845E-2</v>
      </c>
      <c r="AQ122" s="2">
        <f t="shared" si="1091"/>
        <v>2.7249683143219267E-2</v>
      </c>
      <c r="AR122" s="2">
        <f t="shared" si="11"/>
        <v>0.2077028885832187</v>
      </c>
      <c r="AS122" s="2">
        <f t="shared" ref="AS122:AT122" si="1092">R122/AA122</f>
        <v>0.17743830787309048</v>
      </c>
      <c r="AT122" s="2">
        <f t="shared" si="1092"/>
        <v>0.17405999155048585</v>
      </c>
      <c r="AU122" s="2">
        <f t="shared" ref="AU122:AW122" si="1093">T122/W122</f>
        <v>1.1332728921124207E-2</v>
      </c>
      <c r="AV122" s="2">
        <f t="shared" si="1021"/>
        <v>1.1996904024767802E-2</v>
      </c>
      <c r="AW122" s="2">
        <f t="shared" si="1021"/>
        <v>1.1691022964509395E-2</v>
      </c>
    </row>
    <row r="123" spans="1:49" ht="13" x14ac:dyDescent="0.15">
      <c r="A123" s="1">
        <v>2024</v>
      </c>
      <c r="B123" s="1" t="s">
        <v>49</v>
      </c>
      <c r="C123" s="1" t="s">
        <v>89</v>
      </c>
      <c r="D123" s="1" t="s">
        <v>184</v>
      </c>
      <c r="E123" s="1">
        <v>161</v>
      </c>
      <c r="F123" s="1">
        <v>130</v>
      </c>
      <c r="G123" s="1">
        <v>291</v>
      </c>
      <c r="H123" s="1">
        <v>1358</v>
      </c>
      <c r="I123" s="1">
        <v>1654</v>
      </c>
      <c r="J123" s="1">
        <v>3012</v>
      </c>
      <c r="K123" s="1">
        <v>751</v>
      </c>
      <c r="L123" s="1">
        <v>964</v>
      </c>
      <c r="M123" s="1">
        <v>1715</v>
      </c>
      <c r="N123" s="1">
        <v>353</v>
      </c>
      <c r="O123" s="1">
        <v>369</v>
      </c>
      <c r="P123" s="1">
        <v>722</v>
      </c>
      <c r="Q123" s="1">
        <v>83</v>
      </c>
      <c r="R123" s="1">
        <v>122</v>
      </c>
      <c r="S123" s="1">
        <v>205</v>
      </c>
      <c r="T123" s="1">
        <v>17</v>
      </c>
      <c r="U123" s="1">
        <v>21</v>
      </c>
      <c r="V123" s="1">
        <v>38</v>
      </c>
      <c r="W123" s="1">
        <f t="shared" ref="W123:X123" si="1094">SUM(E123,H123,K123,N123,Q123,T123)</f>
        <v>2723</v>
      </c>
      <c r="X123" s="1">
        <f t="shared" si="1094"/>
        <v>3260</v>
      </c>
      <c r="Y123" s="1">
        <f t="shared" si="1"/>
        <v>5983</v>
      </c>
      <c r="Z123" s="1">
        <f t="shared" ref="Z123:AA123" si="1095">W123-T123</f>
        <v>2706</v>
      </c>
      <c r="AA123" s="1">
        <f t="shared" si="1095"/>
        <v>3239</v>
      </c>
      <c r="AB123" s="1">
        <f t="shared" si="3"/>
        <v>5945</v>
      </c>
      <c r="AC123" s="1">
        <f t="shared" ref="AC123:AD123" si="1096">SUM(E123,H123,K123,N123)</f>
        <v>2623</v>
      </c>
      <c r="AD123" s="1">
        <f t="shared" si="1096"/>
        <v>3117</v>
      </c>
      <c r="AE123" s="1">
        <f t="shared" si="5"/>
        <v>5740</v>
      </c>
      <c r="AF123" s="2">
        <f t="shared" ref="AF123:AH123" si="1097">AC123/Z123</f>
        <v>0.96932742054693277</v>
      </c>
      <c r="AG123" s="2">
        <f t="shared" si="1097"/>
        <v>0.96233405372028402</v>
      </c>
      <c r="AH123" s="2">
        <f t="shared" si="1097"/>
        <v>0.96551724137931039</v>
      </c>
      <c r="AI123" s="1">
        <f t="shared" ref="AI123:AJ123" si="1098">SUM(E123,H123,K123)</f>
        <v>2270</v>
      </c>
      <c r="AJ123" s="1">
        <f t="shared" si="1098"/>
        <v>2748</v>
      </c>
      <c r="AK123" s="1">
        <f t="shared" si="8"/>
        <v>5018</v>
      </c>
      <c r="AL123" s="2">
        <f t="shared" ref="AL123:AN123" si="1099">AI123/Z123</f>
        <v>0.83887657058388765</v>
      </c>
      <c r="AM123" s="2">
        <f t="shared" si="1099"/>
        <v>0.84841000308737269</v>
      </c>
      <c r="AN123" s="2">
        <f t="shared" si="1099"/>
        <v>0.84407064760302775</v>
      </c>
      <c r="AO123" s="2">
        <f t="shared" ref="AO123:AQ123" si="1100">E123/Z123</f>
        <v>5.9497413155949738E-2</v>
      </c>
      <c r="AP123" s="2">
        <f t="shared" si="1100"/>
        <v>4.0135844396418645E-2</v>
      </c>
      <c r="AQ123" s="2">
        <f t="shared" si="1100"/>
        <v>4.8948696383515559E-2</v>
      </c>
      <c r="AR123" s="2">
        <f t="shared" si="11"/>
        <v>4.5084996304508497E-2</v>
      </c>
      <c r="AS123" s="2">
        <f t="shared" ref="AS123:AT123" si="1101">R123/AA123</f>
        <v>3.7665946279715964E-2</v>
      </c>
      <c r="AT123" s="2">
        <f t="shared" si="1101"/>
        <v>3.4482758620689655E-2</v>
      </c>
      <c r="AU123" s="2">
        <f t="shared" ref="AU123:AW123" si="1102">T123/W123</f>
        <v>6.243114212265883E-3</v>
      </c>
      <c r="AV123" s="2">
        <f t="shared" si="1021"/>
        <v>6.4417177914110431E-3</v>
      </c>
      <c r="AW123" s="2">
        <f t="shared" si="1021"/>
        <v>6.3513287648336953E-3</v>
      </c>
    </row>
    <row r="124" spans="1:49" ht="13" x14ac:dyDescent="0.15">
      <c r="A124" s="1">
        <v>2022</v>
      </c>
      <c r="B124" s="1" t="s">
        <v>74</v>
      </c>
      <c r="C124" s="1" t="s">
        <v>75</v>
      </c>
      <c r="D124" s="1" t="s">
        <v>179</v>
      </c>
      <c r="E124" s="1">
        <v>9</v>
      </c>
      <c r="F124" s="1">
        <v>1</v>
      </c>
      <c r="G124" s="1">
        <v>10</v>
      </c>
      <c r="H124" s="1">
        <v>223</v>
      </c>
      <c r="I124" s="1">
        <v>71</v>
      </c>
      <c r="J124" s="1">
        <v>294</v>
      </c>
      <c r="K124" s="1">
        <v>102</v>
      </c>
      <c r="L124" s="1">
        <v>48</v>
      </c>
      <c r="M124" s="1">
        <v>150</v>
      </c>
      <c r="N124" s="1">
        <v>63</v>
      </c>
      <c r="O124" s="1">
        <v>51</v>
      </c>
      <c r="P124" s="1">
        <v>114</v>
      </c>
      <c r="Q124" s="1">
        <v>44</v>
      </c>
      <c r="R124" s="1">
        <v>45</v>
      </c>
      <c r="S124" s="1">
        <v>89</v>
      </c>
      <c r="T124" s="1">
        <v>19</v>
      </c>
      <c r="U124" s="1">
        <v>2</v>
      </c>
      <c r="V124" s="1">
        <v>21</v>
      </c>
      <c r="W124" s="1">
        <f t="shared" ref="W124:X124" si="1103">SUM(E124,H124,K124,N124,Q124,T124)</f>
        <v>460</v>
      </c>
      <c r="X124" s="1">
        <f t="shared" si="1103"/>
        <v>218</v>
      </c>
      <c r="Y124" s="1">
        <f t="shared" si="1"/>
        <v>678</v>
      </c>
      <c r="Z124" s="1">
        <f t="shared" ref="Z124:AA124" si="1104">W124-T124</f>
        <v>441</v>
      </c>
      <c r="AA124" s="1">
        <f t="shared" si="1104"/>
        <v>216</v>
      </c>
      <c r="AB124" s="1">
        <f t="shared" si="3"/>
        <v>657</v>
      </c>
      <c r="AC124" s="1">
        <f t="shared" ref="AC124:AD124" si="1105">SUM(E124,H124,K124,N124)</f>
        <v>397</v>
      </c>
      <c r="AD124" s="1">
        <f t="shared" si="1105"/>
        <v>171</v>
      </c>
      <c r="AE124" s="1">
        <f t="shared" si="5"/>
        <v>568</v>
      </c>
      <c r="AF124" s="2">
        <f t="shared" ref="AF124:AH124" si="1106">AC124/Z124</f>
        <v>0.90022675736961455</v>
      </c>
      <c r="AG124" s="2">
        <f t="shared" si="1106"/>
        <v>0.79166666666666663</v>
      </c>
      <c r="AH124" s="2">
        <f t="shared" si="1106"/>
        <v>0.86453576864535764</v>
      </c>
      <c r="AI124" s="1">
        <f t="shared" ref="AI124:AJ124" si="1107">SUM(E124,H124,K124)</f>
        <v>334</v>
      </c>
      <c r="AJ124" s="1">
        <f t="shared" si="1107"/>
        <v>120</v>
      </c>
      <c r="AK124" s="1">
        <f t="shared" si="8"/>
        <v>454</v>
      </c>
      <c r="AL124" s="2">
        <f t="shared" ref="AL124:AN124" si="1108">AI124/Z124</f>
        <v>0.75736961451247165</v>
      </c>
      <c r="AM124" s="2">
        <f t="shared" si="1108"/>
        <v>0.55555555555555558</v>
      </c>
      <c r="AN124" s="2">
        <f t="shared" si="1108"/>
        <v>0.69101978691019783</v>
      </c>
      <c r="AO124" s="2">
        <f t="shared" ref="AO124:AQ124" si="1109">E124/Z124</f>
        <v>2.0408163265306121E-2</v>
      </c>
      <c r="AP124" s="2">
        <f t="shared" si="1109"/>
        <v>4.6296296296296294E-3</v>
      </c>
      <c r="AQ124" s="2">
        <f t="shared" si="1109"/>
        <v>1.5220700152207001E-2</v>
      </c>
      <c r="AR124" s="2">
        <f t="shared" si="11"/>
        <v>0.10204081632653061</v>
      </c>
      <c r="AS124" s="2">
        <f t="shared" ref="AS124:AT124" si="1110">R124/AA124</f>
        <v>0.20833333333333334</v>
      </c>
      <c r="AT124" s="2">
        <f t="shared" si="1110"/>
        <v>0.13546423135464231</v>
      </c>
      <c r="AU124" s="2">
        <f t="shared" ref="AU124:AW124" si="1111">T124/W124</f>
        <v>4.1304347826086954E-2</v>
      </c>
      <c r="AV124" s="2">
        <f t="shared" si="1021"/>
        <v>9.1743119266055051E-3</v>
      </c>
      <c r="AW124" s="2">
        <f t="shared" si="1021"/>
        <v>3.0973451327433628E-2</v>
      </c>
    </row>
    <row r="125" spans="1:49" ht="13" x14ac:dyDescent="0.15">
      <c r="A125" s="1">
        <v>2024</v>
      </c>
      <c r="B125" s="1" t="s">
        <v>49</v>
      </c>
      <c r="C125" s="1" t="s">
        <v>67</v>
      </c>
      <c r="D125" s="1" t="s">
        <v>185</v>
      </c>
      <c r="E125" s="1">
        <v>39</v>
      </c>
      <c r="F125" s="1">
        <v>9</v>
      </c>
      <c r="G125" s="1">
        <v>48</v>
      </c>
      <c r="H125" s="1">
        <v>927</v>
      </c>
      <c r="I125" s="1">
        <v>465</v>
      </c>
      <c r="J125" s="1">
        <v>1392</v>
      </c>
      <c r="K125" s="1">
        <v>668</v>
      </c>
      <c r="L125" s="1">
        <v>466</v>
      </c>
      <c r="M125" s="1">
        <v>1134</v>
      </c>
      <c r="N125" s="1">
        <v>293</v>
      </c>
      <c r="O125" s="1">
        <v>165</v>
      </c>
      <c r="P125" s="1">
        <v>458</v>
      </c>
      <c r="Q125" s="1">
        <v>107</v>
      </c>
      <c r="R125" s="1">
        <v>137</v>
      </c>
      <c r="S125" s="1">
        <v>244</v>
      </c>
      <c r="T125" s="1">
        <v>17</v>
      </c>
      <c r="U125" s="1">
        <v>21</v>
      </c>
      <c r="V125" s="1">
        <v>38</v>
      </c>
      <c r="W125" s="1">
        <f t="shared" ref="W125:X125" si="1112">SUM(E125,H125,K125,N125,Q125,T125)</f>
        <v>2051</v>
      </c>
      <c r="X125" s="1">
        <f t="shared" si="1112"/>
        <v>1263</v>
      </c>
      <c r="Y125" s="1">
        <f t="shared" si="1"/>
        <v>3314</v>
      </c>
      <c r="Z125" s="1">
        <f t="shared" ref="Z125:AA125" si="1113">W125-T125</f>
        <v>2034</v>
      </c>
      <c r="AA125" s="1">
        <f t="shared" si="1113"/>
        <v>1242</v>
      </c>
      <c r="AB125" s="1">
        <f t="shared" si="3"/>
        <v>3276</v>
      </c>
      <c r="AC125" s="1">
        <f t="shared" ref="AC125:AD125" si="1114">SUM(E125,H125,K125,N125)</f>
        <v>1927</v>
      </c>
      <c r="AD125" s="1">
        <f t="shared" si="1114"/>
        <v>1105</v>
      </c>
      <c r="AE125" s="1">
        <f t="shared" si="5"/>
        <v>3032</v>
      </c>
      <c r="AF125" s="2">
        <f t="shared" ref="AF125:AH125" si="1115">AC125/Z125</f>
        <v>0.94739429695181909</v>
      </c>
      <c r="AG125" s="2">
        <f t="shared" si="1115"/>
        <v>0.88969404186795487</v>
      </c>
      <c r="AH125" s="2">
        <f t="shared" si="1115"/>
        <v>0.92551892551892556</v>
      </c>
      <c r="AI125" s="1">
        <f t="shared" ref="AI125:AJ125" si="1116">SUM(E125,H125,K125)</f>
        <v>1634</v>
      </c>
      <c r="AJ125" s="1">
        <f t="shared" si="1116"/>
        <v>940</v>
      </c>
      <c r="AK125" s="1">
        <f t="shared" si="8"/>
        <v>2574</v>
      </c>
      <c r="AL125" s="2">
        <f t="shared" ref="AL125:AN125" si="1117">AI125/Z125</f>
        <v>0.80334316617502455</v>
      </c>
      <c r="AM125" s="2">
        <f t="shared" si="1117"/>
        <v>0.75684380032206122</v>
      </c>
      <c r="AN125" s="2">
        <f t="shared" si="1117"/>
        <v>0.7857142857142857</v>
      </c>
      <c r="AO125" s="2">
        <f t="shared" ref="AO125:AQ125" si="1118">E125/Z125</f>
        <v>1.9174041297935103E-2</v>
      </c>
      <c r="AP125" s="2">
        <f t="shared" si="1118"/>
        <v>7.246376811594203E-3</v>
      </c>
      <c r="AQ125" s="2">
        <f t="shared" si="1118"/>
        <v>1.4652014652014652E-2</v>
      </c>
      <c r="AR125" s="2">
        <f t="shared" si="11"/>
        <v>6.7354965585054077E-2</v>
      </c>
      <c r="AS125" s="2">
        <f t="shared" ref="AS125:AT125" si="1119">R125/AA125</f>
        <v>0.11030595813204509</v>
      </c>
      <c r="AT125" s="2">
        <f t="shared" si="1119"/>
        <v>7.448107448107448E-2</v>
      </c>
      <c r="AU125" s="2">
        <f t="shared" ref="AU125:AW125" si="1120">T125/W125</f>
        <v>8.2886396879570945E-3</v>
      </c>
      <c r="AV125" s="2">
        <f t="shared" si="1021"/>
        <v>1.66270783847981E-2</v>
      </c>
      <c r="AW125" s="2">
        <f t="shared" si="1021"/>
        <v>1.1466505733252867E-2</v>
      </c>
    </row>
    <row r="126" spans="1:49" ht="13" x14ac:dyDescent="0.15">
      <c r="A126" s="1">
        <v>2024</v>
      </c>
      <c r="B126" s="1" t="s">
        <v>49</v>
      </c>
      <c r="C126" s="1" t="s">
        <v>59</v>
      </c>
      <c r="D126" s="1" t="s">
        <v>186</v>
      </c>
      <c r="E126" s="1">
        <v>62</v>
      </c>
      <c r="F126" s="1">
        <v>53</v>
      </c>
      <c r="G126" s="1">
        <v>115</v>
      </c>
      <c r="H126" s="1">
        <v>684</v>
      </c>
      <c r="I126" s="1">
        <v>634</v>
      </c>
      <c r="J126" s="1">
        <v>1318</v>
      </c>
      <c r="K126" s="1">
        <v>459</v>
      </c>
      <c r="L126" s="1">
        <v>693</v>
      </c>
      <c r="M126" s="1">
        <v>1152</v>
      </c>
      <c r="N126" s="1">
        <v>241</v>
      </c>
      <c r="O126" s="1">
        <v>305</v>
      </c>
      <c r="P126" s="1">
        <v>546</v>
      </c>
      <c r="Q126" s="1">
        <v>224</v>
      </c>
      <c r="R126" s="1">
        <v>313</v>
      </c>
      <c r="S126" s="1">
        <v>537</v>
      </c>
      <c r="T126" s="1">
        <v>9</v>
      </c>
      <c r="U126" s="1">
        <v>13</v>
      </c>
      <c r="V126" s="1">
        <v>22</v>
      </c>
      <c r="W126" s="1">
        <f t="shared" ref="W126:X126" si="1121">SUM(E126,H126,K126,N126,Q126,T126)</f>
        <v>1679</v>
      </c>
      <c r="X126" s="1">
        <f t="shared" si="1121"/>
        <v>2011</v>
      </c>
      <c r="Y126" s="1">
        <f t="shared" si="1"/>
        <v>3690</v>
      </c>
      <c r="Z126" s="1">
        <f t="shared" ref="Z126:AA126" si="1122">W126-T126</f>
        <v>1670</v>
      </c>
      <c r="AA126" s="1">
        <f t="shared" si="1122"/>
        <v>1998</v>
      </c>
      <c r="AB126" s="1">
        <f t="shared" si="3"/>
        <v>3668</v>
      </c>
      <c r="AC126" s="1">
        <f t="shared" ref="AC126:AD126" si="1123">SUM(E126,H126,K126,N126)</f>
        <v>1446</v>
      </c>
      <c r="AD126" s="1">
        <f t="shared" si="1123"/>
        <v>1685</v>
      </c>
      <c r="AE126" s="1">
        <f t="shared" si="5"/>
        <v>3131</v>
      </c>
      <c r="AF126" s="2">
        <f t="shared" ref="AF126:AH126" si="1124">AC126/Z126</f>
        <v>0.8658682634730539</v>
      </c>
      <c r="AG126" s="2">
        <f t="shared" si="1124"/>
        <v>0.84334334334334338</v>
      </c>
      <c r="AH126" s="2">
        <f t="shared" si="1124"/>
        <v>0.85359869138495092</v>
      </c>
      <c r="AI126" s="1">
        <f t="shared" ref="AI126:AJ126" si="1125">SUM(E126,H126,K126)</f>
        <v>1205</v>
      </c>
      <c r="AJ126" s="1">
        <f t="shared" si="1125"/>
        <v>1380</v>
      </c>
      <c r="AK126" s="1">
        <f t="shared" si="8"/>
        <v>2585</v>
      </c>
      <c r="AL126" s="2">
        <f t="shared" ref="AL126:AN126" si="1126">AI126/Z126</f>
        <v>0.72155688622754488</v>
      </c>
      <c r="AM126" s="2">
        <f t="shared" si="1126"/>
        <v>0.69069069069069067</v>
      </c>
      <c r="AN126" s="2">
        <f t="shared" si="1126"/>
        <v>0.70474372955288989</v>
      </c>
      <c r="AO126" s="2">
        <f t="shared" ref="AO126:AQ126" si="1127">E126/Z126</f>
        <v>3.7125748502994015E-2</v>
      </c>
      <c r="AP126" s="2">
        <f t="shared" si="1127"/>
        <v>2.6526526526526525E-2</v>
      </c>
      <c r="AQ126" s="2">
        <f t="shared" si="1127"/>
        <v>3.1352235550708832E-2</v>
      </c>
      <c r="AR126" s="2">
        <f t="shared" si="11"/>
        <v>0.18742514970059881</v>
      </c>
      <c r="AS126" s="2">
        <f t="shared" ref="AS126:AT126" si="1128">R126/AA126</f>
        <v>0.15665665665665665</v>
      </c>
      <c r="AT126" s="2">
        <f t="shared" si="1128"/>
        <v>0.14640130861504908</v>
      </c>
      <c r="AU126" s="2">
        <f t="shared" ref="AU126:AW126" si="1129">T126/W126</f>
        <v>5.3603335318642047E-3</v>
      </c>
      <c r="AV126" s="2">
        <f t="shared" si="1021"/>
        <v>6.4644455494778713E-3</v>
      </c>
      <c r="AW126" s="2">
        <f t="shared" si="1021"/>
        <v>5.962059620596206E-3</v>
      </c>
    </row>
    <row r="127" spans="1:49" ht="13" x14ac:dyDescent="0.15">
      <c r="A127" s="1">
        <v>2024</v>
      </c>
      <c r="B127" s="1" t="s">
        <v>49</v>
      </c>
      <c r="C127" s="1" t="s">
        <v>101</v>
      </c>
      <c r="D127" s="1" t="s">
        <v>187</v>
      </c>
      <c r="E127" s="1">
        <v>54</v>
      </c>
      <c r="F127" s="1">
        <v>71</v>
      </c>
      <c r="G127" s="1">
        <v>125</v>
      </c>
      <c r="H127" s="1">
        <v>487</v>
      </c>
      <c r="I127" s="1">
        <v>499</v>
      </c>
      <c r="J127" s="1">
        <v>986</v>
      </c>
      <c r="K127" s="1">
        <v>117</v>
      </c>
      <c r="L127" s="1">
        <v>118</v>
      </c>
      <c r="M127" s="1">
        <v>235</v>
      </c>
      <c r="N127" s="1">
        <v>41</v>
      </c>
      <c r="O127" s="1">
        <v>44</v>
      </c>
      <c r="P127" s="1">
        <v>85</v>
      </c>
      <c r="Q127" s="1">
        <v>4</v>
      </c>
      <c r="R127" s="1">
        <v>13</v>
      </c>
      <c r="S127" s="1">
        <v>17</v>
      </c>
      <c r="T127" s="1">
        <v>13</v>
      </c>
      <c r="U127" s="1">
        <v>19</v>
      </c>
      <c r="V127" s="1">
        <v>32</v>
      </c>
      <c r="W127" s="1">
        <f t="shared" ref="W127:X127" si="1130">SUM(E127,H127,K127,N127,Q127,T127)</f>
        <v>716</v>
      </c>
      <c r="X127" s="1">
        <f t="shared" si="1130"/>
        <v>764</v>
      </c>
      <c r="Y127" s="1">
        <f t="shared" si="1"/>
        <v>1480</v>
      </c>
      <c r="Z127" s="1">
        <f t="shared" ref="Z127:AA127" si="1131">W127-T127</f>
        <v>703</v>
      </c>
      <c r="AA127" s="1">
        <f t="shared" si="1131"/>
        <v>745</v>
      </c>
      <c r="AB127" s="1">
        <f t="shared" si="3"/>
        <v>1448</v>
      </c>
      <c r="AC127" s="1">
        <f t="shared" ref="AC127:AD127" si="1132">SUM(E127,H127,K127,N127)</f>
        <v>699</v>
      </c>
      <c r="AD127" s="1">
        <f t="shared" si="1132"/>
        <v>732</v>
      </c>
      <c r="AE127" s="1">
        <f t="shared" si="5"/>
        <v>1431</v>
      </c>
      <c r="AF127" s="2">
        <f t="shared" ref="AF127:AH127" si="1133">AC127/Z127</f>
        <v>0.99431009957325744</v>
      </c>
      <c r="AG127" s="2">
        <f t="shared" si="1133"/>
        <v>0.98255033557046978</v>
      </c>
      <c r="AH127" s="2">
        <f t="shared" si="1133"/>
        <v>0.98825966850828728</v>
      </c>
      <c r="AI127" s="1">
        <f t="shared" ref="AI127:AJ127" si="1134">SUM(E127,H127,K127)</f>
        <v>658</v>
      </c>
      <c r="AJ127" s="1">
        <f t="shared" si="1134"/>
        <v>688</v>
      </c>
      <c r="AK127" s="1">
        <f t="shared" si="8"/>
        <v>1346</v>
      </c>
      <c r="AL127" s="2">
        <f t="shared" ref="AL127:AN127" si="1135">AI127/Z127</f>
        <v>0.93598862019914653</v>
      </c>
      <c r="AM127" s="2">
        <f t="shared" si="1135"/>
        <v>0.92348993288590608</v>
      </c>
      <c r="AN127" s="2">
        <f t="shared" si="1135"/>
        <v>0.9295580110497238</v>
      </c>
      <c r="AO127" s="2">
        <f t="shared" ref="AO127:AQ127" si="1136">E127/Z127</f>
        <v>7.6813655761024183E-2</v>
      </c>
      <c r="AP127" s="2">
        <f t="shared" si="1136"/>
        <v>9.5302013422818799E-2</v>
      </c>
      <c r="AQ127" s="2">
        <f t="shared" si="1136"/>
        <v>8.6325966850828731E-2</v>
      </c>
      <c r="AR127" s="2">
        <f t="shared" si="11"/>
        <v>1.849217638691323E-2</v>
      </c>
      <c r="AS127" s="2">
        <f t="shared" ref="AS127:AT127" si="1137">R127/AA127</f>
        <v>1.74496644295302E-2</v>
      </c>
      <c r="AT127" s="2">
        <f t="shared" si="1137"/>
        <v>1.1740331491712707E-2</v>
      </c>
      <c r="AU127" s="2">
        <f t="shared" ref="AU127:AW127" si="1138">T127/W127</f>
        <v>1.8156424581005588E-2</v>
      </c>
      <c r="AV127" s="2">
        <f t="shared" si="1021"/>
        <v>2.4869109947643978E-2</v>
      </c>
      <c r="AW127" s="2">
        <f t="shared" si="1021"/>
        <v>2.1621621621621623E-2</v>
      </c>
    </row>
    <row r="128" spans="1:49" ht="13" x14ac:dyDescent="0.15">
      <c r="A128" s="1">
        <v>2024</v>
      </c>
      <c r="B128" s="1" t="s">
        <v>117</v>
      </c>
      <c r="C128" s="1" t="s">
        <v>54</v>
      </c>
      <c r="D128" s="1" t="s">
        <v>188</v>
      </c>
      <c r="E128" s="1">
        <v>818</v>
      </c>
      <c r="F128" s="1">
        <v>694</v>
      </c>
      <c r="G128" s="1">
        <v>1512</v>
      </c>
      <c r="H128" s="1">
        <v>3386</v>
      </c>
      <c r="I128" s="1">
        <v>3922</v>
      </c>
      <c r="J128" s="1">
        <v>7308</v>
      </c>
      <c r="K128" s="1">
        <v>947</v>
      </c>
      <c r="L128" s="1">
        <v>1412</v>
      </c>
      <c r="M128" s="1">
        <v>2359</v>
      </c>
      <c r="N128" s="1">
        <v>315</v>
      </c>
      <c r="O128" s="1">
        <v>416</v>
      </c>
      <c r="P128" s="1">
        <v>731</v>
      </c>
      <c r="Q128" s="1">
        <v>182</v>
      </c>
      <c r="R128" s="1">
        <v>303</v>
      </c>
      <c r="S128" s="1">
        <v>485</v>
      </c>
      <c r="T128" s="1">
        <v>62</v>
      </c>
      <c r="U128" s="1">
        <v>78</v>
      </c>
      <c r="V128" s="1">
        <v>140</v>
      </c>
      <c r="W128" s="1">
        <f t="shared" ref="W128:X128" si="1139">SUM(E128,H128,K128,N128,Q128,T128)</f>
        <v>5710</v>
      </c>
      <c r="X128" s="1">
        <f t="shared" si="1139"/>
        <v>6825</v>
      </c>
      <c r="Y128" s="1">
        <f t="shared" si="1"/>
        <v>12535</v>
      </c>
      <c r="Z128" s="1">
        <f t="shared" ref="Z128:AA128" si="1140">W128-T128</f>
        <v>5648</v>
      </c>
      <c r="AA128" s="1">
        <f t="shared" si="1140"/>
        <v>6747</v>
      </c>
      <c r="AB128" s="1">
        <f t="shared" si="3"/>
        <v>12395</v>
      </c>
      <c r="AC128" s="1">
        <f t="shared" ref="AC128:AD128" si="1141">SUM(E128,H128,K128,N128)</f>
        <v>5466</v>
      </c>
      <c r="AD128" s="1">
        <f t="shared" si="1141"/>
        <v>6444</v>
      </c>
      <c r="AE128" s="1">
        <f t="shared" si="5"/>
        <v>11910</v>
      </c>
      <c r="AF128" s="2">
        <f t="shared" ref="AF128:AH128" si="1142">AC128/Z128</f>
        <v>0.96777620396600561</v>
      </c>
      <c r="AG128" s="2">
        <f t="shared" si="1142"/>
        <v>0.95509115162294356</v>
      </c>
      <c r="AH128" s="2">
        <f t="shared" si="1142"/>
        <v>0.96087131908027434</v>
      </c>
      <c r="AI128" s="1">
        <f t="shared" ref="AI128:AJ128" si="1143">SUM(E128,H128,K128)</f>
        <v>5151</v>
      </c>
      <c r="AJ128" s="1">
        <f t="shared" si="1143"/>
        <v>6028</v>
      </c>
      <c r="AK128" s="1">
        <f t="shared" si="8"/>
        <v>11179</v>
      </c>
      <c r="AL128" s="2">
        <f t="shared" ref="AL128:AN128" si="1144">AI128/Z128</f>
        <v>0.9120042492917847</v>
      </c>
      <c r="AM128" s="2">
        <f t="shared" si="1144"/>
        <v>0.8934341188676449</v>
      </c>
      <c r="AN128" s="2">
        <f t="shared" si="1144"/>
        <v>0.90189592577652278</v>
      </c>
      <c r="AO128" s="2">
        <f t="shared" ref="AO128:AQ128" si="1145">E128/Z128</f>
        <v>0.14483002832861189</v>
      </c>
      <c r="AP128" s="2">
        <f t="shared" si="1145"/>
        <v>0.10286053060619535</v>
      </c>
      <c r="AQ128" s="2">
        <f t="shared" si="1145"/>
        <v>0.12198467123840258</v>
      </c>
      <c r="AR128" s="2">
        <f t="shared" si="11"/>
        <v>5.3647308781869692E-2</v>
      </c>
      <c r="AS128" s="2">
        <f t="shared" ref="AS128:AT128" si="1146">R128/AA128</f>
        <v>4.4908848377056471E-2</v>
      </c>
      <c r="AT128" s="2">
        <f t="shared" si="1146"/>
        <v>3.9128680919725697E-2</v>
      </c>
      <c r="AU128" s="2">
        <f t="shared" ref="AU128:AW128" si="1147">T128/W128</f>
        <v>1.0858143607705779E-2</v>
      </c>
      <c r="AV128" s="2">
        <f t="shared" si="1021"/>
        <v>1.1428571428571429E-2</v>
      </c>
      <c r="AW128" s="2">
        <f t="shared" si="1021"/>
        <v>1.1168727562824093E-2</v>
      </c>
    </row>
    <row r="129" spans="1:49" ht="13" x14ac:dyDescent="0.15">
      <c r="A129" s="1">
        <v>2024</v>
      </c>
      <c r="B129" s="1" t="s">
        <v>49</v>
      </c>
      <c r="C129" s="1" t="s">
        <v>78</v>
      </c>
      <c r="D129" s="1" t="s">
        <v>189</v>
      </c>
      <c r="E129" s="1">
        <v>59</v>
      </c>
      <c r="F129" s="1">
        <v>37</v>
      </c>
      <c r="G129" s="1">
        <v>96</v>
      </c>
      <c r="H129" s="1">
        <v>520</v>
      </c>
      <c r="I129" s="1">
        <v>327</v>
      </c>
      <c r="J129" s="1">
        <v>847</v>
      </c>
      <c r="K129" s="1">
        <v>402</v>
      </c>
      <c r="L129" s="1">
        <v>429</v>
      </c>
      <c r="M129" s="1">
        <v>831</v>
      </c>
      <c r="N129" s="1">
        <v>227</v>
      </c>
      <c r="O129" s="1">
        <v>183</v>
      </c>
      <c r="P129" s="1">
        <v>410</v>
      </c>
      <c r="Q129" s="1">
        <v>144</v>
      </c>
      <c r="R129" s="1">
        <v>218</v>
      </c>
      <c r="S129" s="1">
        <v>362</v>
      </c>
      <c r="T129" s="1">
        <v>27</v>
      </c>
      <c r="U129" s="1">
        <v>23</v>
      </c>
      <c r="V129" s="1">
        <v>50</v>
      </c>
      <c r="W129" s="1">
        <f t="shared" ref="W129:X129" si="1148">SUM(E129,H129,K129,N129,Q129,T129)</f>
        <v>1379</v>
      </c>
      <c r="X129" s="1">
        <f t="shared" si="1148"/>
        <v>1217</v>
      </c>
      <c r="Y129" s="1">
        <f t="shared" si="1"/>
        <v>2596</v>
      </c>
      <c r="Z129" s="1">
        <f t="shared" ref="Z129:AA129" si="1149">W129-T129</f>
        <v>1352</v>
      </c>
      <c r="AA129" s="1">
        <f t="shared" si="1149"/>
        <v>1194</v>
      </c>
      <c r="AB129" s="1">
        <f t="shared" si="3"/>
        <v>2546</v>
      </c>
      <c r="AC129" s="1">
        <f t="shared" ref="AC129:AD129" si="1150">SUM(E129,H129,K129,N129)</f>
        <v>1208</v>
      </c>
      <c r="AD129" s="1">
        <f t="shared" si="1150"/>
        <v>976</v>
      </c>
      <c r="AE129" s="1">
        <f t="shared" si="5"/>
        <v>2184</v>
      </c>
      <c r="AF129" s="2">
        <f t="shared" ref="AF129:AH129" si="1151">AC129/Z129</f>
        <v>0.89349112426035504</v>
      </c>
      <c r="AG129" s="2">
        <f t="shared" si="1151"/>
        <v>0.81742043551088772</v>
      </c>
      <c r="AH129" s="2">
        <f t="shared" si="1151"/>
        <v>0.85781618224666145</v>
      </c>
      <c r="AI129" s="1">
        <f t="shared" ref="AI129:AJ129" si="1152">SUM(E129,H129,K129)</f>
        <v>981</v>
      </c>
      <c r="AJ129" s="1">
        <f t="shared" si="1152"/>
        <v>793</v>
      </c>
      <c r="AK129" s="1">
        <f t="shared" si="8"/>
        <v>1774</v>
      </c>
      <c r="AL129" s="2">
        <f t="shared" ref="AL129:AN129" si="1153">AI129/Z129</f>
        <v>0.72559171597633132</v>
      </c>
      <c r="AM129" s="2">
        <f t="shared" si="1153"/>
        <v>0.66415410385259632</v>
      </c>
      <c r="AN129" s="2">
        <f t="shared" si="1153"/>
        <v>0.69677926158680281</v>
      </c>
      <c r="AO129" s="2">
        <f t="shared" ref="AO129:AQ129" si="1154">E129/Z129</f>
        <v>4.3639053254437871E-2</v>
      </c>
      <c r="AP129" s="2">
        <f t="shared" si="1154"/>
        <v>3.0988274706867672E-2</v>
      </c>
      <c r="AQ129" s="2">
        <f t="shared" si="1154"/>
        <v>3.7706205813040065E-2</v>
      </c>
      <c r="AR129" s="2">
        <f t="shared" si="11"/>
        <v>0.16124260355029585</v>
      </c>
      <c r="AS129" s="2">
        <f t="shared" ref="AS129:AT129" si="1155">R129/AA129</f>
        <v>0.18257956448911222</v>
      </c>
      <c r="AT129" s="2">
        <f t="shared" si="1155"/>
        <v>0.14218381775333858</v>
      </c>
      <c r="AU129" s="2">
        <f t="shared" ref="AU129:AW129" si="1156">T129/W129</f>
        <v>1.9579405366207395E-2</v>
      </c>
      <c r="AV129" s="2">
        <f t="shared" si="1021"/>
        <v>1.8898931799506986E-2</v>
      </c>
      <c r="AW129" s="2">
        <f t="shared" si="1021"/>
        <v>1.9260400616332819E-2</v>
      </c>
    </row>
    <row r="130" spans="1:49" ht="13" x14ac:dyDescent="0.15">
      <c r="A130" s="1">
        <v>2024</v>
      </c>
      <c r="B130" s="1" t="s">
        <v>66</v>
      </c>
      <c r="C130" s="1" t="s">
        <v>67</v>
      </c>
      <c r="D130" s="1" t="s">
        <v>190</v>
      </c>
      <c r="E130" s="1">
        <v>3</v>
      </c>
      <c r="F130" s="1">
        <v>1</v>
      </c>
      <c r="G130" s="1">
        <v>4</v>
      </c>
      <c r="H130" s="1">
        <v>448</v>
      </c>
      <c r="I130" s="1">
        <v>177</v>
      </c>
      <c r="J130" s="1">
        <v>625</v>
      </c>
      <c r="K130" s="1">
        <v>512</v>
      </c>
      <c r="L130" s="1">
        <v>474</v>
      </c>
      <c r="M130" s="1">
        <v>986</v>
      </c>
      <c r="N130" s="1">
        <v>256</v>
      </c>
      <c r="O130" s="1">
        <v>182</v>
      </c>
      <c r="P130" s="1">
        <v>438</v>
      </c>
      <c r="Q130" s="1">
        <v>172</v>
      </c>
      <c r="R130" s="1">
        <v>234</v>
      </c>
      <c r="S130" s="1">
        <v>406</v>
      </c>
      <c r="T130" s="1">
        <v>10</v>
      </c>
      <c r="U130" s="1">
        <v>7</v>
      </c>
      <c r="V130" s="1">
        <v>17</v>
      </c>
      <c r="W130" s="1">
        <f t="shared" ref="W130:X130" si="1157">SUM(E130,H130,K130,N130,Q130,T130)</f>
        <v>1401</v>
      </c>
      <c r="X130" s="1">
        <f t="shared" si="1157"/>
        <v>1075</v>
      </c>
      <c r="Y130" s="1">
        <f t="shared" si="1"/>
        <v>2476</v>
      </c>
      <c r="Z130" s="1">
        <f t="shared" ref="Z130:AA130" si="1158">W130-T130</f>
        <v>1391</v>
      </c>
      <c r="AA130" s="1">
        <f t="shared" si="1158"/>
        <v>1068</v>
      </c>
      <c r="AB130" s="1">
        <f t="shared" si="3"/>
        <v>2459</v>
      </c>
      <c r="AC130" s="1">
        <f t="shared" ref="AC130:AD130" si="1159">SUM(E130,H130,K130,N130)</f>
        <v>1219</v>
      </c>
      <c r="AD130" s="1">
        <f t="shared" si="1159"/>
        <v>834</v>
      </c>
      <c r="AE130" s="1">
        <f t="shared" si="5"/>
        <v>2053</v>
      </c>
      <c r="AF130" s="2">
        <f t="shared" ref="AF130:AH130" si="1160">AC130/Z130</f>
        <v>0.8763479511143063</v>
      </c>
      <c r="AG130" s="2">
        <f t="shared" si="1160"/>
        <v>0.7808988764044944</v>
      </c>
      <c r="AH130" s="2">
        <f t="shared" si="1160"/>
        <v>0.8348922326148841</v>
      </c>
      <c r="AI130" s="1">
        <f t="shared" ref="AI130:AJ130" si="1161">SUM(E130,H130,K130)</f>
        <v>963</v>
      </c>
      <c r="AJ130" s="1">
        <f t="shared" si="1161"/>
        <v>652</v>
      </c>
      <c r="AK130" s="1">
        <f t="shared" si="8"/>
        <v>1615</v>
      </c>
      <c r="AL130" s="2">
        <f t="shared" ref="AL130:AN130" si="1162">AI130/Z130</f>
        <v>0.69230769230769229</v>
      </c>
      <c r="AM130" s="2">
        <f t="shared" si="1162"/>
        <v>0.61048689138576784</v>
      </c>
      <c r="AN130" s="2">
        <f t="shared" si="1162"/>
        <v>0.65677104514030094</v>
      </c>
      <c r="AO130" s="2">
        <f t="shared" ref="AO130:AQ130" si="1163">E130/Z130</f>
        <v>2.1567217828900071E-3</v>
      </c>
      <c r="AP130" s="2">
        <f t="shared" si="1163"/>
        <v>9.3632958801498128E-4</v>
      </c>
      <c r="AQ130" s="2">
        <f t="shared" si="1163"/>
        <v>1.6266775111834079E-3</v>
      </c>
      <c r="AR130" s="2">
        <f t="shared" si="11"/>
        <v>0.16822429906542055</v>
      </c>
      <c r="AS130" s="2">
        <f t="shared" ref="AS130:AT130" si="1164">R130/AA130</f>
        <v>0.21910112359550563</v>
      </c>
      <c r="AT130" s="2">
        <f t="shared" si="1164"/>
        <v>0.1651077673851159</v>
      </c>
      <c r="AU130" s="2">
        <f t="shared" ref="AU130:AW145" si="1165">T130/W130</f>
        <v>7.1377587437544609E-3</v>
      </c>
      <c r="AV130" s="2">
        <f t="shared" si="1165"/>
        <v>6.5116279069767444E-3</v>
      </c>
      <c r="AW130" s="2">
        <f t="shared" si="1165"/>
        <v>6.8659127625201937E-3</v>
      </c>
    </row>
    <row r="131" spans="1:49" ht="13" x14ac:dyDescent="0.15">
      <c r="A131" s="1">
        <v>2024</v>
      </c>
      <c r="B131" s="1" t="s">
        <v>49</v>
      </c>
      <c r="C131" s="1" t="s">
        <v>78</v>
      </c>
      <c r="D131" s="1" t="s">
        <v>191</v>
      </c>
      <c r="E131" s="1">
        <v>64</v>
      </c>
      <c r="F131" s="1">
        <v>43</v>
      </c>
      <c r="G131" s="1">
        <v>107</v>
      </c>
      <c r="H131" s="1">
        <v>740</v>
      </c>
      <c r="I131" s="1">
        <v>518</v>
      </c>
      <c r="J131" s="1">
        <v>1258</v>
      </c>
      <c r="K131" s="1">
        <v>342</v>
      </c>
      <c r="L131" s="1">
        <v>410</v>
      </c>
      <c r="M131" s="1">
        <v>752</v>
      </c>
      <c r="N131" s="1">
        <v>283</v>
      </c>
      <c r="O131" s="1">
        <v>224</v>
      </c>
      <c r="P131" s="1">
        <v>507</v>
      </c>
      <c r="Q131" s="1">
        <v>221</v>
      </c>
      <c r="R131" s="1">
        <v>297</v>
      </c>
      <c r="S131" s="1">
        <v>518</v>
      </c>
      <c r="T131" s="1">
        <v>16</v>
      </c>
      <c r="U131" s="1">
        <v>22</v>
      </c>
      <c r="V131" s="1">
        <v>38</v>
      </c>
      <c r="W131" s="1">
        <f t="shared" ref="W131:X131" si="1166">SUM(E131,H131,K131,N131,Q131,T131)</f>
        <v>1666</v>
      </c>
      <c r="X131" s="1">
        <f t="shared" si="1166"/>
        <v>1514</v>
      </c>
      <c r="Y131" s="1">
        <f t="shared" si="1"/>
        <v>3180</v>
      </c>
      <c r="Z131" s="1">
        <f t="shared" ref="Z131:AA131" si="1167">W131-T131</f>
        <v>1650</v>
      </c>
      <c r="AA131" s="1">
        <f t="shared" si="1167"/>
        <v>1492</v>
      </c>
      <c r="AB131" s="1">
        <f t="shared" si="3"/>
        <v>3142</v>
      </c>
      <c r="AC131" s="1">
        <f t="shared" ref="AC131:AD131" si="1168">SUM(E131,H131,K131,N131)</f>
        <v>1429</v>
      </c>
      <c r="AD131" s="1">
        <f t="shared" si="1168"/>
        <v>1195</v>
      </c>
      <c r="AE131" s="1">
        <f t="shared" si="5"/>
        <v>2624</v>
      </c>
      <c r="AF131" s="2">
        <f t="shared" ref="AF131:AH131" si="1169">AC131/Z131</f>
        <v>0.86606060606060609</v>
      </c>
      <c r="AG131" s="2">
        <f t="shared" si="1169"/>
        <v>0.80093833780160861</v>
      </c>
      <c r="AH131" s="2">
        <f t="shared" si="1169"/>
        <v>0.8351368555060471</v>
      </c>
      <c r="AI131" s="1">
        <f t="shared" ref="AI131:AJ131" si="1170">SUM(E131,H131,K131)</f>
        <v>1146</v>
      </c>
      <c r="AJ131" s="1">
        <f t="shared" si="1170"/>
        <v>971</v>
      </c>
      <c r="AK131" s="1">
        <f t="shared" si="8"/>
        <v>2117</v>
      </c>
      <c r="AL131" s="2">
        <f t="shared" ref="AL131:AN131" si="1171">AI131/Z131</f>
        <v>0.69454545454545458</v>
      </c>
      <c r="AM131" s="2">
        <f t="shared" si="1171"/>
        <v>0.65080428954423597</v>
      </c>
      <c r="AN131" s="2">
        <f t="shared" si="1171"/>
        <v>0.67377466581795031</v>
      </c>
      <c r="AO131" s="2">
        <f t="shared" ref="AO131:AQ131" si="1172">E131/Z131</f>
        <v>3.8787878787878788E-2</v>
      </c>
      <c r="AP131" s="2">
        <f t="shared" si="1172"/>
        <v>2.8820375335120642E-2</v>
      </c>
      <c r="AQ131" s="2">
        <f t="shared" si="1172"/>
        <v>3.4054742202418845E-2</v>
      </c>
      <c r="AR131" s="2">
        <f t="shared" si="11"/>
        <v>0.18</v>
      </c>
      <c r="AS131" s="2">
        <f t="shared" ref="AS131:AT131" si="1173">R131/AA131</f>
        <v>0.19906166219839141</v>
      </c>
      <c r="AT131" s="2">
        <f t="shared" si="1173"/>
        <v>0.1648631444939529</v>
      </c>
      <c r="AU131" s="2">
        <f t="shared" ref="AU131:AW131" si="1174">T131/W131</f>
        <v>9.6038415366146452E-3</v>
      </c>
      <c r="AV131" s="2">
        <f t="shared" si="1165"/>
        <v>1.4531043593130779E-2</v>
      </c>
      <c r="AW131" s="2">
        <f t="shared" si="1165"/>
        <v>1.1949685534591196E-2</v>
      </c>
    </row>
    <row r="132" spans="1:49" ht="13" x14ac:dyDescent="0.15">
      <c r="A132" s="1">
        <v>2024</v>
      </c>
      <c r="B132" s="1" t="s">
        <v>49</v>
      </c>
      <c r="C132" s="1" t="s">
        <v>80</v>
      </c>
      <c r="D132" s="1" t="s">
        <v>192</v>
      </c>
      <c r="E132" s="1">
        <v>18</v>
      </c>
      <c r="F132" s="1">
        <v>2</v>
      </c>
      <c r="G132" s="1">
        <v>20</v>
      </c>
      <c r="H132" s="1">
        <v>399</v>
      </c>
      <c r="I132" s="1">
        <v>272</v>
      </c>
      <c r="J132" s="1">
        <v>671</v>
      </c>
      <c r="K132" s="1">
        <v>214</v>
      </c>
      <c r="L132" s="1">
        <v>191</v>
      </c>
      <c r="M132" s="1">
        <v>405</v>
      </c>
      <c r="N132" s="1">
        <v>109</v>
      </c>
      <c r="O132" s="1">
        <v>113</v>
      </c>
      <c r="P132" s="1">
        <v>222</v>
      </c>
      <c r="Q132" s="1">
        <v>130</v>
      </c>
      <c r="R132" s="1">
        <v>124</v>
      </c>
      <c r="S132" s="1">
        <v>254</v>
      </c>
      <c r="T132" s="1">
        <v>12</v>
      </c>
      <c r="U132" s="1">
        <v>14</v>
      </c>
      <c r="V132" s="1">
        <v>26</v>
      </c>
      <c r="W132" s="1">
        <f t="shared" ref="W132:X132" si="1175">SUM(E132,H132,K132,N132,Q132,T132)</f>
        <v>882</v>
      </c>
      <c r="X132" s="1">
        <f t="shared" si="1175"/>
        <v>716</v>
      </c>
      <c r="Y132" s="1">
        <f t="shared" si="1"/>
        <v>1598</v>
      </c>
      <c r="Z132" s="1">
        <f t="shared" ref="Z132:AA132" si="1176">W132-T132</f>
        <v>870</v>
      </c>
      <c r="AA132" s="1">
        <f t="shared" si="1176"/>
        <v>702</v>
      </c>
      <c r="AB132" s="1">
        <f t="shared" si="3"/>
        <v>1572</v>
      </c>
      <c r="AC132" s="1">
        <f t="shared" ref="AC132:AD132" si="1177">SUM(E132,H132,K132,N132)</f>
        <v>740</v>
      </c>
      <c r="AD132" s="1">
        <f t="shared" si="1177"/>
        <v>578</v>
      </c>
      <c r="AE132" s="1">
        <f t="shared" si="5"/>
        <v>1318</v>
      </c>
      <c r="AF132" s="2">
        <f t="shared" ref="AF132:AH132" si="1178">AC132/Z132</f>
        <v>0.85057471264367812</v>
      </c>
      <c r="AG132" s="2">
        <f t="shared" si="1178"/>
        <v>0.8233618233618234</v>
      </c>
      <c r="AH132" s="2">
        <f t="shared" si="1178"/>
        <v>0.83842239185750633</v>
      </c>
      <c r="AI132" s="1">
        <f t="shared" ref="AI132:AJ132" si="1179">SUM(E132,H132,K132)</f>
        <v>631</v>
      </c>
      <c r="AJ132" s="1">
        <f t="shared" si="1179"/>
        <v>465</v>
      </c>
      <c r="AK132" s="1">
        <f t="shared" si="8"/>
        <v>1096</v>
      </c>
      <c r="AL132" s="2">
        <f t="shared" ref="AL132:AN132" si="1180">AI132/Z132</f>
        <v>0.72528735632183905</v>
      </c>
      <c r="AM132" s="2">
        <f t="shared" si="1180"/>
        <v>0.66239316239316237</v>
      </c>
      <c r="AN132" s="2">
        <f t="shared" si="1180"/>
        <v>0.69720101781170485</v>
      </c>
      <c r="AO132" s="2">
        <f t="shared" ref="AO132:AQ132" si="1181">E132/Z132</f>
        <v>2.0689655172413793E-2</v>
      </c>
      <c r="AP132" s="2">
        <f t="shared" si="1181"/>
        <v>2.8490028490028491E-3</v>
      </c>
      <c r="AQ132" s="2">
        <f t="shared" si="1181"/>
        <v>1.2722646310432569E-2</v>
      </c>
      <c r="AR132" s="2">
        <f t="shared" si="11"/>
        <v>0.14252873563218391</v>
      </c>
      <c r="AS132" s="2">
        <f t="shared" ref="AS132:AT132" si="1182">R132/AA132</f>
        <v>0.17663817663817663</v>
      </c>
      <c r="AT132" s="2">
        <f t="shared" si="1182"/>
        <v>0.16157760814249364</v>
      </c>
      <c r="AU132" s="2">
        <f t="shared" ref="AU132:AW132" si="1183">T132/W132</f>
        <v>1.3605442176870748E-2</v>
      </c>
      <c r="AV132" s="2">
        <f t="shared" si="1165"/>
        <v>1.9553072625698324E-2</v>
      </c>
      <c r="AW132" s="2">
        <f t="shared" si="1165"/>
        <v>1.6270337922403004E-2</v>
      </c>
    </row>
    <row r="133" spans="1:49" ht="13" x14ac:dyDescent="0.15">
      <c r="A133" s="1">
        <v>2024</v>
      </c>
      <c r="B133" s="1" t="s">
        <v>49</v>
      </c>
      <c r="C133" s="1" t="s">
        <v>80</v>
      </c>
      <c r="D133" s="1" t="s">
        <v>193</v>
      </c>
      <c r="E133" s="1">
        <v>108</v>
      </c>
      <c r="F133" s="1">
        <v>51</v>
      </c>
      <c r="G133" s="1">
        <v>159</v>
      </c>
      <c r="H133" s="1">
        <v>1154</v>
      </c>
      <c r="I133" s="1">
        <v>706</v>
      </c>
      <c r="J133" s="1">
        <v>1860</v>
      </c>
      <c r="K133" s="1">
        <v>813</v>
      </c>
      <c r="L133" s="1">
        <v>833</v>
      </c>
      <c r="M133" s="1">
        <v>1646</v>
      </c>
      <c r="N133" s="1">
        <v>460</v>
      </c>
      <c r="O133" s="1">
        <v>344</v>
      </c>
      <c r="P133" s="1">
        <v>804</v>
      </c>
      <c r="Q133" s="1">
        <v>488</v>
      </c>
      <c r="R133" s="1">
        <v>638</v>
      </c>
      <c r="S133" s="1">
        <v>1126</v>
      </c>
      <c r="T133" s="1">
        <v>30</v>
      </c>
      <c r="U133" s="1">
        <v>45</v>
      </c>
      <c r="V133" s="1">
        <v>75</v>
      </c>
      <c r="W133" s="1">
        <f t="shared" ref="W133:X133" si="1184">SUM(E133,H133,K133,N133,Q133,T133)</f>
        <v>3053</v>
      </c>
      <c r="X133" s="1">
        <f t="shared" si="1184"/>
        <v>2617</v>
      </c>
      <c r="Y133" s="1">
        <f t="shared" si="1"/>
        <v>5670</v>
      </c>
      <c r="Z133" s="1">
        <f t="shared" ref="Z133:AA133" si="1185">W133-T133</f>
        <v>3023</v>
      </c>
      <c r="AA133" s="1">
        <f t="shared" si="1185"/>
        <v>2572</v>
      </c>
      <c r="AB133" s="1">
        <f t="shared" si="3"/>
        <v>5595</v>
      </c>
      <c r="AC133" s="1">
        <f t="shared" ref="AC133:AD133" si="1186">SUM(E133,H133,K133,N133)</f>
        <v>2535</v>
      </c>
      <c r="AD133" s="1">
        <f t="shared" si="1186"/>
        <v>1934</v>
      </c>
      <c r="AE133" s="1">
        <f t="shared" si="5"/>
        <v>4469</v>
      </c>
      <c r="AF133" s="2">
        <f t="shared" ref="AF133:AH133" si="1187">AC133/Z133</f>
        <v>0.83857095600396958</v>
      </c>
      <c r="AG133" s="2">
        <f t="shared" si="1187"/>
        <v>0.75194401244167963</v>
      </c>
      <c r="AH133" s="2">
        <f t="shared" si="1187"/>
        <v>0.79874888293118851</v>
      </c>
      <c r="AI133" s="1">
        <f t="shared" ref="AI133:AJ133" si="1188">SUM(E133,H133,K133)</f>
        <v>2075</v>
      </c>
      <c r="AJ133" s="1">
        <f t="shared" si="1188"/>
        <v>1590</v>
      </c>
      <c r="AK133" s="1">
        <f t="shared" si="8"/>
        <v>3665</v>
      </c>
      <c r="AL133" s="2">
        <f t="shared" ref="AL133:AN133" si="1189">AI133/Z133</f>
        <v>0.68640423420443264</v>
      </c>
      <c r="AM133" s="2">
        <f t="shared" si="1189"/>
        <v>0.61819595645412129</v>
      </c>
      <c r="AN133" s="2">
        <f t="shared" si="1189"/>
        <v>0.65504915102770334</v>
      </c>
      <c r="AO133" s="2">
        <f t="shared" ref="AO133:AQ133" si="1190">E133/Z133</f>
        <v>3.5726099900760831E-2</v>
      </c>
      <c r="AP133" s="2">
        <f t="shared" si="1190"/>
        <v>1.9828926905132192E-2</v>
      </c>
      <c r="AQ133" s="2">
        <f t="shared" si="1190"/>
        <v>2.8418230563002682E-2</v>
      </c>
      <c r="AR133" s="2">
        <f t="shared" si="11"/>
        <v>0.21104862719153158</v>
      </c>
      <c r="AS133" s="2">
        <f t="shared" ref="AS133:AT133" si="1191">R133/AA133</f>
        <v>0.24805598755832037</v>
      </c>
      <c r="AT133" s="2">
        <f t="shared" si="1191"/>
        <v>0.20125111706881144</v>
      </c>
      <c r="AU133" s="2">
        <f t="shared" ref="AU133:AW133" si="1192">T133/W133</f>
        <v>9.8264002620373405E-3</v>
      </c>
      <c r="AV133" s="2">
        <f t="shared" si="1165"/>
        <v>1.7195261750095531E-2</v>
      </c>
      <c r="AW133" s="2">
        <f t="shared" si="1165"/>
        <v>1.3227513227513227E-2</v>
      </c>
    </row>
    <row r="134" spans="1:49" ht="13" x14ac:dyDescent="0.15">
      <c r="A134" s="1">
        <v>2024</v>
      </c>
      <c r="B134" s="1" t="s">
        <v>49</v>
      </c>
      <c r="C134" s="1" t="s">
        <v>78</v>
      </c>
      <c r="D134" s="1" t="s">
        <v>194</v>
      </c>
      <c r="E134" s="1">
        <v>53</v>
      </c>
      <c r="F134" s="1">
        <v>32</v>
      </c>
      <c r="G134" s="1">
        <v>85</v>
      </c>
      <c r="H134" s="1">
        <v>717</v>
      </c>
      <c r="I134" s="1">
        <v>503</v>
      </c>
      <c r="J134" s="1">
        <v>1220</v>
      </c>
      <c r="K134" s="1">
        <v>412</v>
      </c>
      <c r="L134" s="1">
        <v>418</v>
      </c>
      <c r="M134" s="1">
        <v>830</v>
      </c>
      <c r="N134" s="1">
        <v>313</v>
      </c>
      <c r="O134" s="1">
        <v>229</v>
      </c>
      <c r="P134" s="1">
        <v>542</v>
      </c>
      <c r="Q134" s="1">
        <v>271</v>
      </c>
      <c r="R134" s="1">
        <v>409</v>
      </c>
      <c r="S134" s="1">
        <v>680</v>
      </c>
      <c r="T134" s="1">
        <v>22</v>
      </c>
      <c r="U134" s="1">
        <v>39</v>
      </c>
      <c r="V134" s="1">
        <v>61</v>
      </c>
      <c r="W134" s="1">
        <f t="shared" ref="W134:X134" si="1193">SUM(E134,H134,K134,N134,Q134,T134)</f>
        <v>1788</v>
      </c>
      <c r="X134" s="1">
        <f t="shared" si="1193"/>
        <v>1630</v>
      </c>
      <c r="Y134" s="1">
        <f t="shared" si="1"/>
        <v>3418</v>
      </c>
      <c r="Z134" s="1">
        <f t="shared" ref="Z134:AA134" si="1194">W134-T134</f>
        <v>1766</v>
      </c>
      <c r="AA134" s="1">
        <f t="shared" si="1194"/>
        <v>1591</v>
      </c>
      <c r="AB134" s="1">
        <f t="shared" si="3"/>
        <v>3357</v>
      </c>
      <c r="AC134" s="1">
        <f t="shared" ref="AC134:AD134" si="1195">SUM(E134,H134,K134,N134)</f>
        <v>1495</v>
      </c>
      <c r="AD134" s="1">
        <f t="shared" si="1195"/>
        <v>1182</v>
      </c>
      <c r="AE134" s="1">
        <f t="shared" si="5"/>
        <v>2677</v>
      </c>
      <c r="AF134" s="2">
        <f t="shared" ref="AF134:AH134" si="1196">AC134/Z134</f>
        <v>0.84654586636466589</v>
      </c>
      <c r="AG134" s="2">
        <f t="shared" si="1196"/>
        <v>0.74292897548711501</v>
      </c>
      <c r="AH134" s="2">
        <f t="shared" si="1196"/>
        <v>0.79743818885910034</v>
      </c>
      <c r="AI134" s="1">
        <f t="shared" ref="AI134:AJ134" si="1197">SUM(E134,H134,K134)</f>
        <v>1182</v>
      </c>
      <c r="AJ134" s="1">
        <f t="shared" si="1197"/>
        <v>953</v>
      </c>
      <c r="AK134" s="1">
        <f t="shared" si="8"/>
        <v>2135</v>
      </c>
      <c r="AL134" s="2">
        <f t="shared" ref="AL134:AN134" si="1198">AI134/Z134</f>
        <v>0.66930917327293316</v>
      </c>
      <c r="AM134" s="2">
        <f t="shared" si="1198"/>
        <v>0.59899434318038969</v>
      </c>
      <c r="AN134" s="2">
        <f t="shared" si="1198"/>
        <v>0.63598450997914802</v>
      </c>
      <c r="AO134" s="2">
        <f t="shared" ref="AO134:AQ134" si="1199">E134/Z134</f>
        <v>3.0011325028312569E-2</v>
      </c>
      <c r="AP134" s="2">
        <f t="shared" si="1199"/>
        <v>2.011313639220616E-2</v>
      </c>
      <c r="AQ134" s="2">
        <f t="shared" si="1199"/>
        <v>2.5320226392612451E-2</v>
      </c>
      <c r="AR134" s="2">
        <f t="shared" si="11"/>
        <v>0.23159682899207248</v>
      </c>
      <c r="AS134" s="2">
        <f t="shared" ref="AS134:AT134" si="1200">R134/AA134</f>
        <v>0.25707102451288499</v>
      </c>
      <c r="AT134" s="2">
        <f t="shared" si="1200"/>
        <v>0.20256181114089961</v>
      </c>
      <c r="AU134" s="2">
        <f t="shared" ref="AU134:AW134" si="1201">T134/W134</f>
        <v>1.2304250559284116E-2</v>
      </c>
      <c r="AV134" s="2">
        <f t="shared" si="1165"/>
        <v>2.392638036809816E-2</v>
      </c>
      <c r="AW134" s="2">
        <f t="shared" si="1165"/>
        <v>1.7846693973083673E-2</v>
      </c>
    </row>
    <row r="135" spans="1:49" ht="13" x14ac:dyDescent="0.15">
      <c r="A135" s="1">
        <v>2024</v>
      </c>
      <c r="B135" s="1" t="s">
        <v>49</v>
      </c>
      <c r="C135" s="1" t="s">
        <v>67</v>
      </c>
      <c r="D135" s="1" t="s">
        <v>195</v>
      </c>
      <c r="E135" s="1">
        <v>42</v>
      </c>
      <c r="F135" s="1">
        <v>13</v>
      </c>
      <c r="G135" s="1">
        <v>55</v>
      </c>
      <c r="H135" s="1">
        <v>662</v>
      </c>
      <c r="I135" s="1">
        <v>296</v>
      </c>
      <c r="J135" s="1">
        <v>958</v>
      </c>
      <c r="K135" s="1">
        <v>389</v>
      </c>
      <c r="L135" s="1">
        <v>334</v>
      </c>
      <c r="M135" s="1">
        <v>723</v>
      </c>
      <c r="N135" s="1">
        <v>153</v>
      </c>
      <c r="O135" s="1">
        <v>137</v>
      </c>
      <c r="P135" s="1">
        <v>290</v>
      </c>
      <c r="Q135" s="1">
        <v>84</v>
      </c>
      <c r="R135" s="1">
        <v>92</v>
      </c>
      <c r="S135" s="1">
        <v>176</v>
      </c>
      <c r="T135" s="1">
        <v>23</v>
      </c>
      <c r="U135" s="1">
        <v>14</v>
      </c>
      <c r="V135" s="1">
        <v>37</v>
      </c>
      <c r="W135" s="1">
        <f t="shared" ref="W135:X135" si="1202">SUM(E135,H135,K135,N135,Q135,T135)</f>
        <v>1353</v>
      </c>
      <c r="X135" s="1">
        <f t="shared" si="1202"/>
        <v>886</v>
      </c>
      <c r="Y135" s="1">
        <f t="shared" si="1"/>
        <v>2239</v>
      </c>
      <c r="Z135" s="1">
        <f t="shared" ref="Z135:AA135" si="1203">W135-T135</f>
        <v>1330</v>
      </c>
      <c r="AA135" s="1">
        <f t="shared" si="1203"/>
        <v>872</v>
      </c>
      <c r="AB135" s="1">
        <f t="shared" si="3"/>
        <v>2202</v>
      </c>
      <c r="AC135" s="1">
        <f t="shared" ref="AC135:AD135" si="1204">SUM(E135,H135,K135,N135)</f>
        <v>1246</v>
      </c>
      <c r="AD135" s="1">
        <f t="shared" si="1204"/>
        <v>780</v>
      </c>
      <c r="AE135" s="1">
        <f t="shared" si="5"/>
        <v>2026</v>
      </c>
      <c r="AF135" s="2">
        <f t="shared" ref="AF135:AH135" si="1205">AC135/Z135</f>
        <v>0.93684210526315792</v>
      </c>
      <c r="AG135" s="2">
        <f t="shared" si="1205"/>
        <v>0.89449541284403666</v>
      </c>
      <c r="AH135" s="2">
        <f t="shared" si="1205"/>
        <v>0.92007266121707543</v>
      </c>
      <c r="AI135" s="1">
        <f t="shared" ref="AI135:AJ135" si="1206">SUM(E135,H135,K135)</f>
        <v>1093</v>
      </c>
      <c r="AJ135" s="1">
        <f t="shared" si="1206"/>
        <v>643</v>
      </c>
      <c r="AK135" s="1">
        <f t="shared" si="8"/>
        <v>1736</v>
      </c>
      <c r="AL135" s="2">
        <f t="shared" ref="AL135:AN135" si="1207">AI135/Z135</f>
        <v>0.82180451127819554</v>
      </c>
      <c r="AM135" s="2">
        <f t="shared" si="1207"/>
        <v>0.73738532110091748</v>
      </c>
      <c r="AN135" s="2">
        <f t="shared" si="1207"/>
        <v>0.78837420526793822</v>
      </c>
      <c r="AO135" s="2">
        <f t="shared" ref="AO135:AQ135" si="1208">E135/Z135</f>
        <v>3.1578947368421054E-2</v>
      </c>
      <c r="AP135" s="2">
        <f t="shared" si="1208"/>
        <v>1.4908256880733946E-2</v>
      </c>
      <c r="AQ135" s="2">
        <f t="shared" si="1208"/>
        <v>2.4977293369663943E-2</v>
      </c>
      <c r="AR135" s="2">
        <f t="shared" si="11"/>
        <v>6.9172932330827067E-2</v>
      </c>
      <c r="AS135" s="2">
        <f t="shared" ref="AS135:AT135" si="1209">R135/AA135</f>
        <v>0.10550458715596331</v>
      </c>
      <c r="AT135" s="2">
        <f t="shared" si="1209"/>
        <v>7.9927338782924615E-2</v>
      </c>
      <c r="AU135" s="2">
        <f t="shared" ref="AU135:AW135" si="1210">T135/W135</f>
        <v>1.6999260901699925E-2</v>
      </c>
      <c r="AV135" s="2">
        <f t="shared" si="1165"/>
        <v>1.580135440180587E-2</v>
      </c>
      <c r="AW135" s="2">
        <f t="shared" si="1165"/>
        <v>1.6525234479678429E-2</v>
      </c>
    </row>
    <row r="136" spans="1:49" ht="13" x14ac:dyDescent="0.15">
      <c r="A136" s="1">
        <v>2024</v>
      </c>
      <c r="B136" s="1" t="s">
        <v>49</v>
      </c>
      <c r="C136" s="1" t="s">
        <v>70</v>
      </c>
      <c r="D136" s="1" t="s">
        <v>196</v>
      </c>
      <c r="E136" s="1">
        <v>50</v>
      </c>
      <c r="F136" s="1">
        <v>28</v>
      </c>
      <c r="G136" s="1">
        <v>78</v>
      </c>
      <c r="H136" s="1">
        <v>1111</v>
      </c>
      <c r="I136" s="1">
        <v>844</v>
      </c>
      <c r="J136" s="1">
        <v>1955</v>
      </c>
      <c r="K136" s="1">
        <v>862</v>
      </c>
      <c r="L136" s="1">
        <v>1137</v>
      </c>
      <c r="M136" s="1">
        <v>1999</v>
      </c>
      <c r="N136" s="1">
        <v>465</v>
      </c>
      <c r="O136" s="1">
        <v>503</v>
      </c>
      <c r="P136" s="1">
        <v>968</v>
      </c>
      <c r="Q136" s="1">
        <v>462</v>
      </c>
      <c r="R136" s="1">
        <v>579</v>
      </c>
      <c r="S136" s="1">
        <v>1041</v>
      </c>
      <c r="T136" s="1">
        <v>26</v>
      </c>
      <c r="U136" s="1">
        <v>27</v>
      </c>
      <c r="V136" s="1">
        <v>53</v>
      </c>
      <c r="W136" s="1">
        <f t="shared" ref="W136:X136" si="1211">SUM(E136,H136,K136,N136,Q136,T136)</f>
        <v>2976</v>
      </c>
      <c r="X136" s="1">
        <f t="shared" si="1211"/>
        <v>3118</v>
      </c>
      <c r="Y136" s="1">
        <f t="shared" si="1"/>
        <v>6094</v>
      </c>
      <c r="Z136" s="1">
        <f t="shared" ref="Z136:AA136" si="1212">W136-T136</f>
        <v>2950</v>
      </c>
      <c r="AA136" s="1">
        <f t="shared" si="1212"/>
        <v>3091</v>
      </c>
      <c r="AB136" s="1">
        <f t="shared" si="3"/>
        <v>6041</v>
      </c>
      <c r="AC136" s="1">
        <f t="shared" ref="AC136:AD136" si="1213">SUM(E136,H136,K136,N136)</f>
        <v>2488</v>
      </c>
      <c r="AD136" s="1">
        <f t="shared" si="1213"/>
        <v>2512</v>
      </c>
      <c r="AE136" s="1">
        <f t="shared" si="5"/>
        <v>5000</v>
      </c>
      <c r="AF136" s="2">
        <f t="shared" ref="AF136:AH136" si="1214">AC136/Z136</f>
        <v>0.8433898305084746</v>
      </c>
      <c r="AG136" s="2">
        <f t="shared" si="1214"/>
        <v>0.81268197994176639</v>
      </c>
      <c r="AH136" s="2">
        <f t="shared" si="1214"/>
        <v>0.82767753683165035</v>
      </c>
      <c r="AI136" s="1">
        <f t="shared" ref="AI136:AJ136" si="1215">SUM(E136,H136,K136)</f>
        <v>2023</v>
      </c>
      <c r="AJ136" s="1">
        <f t="shared" si="1215"/>
        <v>2009</v>
      </c>
      <c r="AK136" s="1">
        <f t="shared" si="8"/>
        <v>4032</v>
      </c>
      <c r="AL136" s="2">
        <f t="shared" ref="AL136:AN136" si="1216">AI136/Z136</f>
        <v>0.68576271186440674</v>
      </c>
      <c r="AM136" s="2">
        <f t="shared" si="1216"/>
        <v>0.64995147201552894</v>
      </c>
      <c r="AN136" s="2">
        <f t="shared" si="1216"/>
        <v>0.66743916570104289</v>
      </c>
      <c r="AO136" s="2">
        <f t="shared" ref="AO136:AQ136" si="1217">E136/Z136</f>
        <v>1.6949152542372881E-2</v>
      </c>
      <c r="AP136" s="2">
        <f t="shared" si="1217"/>
        <v>9.0585571012617282E-3</v>
      </c>
      <c r="AQ136" s="2">
        <f t="shared" si="1217"/>
        <v>1.2911769574573746E-2</v>
      </c>
      <c r="AR136" s="2">
        <f t="shared" si="11"/>
        <v>0.19627118644067795</v>
      </c>
      <c r="AS136" s="2">
        <f t="shared" ref="AS136:AT136" si="1218">R136/AA136</f>
        <v>0.18731802005823359</v>
      </c>
      <c r="AT136" s="2">
        <f t="shared" si="1218"/>
        <v>0.17232246316834962</v>
      </c>
      <c r="AU136" s="2">
        <f t="shared" ref="AU136:AW136" si="1219">T136/W136</f>
        <v>8.7365591397849454E-3</v>
      </c>
      <c r="AV136" s="2">
        <f t="shared" si="1165"/>
        <v>8.6593970493906349E-3</v>
      </c>
      <c r="AW136" s="2">
        <f t="shared" si="1165"/>
        <v>8.6970790941910073E-3</v>
      </c>
    </row>
    <row r="137" spans="1:49" ht="13" x14ac:dyDescent="0.15">
      <c r="A137" s="1">
        <v>2024</v>
      </c>
      <c r="B137" s="1" t="s">
        <v>49</v>
      </c>
      <c r="C137" s="1" t="s">
        <v>67</v>
      </c>
      <c r="D137" s="1" t="s">
        <v>197</v>
      </c>
      <c r="E137" s="1">
        <v>21</v>
      </c>
      <c r="F137" s="1">
        <v>2</v>
      </c>
      <c r="G137" s="1">
        <v>23</v>
      </c>
      <c r="H137" s="1">
        <v>567</v>
      </c>
      <c r="I137" s="1">
        <v>267</v>
      </c>
      <c r="J137" s="1">
        <v>834</v>
      </c>
      <c r="K137" s="1">
        <v>551</v>
      </c>
      <c r="L137" s="1">
        <v>400</v>
      </c>
      <c r="M137" s="1">
        <v>951</v>
      </c>
      <c r="N137" s="1">
        <v>303</v>
      </c>
      <c r="O137" s="1">
        <v>157</v>
      </c>
      <c r="P137" s="1">
        <v>460</v>
      </c>
      <c r="Q137" s="1">
        <v>174</v>
      </c>
      <c r="R137" s="1">
        <v>158</v>
      </c>
      <c r="S137" s="1">
        <v>332</v>
      </c>
      <c r="T137" s="1">
        <v>13</v>
      </c>
      <c r="U137" s="1">
        <v>12</v>
      </c>
      <c r="V137" s="1">
        <v>25</v>
      </c>
      <c r="W137" s="1">
        <f t="shared" ref="W137:X137" si="1220">SUM(E137,H137,K137,N137,Q137,T137)</f>
        <v>1629</v>
      </c>
      <c r="X137" s="1">
        <f t="shared" si="1220"/>
        <v>996</v>
      </c>
      <c r="Y137" s="1">
        <f t="shared" si="1"/>
        <v>2625</v>
      </c>
      <c r="Z137" s="1">
        <f t="shared" ref="Z137:AA137" si="1221">W137-T137</f>
        <v>1616</v>
      </c>
      <c r="AA137" s="1">
        <f t="shared" si="1221"/>
        <v>984</v>
      </c>
      <c r="AB137" s="1">
        <f t="shared" si="3"/>
        <v>2600</v>
      </c>
      <c r="AC137" s="1">
        <f t="shared" ref="AC137:AD137" si="1222">SUM(E137,H137,K137,N137)</f>
        <v>1442</v>
      </c>
      <c r="AD137" s="1">
        <f t="shared" si="1222"/>
        <v>826</v>
      </c>
      <c r="AE137" s="1">
        <f t="shared" si="5"/>
        <v>2268</v>
      </c>
      <c r="AF137" s="2">
        <f t="shared" ref="AF137:AH137" si="1223">AC137/Z137</f>
        <v>0.89232673267326734</v>
      </c>
      <c r="AG137" s="2">
        <f t="shared" si="1223"/>
        <v>0.83943089430894313</v>
      </c>
      <c r="AH137" s="2">
        <f t="shared" si="1223"/>
        <v>0.87230769230769234</v>
      </c>
      <c r="AI137" s="1">
        <f t="shared" ref="AI137:AJ137" si="1224">SUM(E137,H137,K137)</f>
        <v>1139</v>
      </c>
      <c r="AJ137" s="1">
        <f t="shared" si="1224"/>
        <v>669</v>
      </c>
      <c r="AK137" s="1">
        <f t="shared" si="8"/>
        <v>1808</v>
      </c>
      <c r="AL137" s="2">
        <f t="shared" ref="AL137:AN137" si="1225">AI137/Z137</f>
        <v>0.70482673267326734</v>
      </c>
      <c r="AM137" s="2">
        <f t="shared" si="1225"/>
        <v>0.67987804878048785</v>
      </c>
      <c r="AN137" s="2">
        <f t="shared" si="1225"/>
        <v>0.69538461538461538</v>
      </c>
      <c r="AO137" s="2">
        <f t="shared" ref="AO137:AQ137" si="1226">E137/Z137</f>
        <v>1.2995049504950494E-2</v>
      </c>
      <c r="AP137" s="2">
        <f t="shared" si="1226"/>
        <v>2.0325203252032522E-3</v>
      </c>
      <c r="AQ137" s="2">
        <f t="shared" si="1226"/>
        <v>8.8461538461538456E-3</v>
      </c>
      <c r="AR137" s="2">
        <f t="shared" si="11"/>
        <v>9.7772277227722776E-2</v>
      </c>
      <c r="AS137" s="2">
        <f t="shared" ref="AS137:AT137" si="1227">R137/AA137</f>
        <v>0.16056910569105692</v>
      </c>
      <c r="AT137" s="2">
        <f t="shared" si="1227"/>
        <v>0.12769230769230769</v>
      </c>
      <c r="AU137" s="2">
        <f t="shared" ref="AU137:AW137" si="1228">T137/W137</f>
        <v>7.9803560466543896E-3</v>
      </c>
      <c r="AV137" s="2">
        <f t="shared" si="1165"/>
        <v>1.2048192771084338E-2</v>
      </c>
      <c r="AW137" s="2">
        <f t="shared" si="1165"/>
        <v>9.5238095238095247E-3</v>
      </c>
    </row>
    <row r="138" spans="1:49" ht="13" x14ac:dyDescent="0.15">
      <c r="A138" s="1">
        <v>2024</v>
      </c>
      <c r="B138" s="1" t="s">
        <v>74</v>
      </c>
      <c r="C138" s="1" t="s">
        <v>75</v>
      </c>
      <c r="D138" s="1" t="s">
        <v>198</v>
      </c>
      <c r="E138" s="1">
        <v>10</v>
      </c>
      <c r="F138" s="1">
        <v>2</v>
      </c>
      <c r="G138" s="1">
        <v>12</v>
      </c>
      <c r="H138" s="1">
        <v>307</v>
      </c>
      <c r="I138" s="1">
        <v>84</v>
      </c>
      <c r="J138" s="1">
        <v>391</v>
      </c>
      <c r="K138" s="1">
        <v>74</v>
      </c>
      <c r="L138" s="1">
        <v>70</v>
      </c>
      <c r="M138" s="1">
        <v>144</v>
      </c>
      <c r="N138" s="1">
        <v>35</v>
      </c>
      <c r="O138" s="1">
        <v>39</v>
      </c>
      <c r="P138" s="1">
        <v>74</v>
      </c>
      <c r="Q138" s="1">
        <v>8</v>
      </c>
      <c r="R138" s="1">
        <v>19</v>
      </c>
      <c r="S138" s="1">
        <v>27</v>
      </c>
      <c r="T138" s="1">
        <v>3</v>
      </c>
      <c r="U138" s="1">
        <v>1</v>
      </c>
      <c r="V138" s="1">
        <v>4</v>
      </c>
      <c r="W138" s="1">
        <f t="shared" ref="W138:X138" si="1229">SUM(E138,H138,K138,N138,Q138,T138)</f>
        <v>437</v>
      </c>
      <c r="X138" s="1">
        <f t="shared" si="1229"/>
        <v>215</v>
      </c>
      <c r="Y138" s="1">
        <f t="shared" si="1"/>
        <v>652</v>
      </c>
      <c r="Z138" s="1">
        <f t="shared" ref="Z138:AA138" si="1230">W138-T138</f>
        <v>434</v>
      </c>
      <c r="AA138" s="1">
        <f t="shared" si="1230"/>
        <v>214</v>
      </c>
      <c r="AB138" s="1">
        <f t="shared" si="3"/>
        <v>648</v>
      </c>
      <c r="AC138" s="1">
        <f t="shared" ref="AC138:AD138" si="1231">SUM(E138,H138,K138,N138)</f>
        <v>426</v>
      </c>
      <c r="AD138" s="1">
        <f t="shared" si="1231"/>
        <v>195</v>
      </c>
      <c r="AE138" s="1">
        <f t="shared" si="5"/>
        <v>621</v>
      </c>
      <c r="AF138" s="2">
        <f t="shared" ref="AF138:AH138" si="1232">AC138/Z138</f>
        <v>0.98156682027649766</v>
      </c>
      <c r="AG138" s="2">
        <f t="shared" si="1232"/>
        <v>0.91121495327102808</v>
      </c>
      <c r="AH138" s="2">
        <f t="shared" si="1232"/>
        <v>0.95833333333333337</v>
      </c>
      <c r="AI138" s="1">
        <f t="shared" ref="AI138:AJ138" si="1233">SUM(E138,H138,K138)</f>
        <v>391</v>
      </c>
      <c r="AJ138" s="1">
        <f t="shared" si="1233"/>
        <v>156</v>
      </c>
      <c r="AK138" s="1">
        <f t="shared" si="8"/>
        <v>547</v>
      </c>
      <c r="AL138" s="2">
        <f t="shared" ref="AL138:AN138" si="1234">AI138/Z138</f>
        <v>0.90092165898617516</v>
      </c>
      <c r="AM138" s="2">
        <f t="shared" si="1234"/>
        <v>0.7289719626168224</v>
      </c>
      <c r="AN138" s="2">
        <f t="shared" si="1234"/>
        <v>0.84413580246913578</v>
      </c>
      <c r="AO138" s="2">
        <f t="shared" ref="AO138:AQ138" si="1235">E138/Z138</f>
        <v>2.3041474654377881E-2</v>
      </c>
      <c r="AP138" s="2">
        <f t="shared" si="1235"/>
        <v>9.3457943925233638E-3</v>
      </c>
      <c r="AQ138" s="2">
        <f t="shared" si="1235"/>
        <v>1.8518518518518517E-2</v>
      </c>
      <c r="AR138" s="2">
        <f t="shared" si="11"/>
        <v>4.377880184331797E-2</v>
      </c>
      <c r="AS138" s="2">
        <f t="shared" ref="AS138:AT138" si="1236">R138/AA138</f>
        <v>8.8785046728971959E-2</v>
      </c>
      <c r="AT138" s="2">
        <f t="shared" si="1236"/>
        <v>4.1666666666666664E-2</v>
      </c>
      <c r="AU138" s="2">
        <f t="shared" ref="AU138:AW138" si="1237">T138/W138</f>
        <v>6.8649885583524023E-3</v>
      </c>
      <c r="AV138" s="2">
        <f t="shared" si="1165"/>
        <v>4.6511627906976744E-3</v>
      </c>
      <c r="AW138" s="2">
        <f t="shared" si="1165"/>
        <v>6.1349693251533744E-3</v>
      </c>
    </row>
    <row r="139" spans="1:49" ht="13" x14ac:dyDescent="0.15">
      <c r="A139" s="1">
        <v>2023</v>
      </c>
      <c r="B139" s="1" t="s">
        <v>66</v>
      </c>
      <c r="C139" s="1" t="s">
        <v>67</v>
      </c>
      <c r="D139" s="1" t="s">
        <v>77</v>
      </c>
      <c r="E139" s="1">
        <v>122</v>
      </c>
      <c r="F139" s="1">
        <v>67</v>
      </c>
      <c r="G139" s="1">
        <v>189</v>
      </c>
      <c r="H139" s="1">
        <v>1030</v>
      </c>
      <c r="I139" s="1">
        <v>615</v>
      </c>
      <c r="J139" s="1">
        <v>1645</v>
      </c>
      <c r="K139" s="1">
        <v>1089</v>
      </c>
      <c r="L139" s="1">
        <v>779</v>
      </c>
      <c r="M139" s="1">
        <v>1868</v>
      </c>
      <c r="N139" s="1">
        <v>427</v>
      </c>
      <c r="O139" s="1">
        <v>288</v>
      </c>
      <c r="P139" s="1">
        <v>715</v>
      </c>
      <c r="Q139" s="1">
        <v>481</v>
      </c>
      <c r="R139" s="1">
        <v>542</v>
      </c>
      <c r="S139" s="1">
        <v>1023</v>
      </c>
      <c r="T139" s="1">
        <v>39</v>
      </c>
      <c r="U139" s="1">
        <v>28</v>
      </c>
      <c r="V139" s="1">
        <v>67</v>
      </c>
      <c r="W139" s="1">
        <f t="shared" ref="W139:X139" si="1238">SUM(E139,H139,K139,N139,Q139,T139)</f>
        <v>3188</v>
      </c>
      <c r="X139" s="1">
        <f t="shared" si="1238"/>
        <v>2319</v>
      </c>
      <c r="Y139" s="1">
        <f t="shared" si="1"/>
        <v>5507</v>
      </c>
      <c r="Z139" s="1">
        <f t="shared" ref="Z139:AA139" si="1239">W139-T139</f>
        <v>3149</v>
      </c>
      <c r="AA139" s="1">
        <f t="shared" si="1239"/>
        <v>2291</v>
      </c>
      <c r="AB139" s="1">
        <f t="shared" si="3"/>
        <v>5440</v>
      </c>
      <c r="AC139" s="1">
        <f t="shared" ref="AC139:AD139" si="1240">SUM(E139,H139,K139,N139)</f>
        <v>2668</v>
      </c>
      <c r="AD139" s="1">
        <f t="shared" si="1240"/>
        <v>1749</v>
      </c>
      <c r="AE139" s="1">
        <f t="shared" si="5"/>
        <v>4417</v>
      </c>
      <c r="AF139" s="2">
        <f t="shared" ref="AF139:AH139" si="1241">AC139/Z139</f>
        <v>0.84725309622102252</v>
      </c>
      <c r="AG139" s="2">
        <f t="shared" si="1241"/>
        <v>0.76342208642514187</v>
      </c>
      <c r="AH139" s="2">
        <f t="shared" si="1241"/>
        <v>0.81194852941176465</v>
      </c>
      <c r="AI139" s="1">
        <f t="shared" ref="AI139:AJ139" si="1242">SUM(E139,H139,K139)</f>
        <v>2241</v>
      </c>
      <c r="AJ139" s="1">
        <f t="shared" si="1242"/>
        <v>1461</v>
      </c>
      <c r="AK139" s="1">
        <f t="shared" si="8"/>
        <v>3702</v>
      </c>
      <c r="AL139" s="2">
        <f t="shared" ref="AL139:AN139" si="1243">AI139/Z139</f>
        <v>0.71165449348999688</v>
      </c>
      <c r="AM139" s="2">
        <f t="shared" si="1243"/>
        <v>0.63771278917503271</v>
      </c>
      <c r="AN139" s="2">
        <f t="shared" si="1243"/>
        <v>0.68051470588235297</v>
      </c>
      <c r="AO139" s="2">
        <f t="shared" ref="AO139:AQ139" si="1244">E139/Z139</f>
        <v>3.8742457923150203E-2</v>
      </c>
      <c r="AP139" s="2">
        <f t="shared" si="1244"/>
        <v>2.9244871235268442E-2</v>
      </c>
      <c r="AQ139" s="2">
        <f t="shared" si="1244"/>
        <v>3.4742647058823531E-2</v>
      </c>
      <c r="AR139" s="2">
        <f t="shared" si="11"/>
        <v>0.17211813274055254</v>
      </c>
      <c r="AS139" s="2">
        <f t="shared" ref="AS139:AT139" si="1245">R139/AA139</f>
        <v>0.23657791357485813</v>
      </c>
      <c r="AT139" s="2">
        <f t="shared" si="1245"/>
        <v>0.18805147058823529</v>
      </c>
      <c r="AU139" s="2">
        <f t="shared" ref="AU139:AW139" si="1246">T139/W139</f>
        <v>1.2233375156838143E-2</v>
      </c>
      <c r="AV139" s="2">
        <f t="shared" si="1165"/>
        <v>1.2074169900819319E-2</v>
      </c>
      <c r="AW139" s="2">
        <f t="shared" si="1165"/>
        <v>1.2166333757036499E-2</v>
      </c>
    </row>
    <row r="140" spans="1:49" ht="13" x14ac:dyDescent="0.15">
      <c r="A140" s="1">
        <v>2023</v>
      </c>
      <c r="B140" s="1" t="s">
        <v>49</v>
      </c>
      <c r="C140" s="1" t="s">
        <v>78</v>
      </c>
      <c r="D140" s="1" t="s">
        <v>79</v>
      </c>
      <c r="E140" s="1">
        <v>55</v>
      </c>
      <c r="F140" s="1">
        <v>29</v>
      </c>
      <c r="G140" s="1">
        <v>84</v>
      </c>
      <c r="H140" s="1">
        <v>815</v>
      </c>
      <c r="I140" s="1">
        <v>451</v>
      </c>
      <c r="J140" s="1">
        <v>1266</v>
      </c>
      <c r="K140" s="1">
        <v>594</v>
      </c>
      <c r="L140" s="1">
        <v>505</v>
      </c>
      <c r="M140" s="1">
        <v>1099</v>
      </c>
      <c r="N140" s="1">
        <v>312</v>
      </c>
      <c r="O140" s="1">
        <v>266</v>
      </c>
      <c r="P140" s="1">
        <v>578</v>
      </c>
      <c r="Q140" s="1">
        <v>408</v>
      </c>
      <c r="R140" s="1">
        <v>558</v>
      </c>
      <c r="S140" s="1">
        <v>966</v>
      </c>
      <c r="T140" s="1">
        <v>15</v>
      </c>
      <c r="U140" s="1">
        <v>26</v>
      </c>
      <c r="V140" s="1">
        <v>41</v>
      </c>
      <c r="W140" s="1">
        <f t="shared" ref="W140:X140" si="1247">SUM(E140,H140,K140,N140,Q140,T140)</f>
        <v>2199</v>
      </c>
      <c r="X140" s="1">
        <f t="shared" si="1247"/>
        <v>1835</v>
      </c>
      <c r="Y140" s="1">
        <f t="shared" si="1"/>
        <v>4034</v>
      </c>
      <c r="Z140" s="1">
        <f t="shared" ref="Z140:AA140" si="1248">W140-T140</f>
        <v>2184</v>
      </c>
      <c r="AA140" s="1">
        <f t="shared" si="1248"/>
        <v>1809</v>
      </c>
      <c r="AB140" s="1">
        <f t="shared" si="3"/>
        <v>3993</v>
      </c>
      <c r="AC140" s="1">
        <f t="shared" ref="AC140:AD140" si="1249">SUM(E140,H140,K140,N140)</f>
        <v>1776</v>
      </c>
      <c r="AD140" s="1">
        <f t="shared" si="1249"/>
        <v>1251</v>
      </c>
      <c r="AE140" s="1">
        <f t="shared" si="5"/>
        <v>3027</v>
      </c>
      <c r="AF140" s="2">
        <f t="shared" ref="AF140:AH140" si="1250">AC140/Z140</f>
        <v>0.81318681318681318</v>
      </c>
      <c r="AG140" s="2">
        <f t="shared" si="1250"/>
        <v>0.69154228855721389</v>
      </c>
      <c r="AH140" s="2">
        <f t="shared" si="1250"/>
        <v>0.75807663410969195</v>
      </c>
      <c r="AI140" s="1">
        <f t="shared" ref="AI140:AJ140" si="1251">SUM(E140,H140,K140)</f>
        <v>1464</v>
      </c>
      <c r="AJ140" s="1">
        <f t="shared" si="1251"/>
        <v>985</v>
      </c>
      <c r="AK140" s="1">
        <f t="shared" si="8"/>
        <v>2449</v>
      </c>
      <c r="AL140" s="2">
        <f t="shared" ref="AL140:AN140" si="1252">AI140/Z140</f>
        <v>0.67032967032967028</v>
      </c>
      <c r="AM140" s="2">
        <f t="shared" si="1252"/>
        <v>0.54449972360420118</v>
      </c>
      <c r="AN140" s="2">
        <f t="shared" si="1252"/>
        <v>0.61332331580265464</v>
      </c>
      <c r="AO140" s="2">
        <f t="shared" ref="AO140:AQ140" si="1253">E140/Z140</f>
        <v>2.5183150183150184E-2</v>
      </c>
      <c r="AP140" s="2">
        <f t="shared" si="1253"/>
        <v>1.6030956329463792E-2</v>
      </c>
      <c r="AQ140" s="2">
        <f t="shared" si="1253"/>
        <v>2.1036814425244178E-2</v>
      </c>
      <c r="AR140" s="2">
        <f t="shared" si="11"/>
        <v>0.25549450549450547</v>
      </c>
      <c r="AS140" s="2">
        <f t="shared" ref="AS140:AT140" si="1254">R140/AA140</f>
        <v>0.30845771144278605</v>
      </c>
      <c r="AT140" s="2">
        <f t="shared" si="1254"/>
        <v>0.24192336589030805</v>
      </c>
      <c r="AU140" s="2">
        <f t="shared" ref="AU140:AW140" si="1255">T140/W140</f>
        <v>6.8212824010914054E-3</v>
      </c>
      <c r="AV140" s="2">
        <f t="shared" si="1165"/>
        <v>1.4168937329700272E-2</v>
      </c>
      <c r="AW140" s="2">
        <f t="shared" si="1165"/>
        <v>1.0163609320773426E-2</v>
      </c>
    </row>
    <row r="141" spans="1:49" ht="13" x14ac:dyDescent="0.15">
      <c r="A141" s="1">
        <v>2023</v>
      </c>
      <c r="B141" s="1" t="s">
        <v>49</v>
      </c>
      <c r="C141" s="1" t="s">
        <v>80</v>
      </c>
      <c r="D141" s="1" t="s">
        <v>81</v>
      </c>
      <c r="E141" s="1">
        <v>61</v>
      </c>
      <c r="F141" s="1">
        <v>33</v>
      </c>
      <c r="G141" s="1">
        <v>94</v>
      </c>
      <c r="H141" s="1">
        <v>684</v>
      </c>
      <c r="I141" s="1">
        <v>389</v>
      </c>
      <c r="J141" s="1">
        <v>1073</v>
      </c>
      <c r="K141" s="1">
        <v>480</v>
      </c>
      <c r="L141" s="1">
        <v>458</v>
      </c>
      <c r="M141" s="1">
        <v>938</v>
      </c>
      <c r="N141" s="1">
        <v>278</v>
      </c>
      <c r="O141" s="1">
        <v>281</v>
      </c>
      <c r="P141" s="1">
        <v>559</v>
      </c>
      <c r="Q141" s="1">
        <v>545</v>
      </c>
      <c r="R141" s="1">
        <v>588</v>
      </c>
      <c r="S141" s="1">
        <v>1133</v>
      </c>
      <c r="T141" s="1">
        <v>34</v>
      </c>
      <c r="U141" s="1">
        <v>27</v>
      </c>
      <c r="V141" s="1">
        <v>61</v>
      </c>
      <c r="W141" s="1">
        <f t="shared" ref="W141:X141" si="1256">SUM(E141,H141,K141,N141,Q141,T141)</f>
        <v>2082</v>
      </c>
      <c r="X141" s="1">
        <f t="shared" si="1256"/>
        <v>1776</v>
      </c>
      <c r="Y141" s="1">
        <f t="shared" si="1"/>
        <v>3858</v>
      </c>
      <c r="Z141" s="1">
        <f t="shared" ref="Z141:AA141" si="1257">W141-T141</f>
        <v>2048</v>
      </c>
      <c r="AA141" s="1">
        <f t="shared" si="1257"/>
        <v>1749</v>
      </c>
      <c r="AB141" s="1">
        <f t="shared" si="3"/>
        <v>3797</v>
      </c>
      <c r="AC141" s="1">
        <f t="shared" ref="AC141:AD141" si="1258">SUM(E141,H141,K141,N141)</f>
        <v>1503</v>
      </c>
      <c r="AD141" s="1">
        <f t="shared" si="1258"/>
        <v>1161</v>
      </c>
      <c r="AE141" s="1">
        <f t="shared" si="5"/>
        <v>2664</v>
      </c>
      <c r="AF141" s="2">
        <f t="shared" ref="AF141:AH141" si="1259">AC141/Z141</f>
        <v>0.73388671875</v>
      </c>
      <c r="AG141" s="2">
        <f t="shared" si="1259"/>
        <v>0.66380789022298459</v>
      </c>
      <c r="AH141" s="2">
        <f t="shared" si="1259"/>
        <v>0.70160653147221486</v>
      </c>
      <c r="AI141" s="1">
        <f t="shared" ref="AI141:AJ141" si="1260">SUM(E141,H141,K141)</f>
        <v>1225</v>
      </c>
      <c r="AJ141" s="1">
        <f t="shared" si="1260"/>
        <v>880</v>
      </c>
      <c r="AK141" s="1">
        <f t="shared" si="8"/>
        <v>2105</v>
      </c>
      <c r="AL141" s="2">
        <f t="shared" ref="AL141:AN141" si="1261">AI141/Z141</f>
        <v>0.59814453125</v>
      </c>
      <c r="AM141" s="2">
        <f t="shared" si="1261"/>
        <v>0.50314465408805031</v>
      </c>
      <c r="AN141" s="2">
        <f t="shared" si="1261"/>
        <v>0.55438504082170137</v>
      </c>
      <c r="AO141" s="2">
        <f t="shared" ref="AO141:AQ141" si="1262">E141/Z141</f>
        <v>2.978515625E-2</v>
      </c>
      <c r="AP141" s="2">
        <f t="shared" si="1262"/>
        <v>1.8867924528301886E-2</v>
      </c>
      <c r="AQ141" s="2">
        <f t="shared" si="1262"/>
        <v>2.4756386621016591E-2</v>
      </c>
      <c r="AR141" s="2">
        <f t="shared" si="11"/>
        <v>0.287109375</v>
      </c>
      <c r="AS141" s="2">
        <f t="shared" ref="AS141:AT141" si="1263">R141/AA141</f>
        <v>0.33619210977701541</v>
      </c>
      <c r="AT141" s="2">
        <f t="shared" si="1263"/>
        <v>0.29839346852778509</v>
      </c>
      <c r="AU141" s="2">
        <f t="shared" ref="AU141:AW141" si="1264">T141/W141</f>
        <v>1.633045148895293E-2</v>
      </c>
      <c r="AV141" s="2">
        <f t="shared" si="1165"/>
        <v>1.5202702702702704E-2</v>
      </c>
      <c r="AW141" s="2">
        <f t="shared" si="1165"/>
        <v>1.5811301192327629E-2</v>
      </c>
    </row>
    <row r="142" spans="1:49" ht="13" x14ac:dyDescent="0.15">
      <c r="A142" s="1">
        <v>2023</v>
      </c>
      <c r="B142" s="1" t="s">
        <v>49</v>
      </c>
      <c r="C142" s="1" t="s">
        <v>80</v>
      </c>
      <c r="D142" s="1" t="s">
        <v>82</v>
      </c>
      <c r="E142" s="1">
        <v>73</v>
      </c>
      <c r="F142" s="1">
        <v>21</v>
      </c>
      <c r="G142" s="1">
        <v>94</v>
      </c>
      <c r="H142" s="1">
        <v>557</v>
      </c>
      <c r="I142" s="1">
        <v>388</v>
      </c>
      <c r="J142" s="1">
        <v>945</v>
      </c>
      <c r="K142" s="1">
        <v>278</v>
      </c>
      <c r="L142" s="1">
        <v>286</v>
      </c>
      <c r="M142" s="1">
        <v>564</v>
      </c>
      <c r="N142" s="1">
        <v>177</v>
      </c>
      <c r="O142" s="1">
        <v>167</v>
      </c>
      <c r="P142" s="1">
        <v>344</v>
      </c>
      <c r="Q142" s="1">
        <v>236</v>
      </c>
      <c r="R142" s="1">
        <v>300</v>
      </c>
      <c r="S142" s="1">
        <v>536</v>
      </c>
      <c r="T142" s="1">
        <v>11</v>
      </c>
      <c r="U142" s="1">
        <v>8</v>
      </c>
      <c r="V142" s="1">
        <v>19</v>
      </c>
      <c r="W142" s="1">
        <f t="shared" ref="W142:X142" si="1265">SUM(E142,H142,K142,N142,Q142,T142)</f>
        <v>1332</v>
      </c>
      <c r="X142" s="1">
        <f t="shared" si="1265"/>
        <v>1170</v>
      </c>
      <c r="Y142" s="1">
        <f t="shared" si="1"/>
        <v>2502</v>
      </c>
      <c r="Z142" s="1">
        <f t="shared" ref="Z142:AA142" si="1266">W142-T142</f>
        <v>1321</v>
      </c>
      <c r="AA142" s="1">
        <f t="shared" si="1266"/>
        <v>1162</v>
      </c>
      <c r="AB142" s="1">
        <f t="shared" si="3"/>
        <v>2483</v>
      </c>
      <c r="AC142" s="1">
        <f t="shared" ref="AC142:AD142" si="1267">SUM(E142,H142,K142,N142)</f>
        <v>1085</v>
      </c>
      <c r="AD142" s="1">
        <f t="shared" si="1267"/>
        <v>862</v>
      </c>
      <c r="AE142" s="1">
        <f t="shared" si="5"/>
        <v>1947</v>
      </c>
      <c r="AF142" s="2">
        <f t="shared" ref="AF142:AH142" si="1268">AC142/Z142</f>
        <v>0.82134746404239212</v>
      </c>
      <c r="AG142" s="2">
        <f t="shared" si="1268"/>
        <v>0.74182444061962138</v>
      </c>
      <c r="AH142" s="2">
        <f t="shared" si="1268"/>
        <v>0.78413209826822394</v>
      </c>
      <c r="AI142" s="1">
        <f t="shared" ref="AI142:AJ142" si="1269">SUM(E142,H142,K142)</f>
        <v>908</v>
      </c>
      <c r="AJ142" s="1">
        <f t="shared" si="1269"/>
        <v>695</v>
      </c>
      <c r="AK142" s="1">
        <f t="shared" si="8"/>
        <v>1603</v>
      </c>
      <c r="AL142" s="2">
        <f t="shared" ref="AL142:AN142" si="1270">AI142/Z142</f>
        <v>0.68735806207418626</v>
      </c>
      <c r="AM142" s="2">
        <f t="shared" si="1270"/>
        <v>0.59810671256454384</v>
      </c>
      <c r="AN142" s="2">
        <f t="shared" si="1270"/>
        <v>0.64559001208215872</v>
      </c>
      <c r="AO142" s="2">
        <f t="shared" ref="AO142:AQ142" si="1271">E142/Z142</f>
        <v>5.5261165783497351E-2</v>
      </c>
      <c r="AP142" s="2">
        <f t="shared" si="1271"/>
        <v>1.8072289156626505E-2</v>
      </c>
      <c r="AQ142" s="2">
        <f t="shared" si="1271"/>
        <v>3.7857430527587596E-2</v>
      </c>
      <c r="AR142" s="2">
        <f t="shared" si="11"/>
        <v>0.22710068130204392</v>
      </c>
      <c r="AS142" s="2">
        <f t="shared" ref="AS142:AT142" si="1272">R142/AA142</f>
        <v>0.25817555938037867</v>
      </c>
      <c r="AT142" s="2">
        <f t="shared" si="1272"/>
        <v>0.21586790173177609</v>
      </c>
      <c r="AU142" s="2">
        <f t="shared" ref="AU142:AW142" si="1273">T142/W142</f>
        <v>8.2582582582582578E-3</v>
      </c>
      <c r="AV142" s="2">
        <f t="shared" si="1165"/>
        <v>6.8376068376068376E-3</v>
      </c>
      <c r="AW142" s="2">
        <f t="shared" si="1165"/>
        <v>7.5939248601119107E-3</v>
      </c>
    </row>
    <row r="143" spans="1:49" ht="13" x14ac:dyDescent="0.15">
      <c r="A143" s="1">
        <v>2023</v>
      </c>
      <c r="B143" s="1" t="s">
        <v>74</v>
      </c>
      <c r="C143" s="1" t="s">
        <v>75</v>
      </c>
      <c r="D143" s="1" t="s">
        <v>198</v>
      </c>
      <c r="E143" s="1">
        <v>11</v>
      </c>
      <c r="F143" s="1">
        <v>0</v>
      </c>
      <c r="G143" s="1">
        <v>11</v>
      </c>
      <c r="H143" s="1">
        <v>247</v>
      </c>
      <c r="I143" s="1">
        <v>66</v>
      </c>
      <c r="J143" s="1">
        <v>313</v>
      </c>
      <c r="K143" s="1">
        <v>116</v>
      </c>
      <c r="L143" s="1">
        <v>77</v>
      </c>
      <c r="M143" s="1">
        <v>193</v>
      </c>
      <c r="N143" s="1">
        <v>60</v>
      </c>
      <c r="O143" s="1">
        <v>51</v>
      </c>
      <c r="P143" s="1">
        <v>111</v>
      </c>
      <c r="Q143" s="1">
        <v>17</v>
      </c>
      <c r="R143" s="1">
        <v>46</v>
      </c>
      <c r="S143" s="1">
        <v>63</v>
      </c>
      <c r="T143" s="1">
        <v>10</v>
      </c>
      <c r="U143" s="1">
        <v>3</v>
      </c>
      <c r="V143" s="1">
        <v>13</v>
      </c>
      <c r="W143" s="1">
        <f t="shared" ref="W143:X143" si="1274">SUM(E143,H143,K143,N143,Q143,T143)</f>
        <v>461</v>
      </c>
      <c r="X143" s="1">
        <f t="shared" si="1274"/>
        <v>243</v>
      </c>
      <c r="Y143" s="1">
        <f t="shared" si="1"/>
        <v>704</v>
      </c>
      <c r="Z143" s="1">
        <f t="shared" ref="Z143:AA143" si="1275">W143-T143</f>
        <v>451</v>
      </c>
      <c r="AA143" s="1">
        <f t="shared" si="1275"/>
        <v>240</v>
      </c>
      <c r="AB143" s="1">
        <f t="shared" si="3"/>
        <v>691</v>
      </c>
      <c r="AC143" s="1">
        <f t="shared" ref="AC143:AD143" si="1276">SUM(E143,H143,K143,N143)</f>
        <v>434</v>
      </c>
      <c r="AD143" s="1">
        <f t="shared" si="1276"/>
        <v>194</v>
      </c>
      <c r="AE143" s="1">
        <f t="shared" si="5"/>
        <v>628</v>
      </c>
      <c r="AF143" s="2">
        <f t="shared" ref="AF143:AH143" si="1277">AC143/Z143</f>
        <v>0.96230598669623058</v>
      </c>
      <c r="AG143" s="2">
        <f t="shared" si="1277"/>
        <v>0.80833333333333335</v>
      </c>
      <c r="AH143" s="2">
        <f t="shared" si="1277"/>
        <v>0.90882778581765555</v>
      </c>
      <c r="AI143" s="1">
        <f t="shared" ref="AI143:AJ143" si="1278">SUM(E143,H143,K143)</f>
        <v>374</v>
      </c>
      <c r="AJ143" s="1">
        <f t="shared" si="1278"/>
        <v>143</v>
      </c>
      <c r="AK143" s="1">
        <f t="shared" si="8"/>
        <v>517</v>
      </c>
      <c r="AL143" s="2">
        <f t="shared" ref="AL143:AN143" si="1279">AI143/Z143</f>
        <v>0.82926829268292679</v>
      </c>
      <c r="AM143" s="2">
        <f t="shared" si="1279"/>
        <v>0.59583333333333333</v>
      </c>
      <c r="AN143" s="2">
        <f t="shared" si="1279"/>
        <v>0.748191027496382</v>
      </c>
      <c r="AO143" s="2">
        <f t="shared" ref="AO143:AQ143" si="1280">E143/Z143</f>
        <v>2.4390243902439025E-2</v>
      </c>
      <c r="AP143" s="2">
        <f t="shared" si="1280"/>
        <v>0</v>
      </c>
      <c r="AQ143" s="2">
        <f t="shared" si="1280"/>
        <v>1.5918958031837915E-2</v>
      </c>
      <c r="AR143" s="2">
        <f t="shared" si="11"/>
        <v>0.10199556541019955</v>
      </c>
      <c r="AS143" s="2">
        <f t="shared" ref="AS143:AT143" si="1281">R143/AA143</f>
        <v>0.19166666666666668</v>
      </c>
      <c r="AT143" s="2">
        <f t="shared" si="1281"/>
        <v>9.1172214182344433E-2</v>
      </c>
      <c r="AU143" s="2">
        <f t="shared" ref="AU143:AW143" si="1282">T143/W143</f>
        <v>2.1691973969631236E-2</v>
      </c>
      <c r="AV143" s="2">
        <f t="shared" si="1165"/>
        <v>1.2345679012345678E-2</v>
      </c>
      <c r="AW143" s="2">
        <f t="shared" si="1165"/>
        <v>1.8465909090909092E-2</v>
      </c>
    </row>
    <row r="144" spans="1:49" ht="13" x14ac:dyDescent="0.15">
      <c r="A144" s="1">
        <v>2023</v>
      </c>
      <c r="B144" s="1" t="s">
        <v>49</v>
      </c>
      <c r="C144" s="1" t="s">
        <v>59</v>
      </c>
      <c r="D144" s="1" t="s">
        <v>83</v>
      </c>
      <c r="E144" s="1">
        <v>43</v>
      </c>
      <c r="F144" s="1">
        <v>23</v>
      </c>
      <c r="G144" s="1">
        <v>66</v>
      </c>
      <c r="H144" s="1">
        <v>647</v>
      </c>
      <c r="I144" s="1">
        <v>505</v>
      </c>
      <c r="J144" s="1">
        <v>1152</v>
      </c>
      <c r="K144" s="1">
        <v>594</v>
      </c>
      <c r="L144" s="1">
        <v>624</v>
      </c>
      <c r="M144" s="1">
        <v>1218</v>
      </c>
      <c r="N144" s="1">
        <v>201</v>
      </c>
      <c r="O144" s="1">
        <v>226</v>
      </c>
      <c r="P144" s="1">
        <v>427</v>
      </c>
      <c r="Q144" s="1">
        <v>235</v>
      </c>
      <c r="R144" s="1">
        <v>327</v>
      </c>
      <c r="S144" s="1">
        <v>562</v>
      </c>
      <c r="T144" s="1">
        <v>15</v>
      </c>
      <c r="U144" s="1">
        <v>25</v>
      </c>
      <c r="V144" s="1">
        <v>40</v>
      </c>
      <c r="W144" s="1">
        <f t="shared" ref="W144:X144" si="1283">SUM(E144,H144,K144,N144,Q144,T144)</f>
        <v>1735</v>
      </c>
      <c r="X144" s="1">
        <f t="shared" si="1283"/>
        <v>1730</v>
      </c>
      <c r="Y144" s="1">
        <f t="shared" si="1"/>
        <v>3465</v>
      </c>
      <c r="Z144" s="1">
        <f t="shared" ref="Z144:AA144" si="1284">W144-T144</f>
        <v>1720</v>
      </c>
      <c r="AA144" s="1">
        <f t="shared" si="1284"/>
        <v>1705</v>
      </c>
      <c r="AB144" s="1">
        <f t="shared" si="3"/>
        <v>3425</v>
      </c>
      <c r="AC144" s="1">
        <f t="shared" ref="AC144:AD144" si="1285">SUM(E144,H144,K144,N144)</f>
        <v>1485</v>
      </c>
      <c r="AD144" s="1">
        <f t="shared" si="1285"/>
        <v>1378</v>
      </c>
      <c r="AE144" s="1">
        <f t="shared" si="5"/>
        <v>2863</v>
      </c>
      <c r="AF144" s="2">
        <f t="shared" ref="AF144:AH144" si="1286">AC144/Z144</f>
        <v>0.86337209302325579</v>
      </c>
      <c r="AG144" s="2">
        <f t="shared" si="1286"/>
        <v>0.80821114369501468</v>
      </c>
      <c r="AH144" s="2">
        <f t="shared" si="1286"/>
        <v>0.83591240875912409</v>
      </c>
      <c r="AI144" s="1">
        <f t="shared" ref="AI144:AJ144" si="1287">SUM(E144,H144,K144)</f>
        <v>1284</v>
      </c>
      <c r="AJ144" s="1">
        <f t="shared" si="1287"/>
        <v>1152</v>
      </c>
      <c r="AK144" s="1">
        <f t="shared" si="8"/>
        <v>2436</v>
      </c>
      <c r="AL144" s="2">
        <f t="shared" ref="AL144:AN144" si="1288">AI144/Z144</f>
        <v>0.74651162790697678</v>
      </c>
      <c r="AM144" s="2">
        <f t="shared" si="1288"/>
        <v>0.67565982404692082</v>
      </c>
      <c r="AN144" s="2">
        <f t="shared" si="1288"/>
        <v>0.71124087591240881</v>
      </c>
      <c r="AO144" s="2">
        <f t="shared" ref="AO144:AQ144" si="1289">E144/Z144</f>
        <v>2.5000000000000001E-2</v>
      </c>
      <c r="AP144" s="2">
        <f t="shared" si="1289"/>
        <v>1.3489736070381233E-2</v>
      </c>
      <c r="AQ144" s="2">
        <f t="shared" si="1289"/>
        <v>1.927007299270073E-2</v>
      </c>
      <c r="AR144" s="2">
        <f t="shared" si="11"/>
        <v>0.19011627906976744</v>
      </c>
      <c r="AS144" s="2">
        <f t="shared" ref="AS144:AT144" si="1290">R144/AA144</f>
        <v>0.19178885630498535</v>
      </c>
      <c r="AT144" s="2">
        <f t="shared" si="1290"/>
        <v>0.16408759124087591</v>
      </c>
      <c r="AU144" s="2">
        <f t="shared" ref="AU144:AW144" si="1291">T144/W144</f>
        <v>8.6455331412103754E-3</v>
      </c>
      <c r="AV144" s="2">
        <f t="shared" si="1165"/>
        <v>1.4450867052023121E-2</v>
      </c>
      <c r="AW144" s="2">
        <f t="shared" si="1165"/>
        <v>1.1544011544011544E-2</v>
      </c>
    </row>
    <row r="145" spans="1:49" ht="13" x14ac:dyDescent="0.15">
      <c r="A145" s="1">
        <v>2023</v>
      </c>
      <c r="B145" s="1" t="s">
        <v>49</v>
      </c>
      <c r="C145" s="1" t="s">
        <v>78</v>
      </c>
      <c r="D145" s="1" t="s">
        <v>84</v>
      </c>
      <c r="E145" s="1">
        <v>61</v>
      </c>
      <c r="F145" s="1">
        <v>22</v>
      </c>
      <c r="G145" s="1">
        <v>83</v>
      </c>
      <c r="H145" s="1">
        <v>710</v>
      </c>
      <c r="I145" s="1">
        <v>359</v>
      </c>
      <c r="J145" s="1">
        <v>1069</v>
      </c>
      <c r="K145" s="1">
        <v>518</v>
      </c>
      <c r="L145" s="1">
        <v>507</v>
      </c>
      <c r="M145" s="1">
        <v>1025</v>
      </c>
      <c r="N145" s="1">
        <v>317</v>
      </c>
      <c r="O145" s="1">
        <v>201</v>
      </c>
      <c r="P145" s="1">
        <v>518</v>
      </c>
      <c r="Q145" s="1">
        <v>290</v>
      </c>
      <c r="R145" s="1">
        <v>404</v>
      </c>
      <c r="S145" s="1">
        <v>694</v>
      </c>
      <c r="T145" s="1">
        <v>38</v>
      </c>
      <c r="U145" s="1">
        <v>35</v>
      </c>
      <c r="V145" s="1">
        <v>73</v>
      </c>
      <c r="W145" s="1">
        <f t="shared" ref="W145:X145" si="1292">SUM(E145,H145,K145,N145,Q145,T145)</f>
        <v>1934</v>
      </c>
      <c r="X145" s="1">
        <f t="shared" si="1292"/>
        <v>1528</v>
      </c>
      <c r="Y145" s="1">
        <f t="shared" si="1"/>
        <v>3462</v>
      </c>
      <c r="Z145" s="1">
        <f t="shared" ref="Z145:AA145" si="1293">W145-T145</f>
        <v>1896</v>
      </c>
      <c r="AA145" s="1">
        <f t="shared" si="1293"/>
        <v>1493</v>
      </c>
      <c r="AB145" s="1">
        <f t="shared" si="3"/>
        <v>3389</v>
      </c>
      <c r="AC145" s="1">
        <f t="shared" ref="AC145:AD145" si="1294">SUM(E145,H145,K145,N145)</f>
        <v>1606</v>
      </c>
      <c r="AD145" s="1">
        <f t="shared" si="1294"/>
        <v>1089</v>
      </c>
      <c r="AE145" s="1">
        <f t="shared" si="5"/>
        <v>2695</v>
      </c>
      <c r="AF145" s="2">
        <f t="shared" ref="AF145:AH145" si="1295">AC145/Z145</f>
        <v>0.84704641350210974</v>
      </c>
      <c r="AG145" s="2">
        <f t="shared" si="1295"/>
        <v>0.72940388479571328</v>
      </c>
      <c r="AH145" s="2">
        <f t="shared" si="1295"/>
        <v>0.79521982885807019</v>
      </c>
      <c r="AI145" s="1">
        <f t="shared" ref="AI145:AJ145" si="1296">SUM(E145,H145,K145)</f>
        <v>1289</v>
      </c>
      <c r="AJ145" s="1">
        <f t="shared" si="1296"/>
        <v>888</v>
      </c>
      <c r="AK145" s="1">
        <f t="shared" si="8"/>
        <v>2177</v>
      </c>
      <c r="AL145" s="2">
        <f t="shared" ref="AL145:AN145" si="1297">AI145/Z145</f>
        <v>0.67985232067510548</v>
      </c>
      <c r="AM145" s="2">
        <f t="shared" si="1297"/>
        <v>0.59477561955793701</v>
      </c>
      <c r="AN145" s="2">
        <f t="shared" si="1297"/>
        <v>0.64237238123340223</v>
      </c>
      <c r="AO145" s="2">
        <f t="shared" ref="AO145:AQ145" si="1298">E145/Z145</f>
        <v>3.217299578059072E-2</v>
      </c>
      <c r="AP145" s="2">
        <f t="shared" si="1298"/>
        <v>1.4735432016075016E-2</v>
      </c>
      <c r="AQ145" s="2">
        <f t="shared" si="1298"/>
        <v>2.4491000295072292E-2</v>
      </c>
      <c r="AR145" s="2">
        <f t="shared" si="11"/>
        <v>0.21308016877637131</v>
      </c>
      <c r="AS145" s="2">
        <f t="shared" ref="AS145:AT145" si="1299">R145/AA145</f>
        <v>0.27059611520428667</v>
      </c>
      <c r="AT145" s="2">
        <f t="shared" si="1299"/>
        <v>0.20478017114192978</v>
      </c>
      <c r="AU145" s="2">
        <f t="shared" ref="AU145:AW145" si="1300">T145/W145</f>
        <v>1.9648397104446741E-2</v>
      </c>
      <c r="AV145" s="2">
        <f t="shared" si="1165"/>
        <v>2.2905759162303665E-2</v>
      </c>
      <c r="AW145" s="2">
        <f t="shared" si="1165"/>
        <v>2.1086077411900637E-2</v>
      </c>
    </row>
    <row r="146" spans="1:49" ht="13" x14ac:dyDescent="0.15">
      <c r="A146" s="1">
        <v>2023</v>
      </c>
      <c r="B146" s="1" t="s">
        <v>49</v>
      </c>
      <c r="C146" s="1" t="s">
        <v>80</v>
      </c>
      <c r="D146" s="1" t="s">
        <v>85</v>
      </c>
      <c r="E146" s="1">
        <v>62</v>
      </c>
      <c r="F146" s="1">
        <v>38</v>
      </c>
      <c r="G146" s="1">
        <v>100</v>
      </c>
      <c r="H146" s="1">
        <v>600</v>
      </c>
      <c r="I146" s="1">
        <v>485</v>
      </c>
      <c r="J146" s="1">
        <v>1085</v>
      </c>
      <c r="K146" s="1">
        <v>286</v>
      </c>
      <c r="L146" s="1">
        <v>384</v>
      </c>
      <c r="M146" s="1">
        <v>670</v>
      </c>
      <c r="N146" s="1">
        <v>148</v>
      </c>
      <c r="O146" s="1">
        <v>149</v>
      </c>
      <c r="P146" s="1">
        <v>297</v>
      </c>
      <c r="Q146" s="1">
        <v>186</v>
      </c>
      <c r="R146" s="1">
        <v>229</v>
      </c>
      <c r="S146" s="1">
        <v>415</v>
      </c>
      <c r="T146" s="1">
        <v>17</v>
      </c>
      <c r="U146" s="1">
        <v>13</v>
      </c>
      <c r="V146" s="1">
        <v>30</v>
      </c>
      <c r="W146" s="1">
        <f t="shared" ref="W146:X146" si="1301">SUM(E146,H146,K146,N146,Q146,T146)</f>
        <v>1299</v>
      </c>
      <c r="X146" s="1">
        <f t="shared" si="1301"/>
        <v>1298</v>
      </c>
      <c r="Y146" s="1">
        <f t="shared" si="1"/>
        <v>2597</v>
      </c>
      <c r="Z146" s="1">
        <f t="shared" ref="Z146:AA146" si="1302">W146-T146</f>
        <v>1282</v>
      </c>
      <c r="AA146" s="1">
        <f t="shared" si="1302"/>
        <v>1285</v>
      </c>
      <c r="AB146" s="1">
        <f t="shared" si="3"/>
        <v>2567</v>
      </c>
      <c r="AC146" s="1">
        <f t="shared" ref="AC146:AD146" si="1303">SUM(E146,H146,K146,N146)</f>
        <v>1096</v>
      </c>
      <c r="AD146" s="1">
        <f t="shared" si="1303"/>
        <v>1056</v>
      </c>
      <c r="AE146" s="1">
        <f t="shared" si="5"/>
        <v>2152</v>
      </c>
      <c r="AF146" s="2">
        <f t="shared" ref="AF146:AH146" si="1304">AC146/Z146</f>
        <v>0.85491419656786272</v>
      </c>
      <c r="AG146" s="2">
        <f t="shared" si="1304"/>
        <v>0.82178988326848246</v>
      </c>
      <c r="AH146" s="2">
        <f t="shared" si="1304"/>
        <v>0.83833268406700423</v>
      </c>
      <c r="AI146" s="1">
        <f t="shared" ref="AI146:AJ146" si="1305">SUM(E146,H146,K146)</f>
        <v>948</v>
      </c>
      <c r="AJ146" s="1">
        <f t="shared" si="1305"/>
        <v>907</v>
      </c>
      <c r="AK146" s="1">
        <f t="shared" si="8"/>
        <v>1855</v>
      </c>
      <c r="AL146" s="2">
        <f t="shared" ref="AL146:AN146" si="1306">AI146/Z146</f>
        <v>0.73946957878315134</v>
      </c>
      <c r="AM146" s="2">
        <f t="shared" si="1306"/>
        <v>0.70583657587548643</v>
      </c>
      <c r="AN146" s="2">
        <f t="shared" si="1306"/>
        <v>0.72263342423061938</v>
      </c>
      <c r="AO146" s="2">
        <f t="shared" ref="AO146:AQ146" si="1307">E146/Z146</f>
        <v>4.8361934477379097E-2</v>
      </c>
      <c r="AP146" s="2">
        <f t="shared" si="1307"/>
        <v>2.9571984435797664E-2</v>
      </c>
      <c r="AQ146" s="2">
        <f t="shared" si="1307"/>
        <v>3.8955979742890535E-2</v>
      </c>
      <c r="AR146" s="2">
        <f t="shared" si="11"/>
        <v>0.17862714508580343</v>
      </c>
      <c r="AS146" s="2">
        <f t="shared" ref="AS146:AT146" si="1308">R146/AA146</f>
        <v>0.17821011673151751</v>
      </c>
      <c r="AT146" s="2">
        <f t="shared" si="1308"/>
        <v>0.16166731593299571</v>
      </c>
      <c r="AU146" s="2">
        <f t="shared" ref="AU146:AW161" si="1309">T146/W146</f>
        <v>1.3086989992301771E-2</v>
      </c>
      <c r="AV146" s="2">
        <f t="shared" si="1309"/>
        <v>1.0015408320493066E-2</v>
      </c>
      <c r="AW146" s="2">
        <f t="shared" si="1309"/>
        <v>1.1551790527531768E-2</v>
      </c>
    </row>
    <row r="147" spans="1:49" ht="13" x14ac:dyDescent="0.15">
      <c r="A147" s="1">
        <v>2023</v>
      </c>
      <c r="B147" s="1" t="s">
        <v>49</v>
      </c>
      <c r="C147" s="1" t="s">
        <v>67</v>
      </c>
      <c r="D147" s="1" t="s">
        <v>86</v>
      </c>
      <c r="E147" s="1">
        <v>323</v>
      </c>
      <c r="F147" s="1">
        <v>196</v>
      </c>
      <c r="G147" s="1">
        <v>519</v>
      </c>
      <c r="H147" s="1">
        <v>1935</v>
      </c>
      <c r="I147" s="1">
        <v>1527</v>
      </c>
      <c r="J147" s="1">
        <v>3462</v>
      </c>
      <c r="K147" s="1">
        <v>1169</v>
      </c>
      <c r="L147" s="1">
        <v>1289</v>
      </c>
      <c r="M147" s="1">
        <v>2458</v>
      </c>
      <c r="N147" s="1">
        <v>573</v>
      </c>
      <c r="O147" s="1">
        <v>610</v>
      </c>
      <c r="P147" s="1">
        <v>1183</v>
      </c>
      <c r="Q147" s="1">
        <v>603</v>
      </c>
      <c r="R147" s="1">
        <v>792</v>
      </c>
      <c r="S147" s="1">
        <v>1395</v>
      </c>
      <c r="T147" s="1">
        <v>112</v>
      </c>
      <c r="U147" s="1">
        <v>93</v>
      </c>
      <c r="V147" s="1">
        <v>205</v>
      </c>
      <c r="W147" s="1">
        <f t="shared" ref="W147:X147" si="1310">SUM(E147,H147,K147,N147,Q147,T147)</f>
        <v>4715</v>
      </c>
      <c r="X147" s="1">
        <f t="shared" si="1310"/>
        <v>4507</v>
      </c>
      <c r="Y147" s="1">
        <f t="shared" si="1"/>
        <v>9222</v>
      </c>
      <c r="Z147" s="1">
        <f t="shared" ref="Z147:AA147" si="1311">W147-T147</f>
        <v>4603</v>
      </c>
      <c r="AA147" s="1">
        <f t="shared" si="1311"/>
        <v>4414</v>
      </c>
      <c r="AB147" s="1">
        <f t="shared" si="3"/>
        <v>9017</v>
      </c>
      <c r="AC147" s="1">
        <f t="shared" ref="AC147:AD147" si="1312">SUM(E147,H147,K147,N147)</f>
        <v>4000</v>
      </c>
      <c r="AD147" s="1">
        <f t="shared" si="1312"/>
        <v>3622</v>
      </c>
      <c r="AE147" s="1">
        <f t="shared" si="5"/>
        <v>7622</v>
      </c>
      <c r="AF147" s="2">
        <f t="shared" ref="AF147:AH147" si="1313">AC147/Z147</f>
        <v>0.86899847925266127</v>
      </c>
      <c r="AG147" s="2">
        <f t="shared" si="1313"/>
        <v>0.82057091073855914</v>
      </c>
      <c r="AH147" s="2">
        <f t="shared" si="1313"/>
        <v>0.84529222579571917</v>
      </c>
      <c r="AI147" s="1">
        <f t="shared" ref="AI147:AJ147" si="1314">SUM(E147,H147,K147)</f>
        <v>3427</v>
      </c>
      <c r="AJ147" s="1">
        <f t="shared" si="1314"/>
        <v>3012</v>
      </c>
      <c r="AK147" s="1">
        <f t="shared" si="8"/>
        <v>6439</v>
      </c>
      <c r="AL147" s="2">
        <f t="shared" ref="AL147:AN147" si="1315">AI147/Z147</f>
        <v>0.74451444709971759</v>
      </c>
      <c r="AM147" s="2">
        <f t="shared" si="1315"/>
        <v>0.68237426370638876</v>
      </c>
      <c r="AN147" s="2">
        <f t="shared" si="1315"/>
        <v>0.71409559720527893</v>
      </c>
      <c r="AO147" s="2">
        <f t="shared" ref="AO147:AQ147" si="1316">E147/Z147</f>
        <v>7.0171627199652406E-2</v>
      </c>
      <c r="AP147" s="2">
        <f t="shared" si="1316"/>
        <v>4.4404168554599006E-2</v>
      </c>
      <c r="AQ147" s="2">
        <f t="shared" si="1316"/>
        <v>5.75579461018077E-2</v>
      </c>
      <c r="AR147" s="2">
        <f t="shared" si="11"/>
        <v>0.17206169889202694</v>
      </c>
      <c r="AS147" s="2">
        <f t="shared" ref="AS147:AT147" si="1317">R147/AA147</f>
        <v>0.17942908926144088</v>
      </c>
      <c r="AT147" s="2">
        <f t="shared" si="1317"/>
        <v>0.15470777420428081</v>
      </c>
      <c r="AU147" s="2">
        <f t="shared" ref="AU147:AW147" si="1318">T147/W147</f>
        <v>2.3753976670201484E-2</v>
      </c>
      <c r="AV147" s="2">
        <f t="shared" si="1309"/>
        <v>2.063456844907921E-2</v>
      </c>
      <c r="AW147" s="2">
        <f t="shared" si="1309"/>
        <v>2.2229451312079811E-2</v>
      </c>
    </row>
    <row r="148" spans="1:49" ht="13" x14ac:dyDescent="0.15">
      <c r="A148" s="1">
        <v>2023</v>
      </c>
      <c r="B148" s="1" t="s">
        <v>49</v>
      </c>
      <c r="C148" s="1" t="s">
        <v>70</v>
      </c>
      <c r="D148" s="1" t="s">
        <v>87</v>
      </c>
      <c r="E148" s="1">
        <v>158</v>
      </c>
      <c r="F148" s="1">
        <v>84</v>
      </c>
      <c r="G148" s="1">
        <v>242</v>
      </c>
      <c r="H148" s="1">
        <v>778</v>
      </c>
      <c r="I148" s="1">
        <v>623</v>
      </c>
      <c r="J148" s="1">
        <v>1401</v>
      </c>
      <c r="K148" s="1">
        <v>724</v>
      </c>
      <c r="L148" s="1">
        <v>757</v>
      </c>
      <c r="M148" s="1">
        <v>1481</v>
      </c>
      <c r="N148" s="1">
        <v>362</v>
      </c>
      <c r="O148" s="1">
        <v>409</v>
      </c>
      <c r="P148" s="1">
        <v>771</v>
      </c>
      <c r="Q148" s="1">
        <v>647</v>
      </c>
      <c r="R148" s="1">
        <v>707</v>
      </c>
      <c r="S148" s="1">
        <v>1354</v>
      </c>
      <c r="T148" s="1">
        <v>24</v>
      </c>
      <c r="U148" s="1">
        <v>25</v>
      </c>
      <c r="V148" s="1">
        <v>49</v>
      </c>
      <c r="W148" s="1">
        <f t="shared" ref="W148:X148" si="1319">SUM(E148,H148,K148,N148,Q148,T148)</f>
        <v>2693</v>
      </c>
      <c r="X148" s="1">
        <f t="shared" si="1319"/>
        <v>2605</v>
      </c>
      <c r="Y148" s="1">
        <f t="shared" si="1"/>
        <v>5298</v>
      </c>
      <c r="Z148" s="1">
        <f t="shared" ref="Z148:AA148" si="1320">W148-T148</f>
        <v>2669</v>
      </c>
      <c r="AA148" s="1">
        <f t="shared" si="1320"/>
        <v>2580</v>
      </c>
      <c r="AB148" s="1">
        <f t="shared" si="3"/>
        <v>5249</v>
      </c>
      <c r="AC148" s="1">
        <f t="shared" ref="AC148:AD148" si="1321">SUM(E148,H148,K148,N148)</f>
        <v>2022</v>
      </c>
      <c r="AD148" s="1">
        <f t="shared" si="1321"/>
        <v>1873</v>
      </c>
      <c r="AE148" s="1">
        <f t="shared" si="5"/>
        <v>3895</v>
      </c>
      <c r="AF148" s="2">
        <f t="shared" ref="AF148:AH148" si="1322">AC148/Z148</f>
        <v>0.75758711127763212</v>
      </c>
      <c r="AG148" s="2">
        <f t="shared" si="1322"/>
        <v>0.725968992248062</v>
      </c>
      <c r="AH148" s="2">
        <f t="shared" si="1322"/>
        <v>0.7420461040198133</v>
      </c>
      <c r="AI148" s="1">
        <f t="shared" ref="AI148:AJ148" si="1323">SUM(E148,H148,K148)</f>
        <v>1660</v>
      </c>
      <c r="AJ148" s="1">
        <f t="shared" si="1323"/>
        <v>1464</v>
      </c>
      <c r="AK148" s="1">
        <f t="shared" si="8"/>
        <v>3124</v>
      </c>
      <c r="AL148" s="2">
        <f t="shared" ref="AL148:AN148" si="1324">AI148/Z148</f>
        <v>0.62195578868490076</v>
      </c>
      <c r="AM148" s="2">
        <f t="shared" si="1324"/>
        <v>0.56744186046511624</v>
      </c>
      <c r="AN148" s="2">
        <f t="shared" si="1324"/>
        <v>0.59516098304438936</v>
      </c>
      <c r="AO148" s="2">
        <f t="shared" ref="AO148:AQ148" si="1325">E148/Z148</f>
        <v>5.9198201573623078E-2</v>
      </c>
      <c r="AP148" s="2">
        <f t="shared" si="1325"/>
        <v>3.255813953488372E-2</v>
      </c>
      <c r="AQ148" s="2">
        <f t="shared" si="1325"/>
        <v>4.6104019813297772E-2</v>
      </c>
      <c r="AR148" s="2">
        <f t="shared" si="11"/>
        <v>0.26489321843387037</v>
      </c>
      <c r="AS148" s="2">
        <f t="shared" ref="AS148:AT148" si="1326">R148/AA148</f>
        <v>0.274031007751938</v>
      </c>
      <c r="AT148" s="2">
        <f t="shared" si="1326"/>
        <v>0.2579538959801867</v>
      </c>
      <c r="AU148" s="2">
        <f t="shared" ref="AU148:AW148" si="1327">T148/W148</f>
        <v>8.9119940586706269E-3</v>
      </c>
      <c r="AV148" s="2">
        <f t="shared" si="1309"/>
        <v>9.5969289827255271E-3</v>
      </c>
      <c r="AW148" s="2">
        <f t="shared" si="1309"/>
        <v>9.2487731219328042E-3</v>
      </c>
    </row>
    <row r="149" spans="1:49" ht="13" x14ac:dyDescent="0.15">
      <c r="A149" s="1">
        <v>2023</v>
      </c>
      <c r="B149" s="1" t="s">
        <v>49</v>
      </c>
      <c r="C149" s="1" t="s">
        <v>62</v>
      </c>
      <c r="D149" s="1" t="s">
        <v>88</v>
      </c>
      <c r="E149" s="1">
        <v>61</v>
      </c>
      <c r="F149" s="1">
        <v>40</v>
      </c>
      <c r="G149" s="1">
        <v>101</v>
      </c>
      <c r="H149" s="1">
        <v>511</v>
      </c>
      <c r="I149" s="1">
        <v>656</v>
      </c>
      <c r="J149" s="1">
        <v>1167</v>
      </c>
      <c r="K149" s="1">
        <v>276</v>
      </c>
      <c r="L149" s="1">
        <v>425</v>
      </c>
      <c r="M149" s="1">
        <v>701</v>
      </c>
      <c r="N149" s="1">
        <v>149</v>
      </c>
      <c r="O149" s="1">
        <v>256</v>
      </c>
      <c r="P149" s="1">
        <v>405</v>
      </c>
      <c r="Q149" s="1">
        <v>216</v>
      </c>
      <c r="R149" s="1">
        <v>323</v>
      </c>
      <c r="S149" s="1">
        <v>539</v>
      </c>
      <c r="T149" s="1">
        <v>9</v>
      </c>
      <c r="U149" s="1">
        <v>41</v>
      </c>
      <c r="V149" s="1">
        <v>50</v>
      </c>
      <c r="W149" s="1">
        <f t="shared" ref="W149:X149" si="1328">SUM(E149,H149,K149,N149,Q149,T149)</f>
        <v>1222</v>
      </c>
      <c r="X149" s="1">
        <f t="shared" si="1328"/>
        <v>1741</v>
      </c>
      <c r="Y149" s="1">
        <f t="shared" si="1"/>
        <v>2963</v>
      </c>
      <c r="Z149" s="1">
        <f t="shared" ref="Z149:AA149" si="1329">W149-T149</f>
        <v>1213</v>
      </c>
      <c r="AA149" s="1">
        <f t="shared" si="1329"/>
        <v>1700</v>
      </c>
      <c r="AB149" s="1">
        <f t="shared" si="3"/>
        <v>2913</v>
      </c>
      <c r="AC149" s="1">
        <f t="shared" ref="AC149:AD149" si="1330">SUM(E149,H149,K149,N149)</f>
        <v>997</v>
      </c>
      <c r="AD149" s="1">
        <f t="shared" si="1330"/>
        <v>1377</v>
      </c>
      <c r="AE149" s="1">
        <f t="shared" si="5"/>
        <v>2374</v>
      </c>
      <c r="AF149" s="2">
        <f t="shared" ref="AF149:AH149" si="1331">AC149/Z149</f>
        <v>0.8219291014014839</v>
      </c>
      <c r="AG149" s="2">
        <f t="shared" si="1331"/>
        <v>0.81</v>
      </c>
      <c r="AH149" s="2">
        <f t="shared" si="1331"/>
        <v>0.81496738757294884</v>
      </c>
      <c r="AI149" s="1">
        <f t="shared" ref="AI149:AJ149" si="1332">SUM(E149,H149,K149)</f>
        <v>848</v>
      </c>
      <c r="AJ149" s="1">
        <f t="shared" si="1332"/>
        <v>1121</v>
      </c>
      <c r="AK149" s="1">
        <f t="shared" si="8"/>
        <v>1969</v>
      </c>
      <c r="AL149" s="2">
        <f t="shared" ref="AL149:AN149" si="1333">AI149/Z149</f>
        <v>0.69909315746084089</v>
      </c>
      <c r="AM149" s="2">
        <f t="shared" si="1333"/>
        <v>0.65941176470588236</v>
      </c>
      <c r="AN149" s="2">
        <f t="shared" si="1333"/>
        <v>0.67593546172330932</v>
      </c>
      <c r="AO149" s="2">
        <f t="shared" ref="AO149:AQ149" si="1334">E149/Z149</f>
        <v>5.0288540807914263E-2</v>
      </c>
      <c r="AP149" s="2">
        <f t="shared" si="1334"/>
        <v>2.3529411764705882E-2</v>
      </c>
      <c r="AQ149" s="2">
        <f t="shared" si="1334"/>
        <v>3.4672159285959493E-2</v>
      </c>
      <c r="AR149" s="2">
        <f t="shared" si="11"/>
        <v>0.26628194558944768</v>
      </c>
      <c r="AS149" s="2">
        <f t="shared" ref="AS149:AT149" si="1335">R149/AA149</f>
        <v>0.19</v>
      </c>
      <c r="AT149" s="2">
        <f t="shared" si="1335"/>
        <v>0.18503261242705116</v>
      </c>
      <c r="AU149" s="2">
        <f t="shared" ref="AU149:AW149" si="1336">T149/W149</f>
        <v>7.3649754500818331E-3</v>
      </c>
      <c r="AV149" s="2">
        <f t="shared" si="1309"/>
        <v>2.3549684089603676E-2</v>
      </c>
      <c r="AW149" s="2">
        <f t="shared" si="1309"/>
        <v>1.6874789065136685E-2</v>
      </c>
    </row>
    <row r="150" spans="1:49" ht="13" x14ac:dyDescent="0.15">
      <c r="A150" s="1">
        <v>2023</v>
      </c>
      <c r="B150" s="1" t="s">
        <v>49</v>
      </c>
      <c r="C150" s="1" t="s">
        <v>89</v>
      </c>
      <c r="D150" s="1" t="s">
        <v>90</v>
      </c>
      <c r="E150" s="1">
        <v>155</v>
      </c>
      <c r="F150" s="1">
        <v>92</v>
      </c>
      <c r="G150" s="1">
        <v>247</v>
      </c>
      <c r="H150" s="1">
        <v>1356</v>
      </c>
      <c r="I150" s="1">
        <v>1264</v>
      </c>
      <c r="J150" s="1">
        <v>2620</v>
      </c>
      <c r="K150" s="1">
        <v>782</v>
      </c>
      <c r="L150" s="1">
        <v>1023</v>
      </c>
      <c r="M150" s="1">
        <v>1805</v>
      </c>
      <c r="N150" s="1">
        <v>373</v>
      </c>
      <c r="O150" s="1">
        <v>450</v>
      </c>
      <c r="P150" s="1">
        <v>823</v>
      </c>
      <c r="Q150" s="1">
        <v>499</v>
      </c>
      <c r="R150" s="1">
        <v>715</v>
      </c>
      <c r="S150" s="1">
        <v>1214</v>
      </c>
      <c r="T150" s="1">
        <v>20</v>
      </c>
      <c r="U150" s="1">
        <v>46</v>
      </c>
      <c r="V150" s="1">
        <v>66</v>
      </c>
      <c r="W150" s="1">
        <f t="shared" ref="W150:X150" si="1337">SUM(E150,H150,K150,N150,Q150,T150)</f>
        <v>3185</v>
      </c>
      <c r="X150" s="1">
        <f t="shared" si="1337"/>
        <v>3590</v>
      </c>
      <c r="Y150" s="1">
        <f t="shared" si="1"/>
        <v>6775</v>
      </c>
      <c r="Z150" s="1">
        <f t="shared" ref="Z150:AA150" si="1338">W150-T150</f>
        <v>3165</v>
      </c>
      <c r="AA150" s="1">
        <f t="shared" si="1338"/>
        <v>3544</v>
      </c>
      <c r="AB150" s="1">
        <f t="shared" si="3"/>
        <v>6709</v>
      </c>
      <c r="AC150" s="1">
        <f t="shared" ref="AC150:AD150" si="1339">SUM(E150,H150,K150,N150)</f>
        <v>2666</v>
      </c>
      <c r="AD150" s="1">
        <f t="shared" si="1339"/>
        <v>2829</v>
      </c>
      <c r="AE150" s="1">
        <f t="shared" si="5"/>
        <v>5495</v>
      </c>
      <c r="AF150" s="2">
        <f t="shared" ref="AF150:AH150" si="1340">AC150/Z150</f>
        <v>0.84233807266982619</v>
      </c>
      <c r="AG150" s="2">
        <f t="shared" si="1340"/>
        <v>0.79825056433408581</v>
      </c>
      <c r="AH150" s="2">
        <f t="shared" si="1340"/>
        <v>0.81904903860485911</v>
      </c>
      <c r="AI150" s="1">
        <f t="shared" ref="AI150:AJ150" si="1341">SUM(E150,H150,K150)</f>
        <v>2293</v>
      </c>
      <c r="AJ150" s="1">
        <f t="shared" si="1341"/>
        <v>2379</v>
      </c>
      <c r="AK150" s="1">
        <f t="shared" si="8"/>
        <v>4672</v>
      </c>
      <c r="AL150" s="2">
        <f t="shared" ref="AL150:AN150" si="1342">AI150/Z150</f>
        <v>0.72448657187993681</v>
      </c>
      <c r="AM150" s="2">
        <f t="shared" si="1342"/>
        <v>0.67127539503386002</v>
      </c>
      <c r="AN150" s="2">
        <f t="shared" si="1342"/>
        <v>0.69637799970189296</v>
      </c>
      <c r="AO150" s="2">
        <f t="shared" ref="AO150:AQ150" si="1343">E150/Z150</f>
        <v>4.8973143759873619E-2</v>
      </c>
      <c r="AP150" s="2">
        <f t="shared" si="1343"/>
        <v>2.5959367945823927E-2</v>
      </c>
      <c r="AQ150" s="2">
        <f t="shared" si="1343"/>
        <v>3.6816217021910867E-2</v>
      </c>
      <c r="AR150" s="2">
        <f t="shared" si="11"/>
        <v>0.2259083728278041</v>
      </c>
      <c r="AS150" s="2">
        <f t="shared" ref="AS150:AT150" si="1344">R150/AA150</f>
        <v>0.20174943566591422</v>
      </c>
      <c r="AT150" s="2">
        <f t="shared" si="1344"/>
        <v>0.18095096139514086</v>
      </c>
      <c r="AU150" s="2">
        <f t="shared" ref="AU150:AW150" si="1345">T150/W150</f>
        <v>6.2794348508634227E-3</v>
      </c>
      <c r="AV150" s="2">
        <f t="shared" si="1309"/>
        <v>1.2813370473537604E-2</v>
      </c>
      <c r="AW150" s="2">
        <f t="shared" si="1309"/>
        <v>9.7416974169741693E-3</v>
      </c>
    </row>
    <row r="151" spans="1:49" ht="13" x14ac:dyDescent="0.15">
      <c r="A151" s="1">
        <v>2023</v>
      </c>
      <c r="B151" s="1" t="s">
        <v>49</v>
      </c>
      <c r="C151" s="1" t="s">
        <v>89</v>
      </c>
      <c r="D151" s="1" t="s">
        <v>91</v>
      </c>
      <c r="E151" s="1">
        <v>64</v>
      </c>
      <c r="F151" s="1">
        <v>62</v>
      </c>
      <c r="G151" s="1">
        <v>126</v>
      </c>
      <c r="H151" s="1">
        <v>711</v>
      </c>
      <c r="I151" s="1">
        <v>776</v>
      </c>
      <c r="J151" s="1">
        <v>1487</v>
      </c>
      <c r="K151" s="1">
        <v>431</v>
      </c>
      <c r="L151" s="1">
        <v>584</v>
      </c>
      <c r="M151" s="1">
        <v>1015</v>
      </c>
      <c r="N151" s="1">
        <v>227</v>
      </c>
      <c r="O151" s="1">
        <v>236</v>
      </c>
      <c r="P151" s="1">
        <v>463</v>
      </c>
      <c r="Q151" s="1">
        <v>232</v>
      </c>
      <c r="R151" s="1">
        <v>338</v>
      </c>
      <c r="S151" s="1">
        <v>570</v>
      </c>
      <c r="T151" s="1">
        <v>27</v>
      </c>
      <c r="U151" s="1">
        <v>42</v>
      </c>
      <c r="V151" s="1">
        <v>69</v>
      </c>
      <c r="W151" s="1">
        <f t="shared" ref="W151:X151" si="1346">SUM(E151,H151,K151,N151,Q151,T151)</f>
        <v>1692</v>
      </c>
      <c r="X151" s="1">
        <f t="shared" si="1346"/>
        <v>2038</v>
      </c>
      <c r="Y151" s="1">
        <f t="shared" si="1"/>
        <v>3730</v>
      </c>
      <c r="Z151" s="1">
        <f t="shared" ref="Z151:AA151" si="1347">W151-T151</f>
        <v>1665</v>
      </c>
      <c r="AA151" s="1">
        <f t="shared" si="1347"/>
        <v>1996</v>
      </c>
      <c r="AB151" s="1">
        <f t="shared" si="3"/>
        <v>3661</v>
      </c>
      <c r="AC151" s="1">
        <f t="shared" ref="AC151:AD151" si="1348">SUM(E151,H151,K151,N151)</f>
        <v>1433</v>
      </c>
      <c r="AD151" s="1">
        <f t="shared" si="1348"/>
        <v>1658</v>
      </c>
      <c r="AE151" s="1">
        <f t="shared" si="5"/>
        <v>3091</v>
      </c>
      <c r="AF151" s="2">
        <f t="shared" ref="AF151:AH151" si="1349">AC151/Z151</f>
        <v>0.86066066066066071</v>
      </c>
      <c r="AG151" s="2">
        <f t="shared" si="1349"/>
        <v>0.83066132264529058</v>
      </c>
      <c r="AH151" s="2">
        <f t="shared" si="1349"/>
        <v>0.84430483474460527</v>
      </c>
      <c r="AI151" s="1">
        <f t="shared" ref="AI151:AJ151" si="1350">SUM(E151,H151,K151)</f>
        <v>1206</v>
      </c>
      <c r="AJ151" s="1">
        <f t="shared" si="1350"/>
        <v>1422</v>
      </c>
      <c r="AK151" s="1">
        <f t="shared" si="8"/>
        <v>2628</v>
      </c>
      <c r="AL151" s="2">
        <f t="shared" ref="AL151:AN151" si="1351">AI151/Z151</f>
        <v>0.72432432432432436</v>
      </c>
      <c r="AM151" s="2">
        <f t="shared" si="1351"/>
        <v>0.71242484969939879</v>
      </c>
      <c r="AN151" s="2">
        <f t="shared" si="1351"/>
        <v>0.71783665665118823</v>
      </c>
      <c r="AO151" s="2">
        <f t="shared" ref="AO151:AQ151" si="1352">E151/Z151</f>
        <v>3.8438438438438437E-2</v>
      </c>
      <c r="AP151" s="2">
        <f t="shared" si="1352"/>
        <v>3.1062124248496994E-2</v>
      </c>
      <c r="AQ151" s="2">
        <f t="shared" si="1352"/>
        <v>3.4416826003824091E-2</v>
      </c>
      <c r="AR151" s="2">
        <f t="shared" si="11"/>
        <v>0.203003003003003</v>
      </c>
      <c r="AS151" s="2">
        <f t="shared" ref="AS151:AT151" si="1353">R151/AA151</f>
        <v>0.16933867735470942</v>
      </c>
      <c r="AT151" s="2">
        <f t="shared" si="1353"/>
        <v>0.1556951652553947</v>
      </c>
      <c r="AU151" s="2">
        <f t="shared" ref="AU151:AW151" si="1354">T151/W151</f>
        <v>1.5957446808510637E-2</v>
      </c>
      <c r="AV151" s="2">
        <f t="shared" si="1309"/>
        <v>2.0608439646712464E-2</v>
      </c>
      <c r="AW151" s="2">
        <f t="shared" si="1309"/>
        <v>1.8498659517426273E-2</v>
      </c>
    </row>
    <row r="152" spans="1:49" ht="13" x14ac:dyDescent="0.15">
      <c r="A152" s="1">
        <v>2023</v>
      </c>
      <c r="B152" s="1" t="s">
        <v>49</v>
      </c>
      <c r="C152" s="1" t="s">
        <v>54</v>
      </c>
      <c r="D152" s="1" t="s">
        <v>92</v>
      </c>
      <c r="E152" s="1">
        <v>161</v>
      </c>
      <c r="F152" s="1">
        <v>107</v>
      </c>
      <c r="G152" s="1">
        <v>268</v>
      </c>
      <c r="H152" s="1">
        <v>548</v>
      </c>
      <c r="I152" s="1">
        <v>644</v>
      </c>
      <c r="J152" s="1">
        <v>1192</v>
      </c>
      <c r="K152" s="1">
        <v>104</v>
      </c>
      <c r="L152" s="1">
        <v>192</v>
      </c>
      <c r="M152" s="1">
        <v>296</v>
      </c>
      <c r="N152" s="1">
        <v>39</v>
      </c>
      <c r="O152" s="1">
        <v>70</v>
      </c>
      <c r="P152" s="1">
        <v>109</v>
      </c>
      <c r="Q152" s="1">
        <v>29</v>
      </c>
      <c r="R152" s="1">
        <v>47</v>
      </c>
      <c r="S152" s="1">
        <v>76</v>
      </c>
      <c r="T152" s="1">
        <v>12</v>
      </c>
      <c r="U152" s="1">
        <v>20</v>
      </c>
      <c r="V152" s="1">
        <v>32</v>
      </c>
      <c r="W152" s="1">
        <f t="shared" ref="W152:X152" si="1355">SUM(E152,H152,K152,N152,Q152,T152)</f>
        <v>893</v>
      </c>
      <c r="X152" s="1">
        <f t="shared" si="1355"/>
        <v>1080</v>
      </c>
      <c r="Y152" s="1">
        <f t="shared" si="1"/>
        <v>1973</v>
      </c>
      <c r="Z152" s="1">
        <f t="shared" ref="Z152:AA152" si="1356">W152-T152</f>
        <v>881</v>
      </c>
      <c r="AA152" s="1">
        <f t="shared" si="1356"/>
        <v>1060</v>
      </c>
      <c r="AB152" s="1">
        <f t="shared" si="3"/>
        <v>1941</v>
      </c>
      <c r="AC152" s="1">
        <f t="shared" ref="AC152:AD152" si="1357">SUM(E152,H152,K152,N152)</f>
        <v>852</v>
      </c>
      <c r="AD152" s="1">
        <f t="shared" si="1357"/>
        <v>1013</v>
      </c>
      <c r="AE152" s="1">
        <f t="shared" si="5"/>
        <v>1865</v>
      </c>
      <c r="AF152" s="2">
        <f t="shared" ref="AF152:AH152" si="1358">AC152/Z152</f>
        <v>0.96708286038592506</v>
      </c>
      <c r="AG152" s="2">
        <f t="shared" si="1358"/>
        <v>0.95566037735849052</v>
      </c>
      <c r="AH152" s="2">
        <f t="shared" si="1358"/>
        <v>0.96084492529623911</v>
      </c>
      <c r="AI152" s="1">
        <f t="shared" ref="AI152:AJ152" si="1359">SUM(E152,H152,K152)</f>
        <v>813</v>
      </c>
      <c r="AJ152" s="1">
        <f t="shared" si="1359"/>
        <v>943</v>
      </c>
      <c r="AK152" s="1">
        <f t="shared" si="8"/>
        <v>1756</v>
      </c>
      <c r="AL152" s="2">
        <f t="shared" ref="AL152:AN152" si="1360">AI152/Z152</f>
        <v>0.92281498297389331</v>
      </c>
      <c r="AM152" s="2">
        <f t="shared" si="1360"/>
        <v>0.88962264150943393</v>
      </c>
      <c r="AN152" s="2">
        <f t="shared" si="1360"/>
        <v>0.90468830499742403</v>
      </c>
      <c r="AO152" s="2">
        <f t="shared" ref="AO152:AQ152" si="1361">E152/Z152</f>
        <v>0.18274687854710556</v>
      </c>
      <c r="AP152" s="2">
        <f t="shared" si="1361"/>
        <v>0.1009433962264151</v>
      </c>
      <c r="AQ152" s="2">
        <f t="shared" si="1361"/>
        <v>0.13807315816589386</v>
      </c>
      <c r="AR152" s="2">
        <f t="shared" si="11"/>
        <v>5.3348467650397274E-2</v>
      </c>
      <c r="AS152" s="2">
        <f t="shared" ref="AS152:AT152" si="1362">R152/AA152</f>
        <v>4.4339622641509431E-2</v>
      </c>
      <c r="AT152" s="2">
        <f t="shared" si="1362"/>
        <v>3.915507470376095E-2</v>
      </c>
      <c r="AU152" s="2">
        <f t="shared" ref="AU152:AW152" si="1363">T152/W152</f>
        <v>1.3437849944008958E-2</v>
      </c>
      <c r="AV152" s="2">
        <f t="shared" si="1309"/>
        <v>1.8518518518518517E-2</v>
      </c>
      <c r="AW152" s="2">
        <f t="shared" si="1309"/>
        <v>1.6218955904713634E-2</v>
      </c>
    </row>
    <row r="153" spans="1:49" ht="13" x14ac:dyDescent="0.15">
      <c r="A153" s="1">
        <v>2023</v>
      </c>
      <c r="B153" s="1" t="s">
        <v>49</v>
      </c>
      <c r="C153" s="1" t="s">
        <v>93</v>
      </c>
      <c r="D153" s="1" t="s">
        <v>94</v>
      </c>
      <c r="E153" s="1">
        <v>677</v>
      </c>
      <c r="F153" s="1">
        <v>597</v>
      </c>
      <c r="G153" s="1">
        <v>1274</v>
      </c>
      <c r="H153" s="1">
        <v>2404</v>
      </c>
      <c r="I153" s="1">
        <v>2764</v>
      </c>
      <c r="J153" s="1">
        <v>5168</v>
      </c>
      <c r="K153" s="1">
        <v>889</v>
      </c>
      <c r="L153" s="1">
        <v>1271</v>
      </c>
      <c r="M153" s="1">
        <v>2160</v>
      </c>
      <c r="N153" s="1">
        <v>445</v>
      </c>
      <c r="O153" s="1">
        <v>603</v>
      </c>
      <c r="P153" s="1">
        <v>1048</v>
      </c>
      <c r="Q153" s="1">
        <v>666</v>
      </c>
      <c r="R153" s="1">
        <v>805</v>
      </c>
      <c r="S153" s="1">
        <v>1471</v>
      </c>
      <c r="T153" s="1">
        <v>78</v>
      </c>
      <c r="U153" s="1">
        <v>83</v>
      </c>
      <c r="V153" s="1">
        <v>161</v>
      </c>
      <c r="W153" s="1">
        <f t="shared" ref="W153:X153" si="1364">SUM(E153,H153,K153,N153,Q153,T153)</f>
        <v>5159</v>
      </c>
      <c r="X153" s="1">
        <f t="shared" si="1364"/>
        <v>6123</v>
      </c>
      <c r="Y153" s="1">
        <f t="shared" si="1"/>
        <v>11282</v>
      </c>
      <c r="Z153" s="1">
        <f t="shared" ref="Z153:AA153" si="1365">W153-T153</f>
        <v>5081</v>
      </c>
      <c r="AA153" s="1">
        <f t="shared" si="1365"/>
        <v>6040</v>
      </c>
      <c r="AB153" s="1">
        <f t="shared" si="3"/>
        <v>11121</v>
      </c>
      <c r="AC153" s="1">
        <f t="shared" ref="AC153:AD153" si="1366">SUM(E153,H153,K153,N153)</f>
        <v>4415</v>
      </c>
      <c r="AD153" s="1">
        <f t="shared" si="1366"/>
        <v>5235</v>
      </c>
      <c r="AE153" s="1">
        <f t="shared" si="5"/>
        <v>9650</v>
      </c>
      <c r="AF153" s="2">
        <f t="shared" ref="AF153:AH153" si="1367">AC153/Z153</f>
        <v>0.86892344026766388</v>
      </c>
      <c r="AG153" s="2">
        <f t="shared" si="1367"/>
        <v>0.86672185430463577</v>
      </c>
      <c r="AH153" s="2">
        <f t="shared" si="1367"/>
        <v>0.8677277223271288</v>
      </c>
      <c r="AI153" s="1">
        <f t="shared" ref="AI153:AJ153" si="1368">SUM(E153,H153,K153)</f>
        <v>3970</v>
      </c>
      <c r="AJ153" s="1">
        <f t="shared" si="1368"/>
        <v>4632</v>
      </c>
      <c r="AK153" s="1">
        <f t="shared" si="8"/>
        <v>8602</v>
      </c>
      <c r="AL153" s="2">
        <f t="shared" ref="AL153:AN153" si="1369">AI153/Z153</f>
        <v>0.78134225546152336</v>
      </c>
      <c r="AM153" s="2">
        <f t="shared" si="1369"/>
        <v>0.76688741721854303</v>
      </c>
      <c r="AN153" s="2">
        <f t="shared" si="1369"/>
        <v>0.77349159248269039</v>
      </c>
      <c r="AO153" s="2">
        <f t="shared" ref="AO153:AQ153" si="1370">E153/Z153</f>
        <v>0.13324148789608345</v>
      </c>
      <c r="AP153" s="2">
        <f t="shared" si="1370"/>
        <v>9.8841059602649009E-2</v>
      </c>
      <c r="AQ153" s="2">
        <f t="shared" si="1370"/>
        <v>0.11455804334142614</v>
      </c>
      <c r="AR153" s="2">
        <f t="shared" si="11"/>
        <v>0.15843337925605197</v>
      </c>
      <c r="AS153" s="2">
        <f t="shared" ref="AS153:AT153" si="1371">R153/AA153</f>
        <v>0.13327814569536423</v>
      </c>
      <c r="AT153" s="2">
        <f t="shared" si="1371"/>
        <v>0.13227227767287114</v>
      </c>
      <c r="AU153" s="2">
        <f t="shared" ref="AU153:AW153" si="1372">T153/W153</f>
        <v>1.5119209149059896E-2</v>
      </c>
      <c r="AV153" s="2">
        <f t="shared" si="1309"/>
        <v>1.3555446676465785E-2</v>
      </c>
      <c r="AW153" s="2">
        <f t="shared" si="1309"/>
        <v>1.427051941145187E-2</v>
      </c>
    </row>
    <row r="154" spans="1:49" ht="13" x14ac:dyDescent="0.15">
      <c r="A154" s="1">
        <v>2023</v>
      </c>
      <c r="B154" s="1" t="s">
        <v>49</v>
      </c>
      <c r="C154" s="1" t="s">
        <v>59</v>
      </c>
      <c r="D154" s="1" t="s">
        <v>95</v>
      </c>
      <c r="E154" s="1">
        <v>92</v>
      </c>
      <c r="F154" s="1">
        <v>60</v>
      </c>
      <c r="G154" s="1">
        <v>152</v>
      </c>
      <c r="H154" s="1">
        <v>935</v>
      </c>
      <c r="I154" s="1">
        <v>835</v>
      </c>
      <c r="J154" s="1">
        <v>1770</v>
      </c>
      <c r="K154" s="1">
        <v>717</v>
      </c>
      <c r="L154" s="1">
        <v>944</v>
      </c>
      <c r="M154" s="1">
        <v>1661</v>
      </c>
      <c r="N154" s="1">
        <v>280</v>
      </c>
      <c r="O154" s="1">
        <v>387</v>
      </c>
      <c r="P154" s="1">
        <v>667</v>
      </c>
      <c r="Q154" s="1">
        <v>403</v>
      </c>
      <c r="R154" s="1">
        <v>585</v>
      </c>
      <c r="S154" s="1">
        <v>988</v>
      </c>
      <c r="T154" s="1">
        <v>10</v>
      </c>
      <c r="U154" s="1">
        <v>28</v>
      </c>
      <c r="V154" s="1">
        <v>38</v>
      </c>
      <c r="W154" s="1">
        <f t="shared" ref="W154:X154" si="1373">SUM(E154,H154,K154,N154,Q154,T154)</f>
        <v>2437</v>
      </c>
      <c r="X154" s="1">
        <f t="shared" si="1373"/>
        <v>2839</v>
      </c>
      <c r="Y154" s="1">
        <f t="shared" si="1"/>
        <v>5276</v>
      </c>
      <c r="Z154" s="1">
        <f t="shared" ref="Z154:AA154" si="1374">W154-T154</f>
        <v>2427</v>
      </c>
      <c r="AA154" s="1">
        <f t="shared" si="1374"/>
        <v>2811</v>
      </c>
      <c r="AB154" s="1">
        <f t="shared" si="3"/>
        <v>5238</v>
      </c>
      <c r="AC154" s="1">
        <f t="shared" ref="AC154:AD154" si="1375">SUM(E154,H154,K154,N154)</f>
        <v>2024</v>
      </c>
      <c r="AD154" s="1">
        <f t="shared" si="1375"/>
        <v>2226</v>
      </c>
      <c r="AE154" s="1">
        <f t="shared" si="5"/>
        <v>4250</v>
      </c>
      <c r="AF154" s="2">
        <f t="shared" ref="AF154:AH154" si="1376">AC154/Z154</f>
        <v>0.83395138030490312</v>
      </c>
      <c r="AG154" s="2">
        <f t="shared" si="1376"/>
        <v>0.79188900747065105</v>
      </c>
      <c r="AH154" s="2">
        <f t="shared" si="1376"/>
        <v>0.81137838869797629</v>
      </c>
      <c r="AI154" s="1">
        <f t="shared" ref="AI154:AJ154" si="1377">SUM(E154,H154,K154)</f>
        <v>1744</v>
      </c>
      <c r="AJ154" s="1">
        <f t="shared" si="1377"/>
        <v>1839</v>
      </c>
      <c r="AK154" s="1">
        <f t="shared" si="8"/>
        <v>3583</v>
      </c>
      <c r="AL154" s="2">
        <f t="shared" ref="AL154:AN154" si="1378">AI154/Z154</f>
        <v>0.71858261227853315</v>
      </c>
      <c r="AM154" s="2">
        <f t="shared" si="1378"/>
        <v>0.65421558164354321</v>
      </c>
      <c r="AN154" s="2">
        <f t="shared" si="1378"/>
        <v>0.68403970981290574</v>
      </c>
      <c r="AO154" s="2">
        <f t="shared" ref="AO154:AQ154" si="1379">E154/Z154</f>
        <v>3.7906880922950144E-2</v>
      </c>
      <c r="AP154" s="2">
        <f t="shared" si="1379"/>
        <v>2.1344717182497332E-2</v>
      </c>
      <c r="AQ154" s="2">
        <f t="shared" si="1379"/>
        <v>2.9018709431080564E-2</v>
      </c>
      <c r="AR154" s="2">
        <f t="shared" si="11"/>
        <v>0.24103831891223734</v>
      </c>
      <c r="AS154" s="2">
        <f t="shared" ref="AS154:AT154" si="1380">R154/AA154</f>
        <v>0.20811099252934898</v>
      </c>
      <c r="AT154" s="2">
        <f t="shared" si="1380"/>
        <v>0.18862161130202368</v>
      </c>
      <c r="AU154" s="2">
        <f t="shared" ref="AU154:AW154" si="1381">T154/W154</f>
        <v>4.103405826836274E-3</v>
      </c>
      <c r="AV154" s="2">
        <f t="shared" si="1309"/>
        <v>9.8626276858048614E-3</v>
      </c>
      <c r="AW154" s="2">
        <f t="shared" si="1309"/>
        <v>7.2024260803639122E-3</v>
      </c>
    </row>
    <row r="155" spans="1:49" ht="13" x14ac:dyDescent="0.15">
      <c r="A155" s="1">
        <v>2023</v>
      </c>
      <c r="B155" s="1" t="s">
        <v>49</v>
      </c>
      <c r="C155" s="1" t="s">
        <v>50</v>
      </c>
      <c r="D155" s="1" t="s">
        <v>96</v>
      </c>
      <c r="E155" s="1">
        <v>172</v>
      </c>
      <c r="F155" s="1">
        <v>200</v>
      </c>
      <c r="G155" s="1">
        <v>372</v>
      </c>
      <c r="H155" s="1">
        <v>840</v>
      </c>
      <c r="I155" s="1">
        <v>1048</v>
      </c>
      <c r="J155" s="1">
        <v>1888</v>
      </c>
      <c r="K155" s="1">
        <v>310</v>
      </c>
      <c r="L155" s="1">
        <v>425</v>
      </c>
      <c r="M155" s="1">
        <v>735</v>
      </c>
      <c r="N155" s="1">
        <v>166</v>
      </c>
      <c r="O155" s="1">
        <v>215</v>
      </c>
      <c r="P155" s="1">
        <v>381</v>
      </c>
      <c r="Q155" s="1">
        <v>192</v>
      </c>
      <c r="R155" s="1">
        <v>231</v>
      </c>
      <c r="S155" s="1">
        <v>423</v>
      </c>
      <c r="T155" s="1">
        <v>46</v>
      </c>
      <c r="U155" s="1">
        <v>54</v>
      </c>
      <c r="V155" s="1">
        <v>100</v>
      </c>
      <c r="W155" s="1">
        <f t="shared" ref="W155:X155" si="1382">SUM(E155,H155,K155,N155,Q155,T155)</f>
        <v>1726</v>
      </c>
      <c r="X155" s="1">
        <f t="shared" si="1382"/>
        <v>2173</v>
      </c>
      <c r="Y155" s="1">
        <f t="shared" si="1"/>
        <v>3899</v>
      </c>
      <c r="Z155" s="1">
        <f t="shared" ref="Z155:AA155" si="1383">W155-T155</f>
        <v>1680</v>
      </c>
      <c r="AA155" s="1">
        <f t="shared" si="1383"/>
        <v>2119</v>
      </c>
      <c r="AB155" s="1">
        <f t="shared" si="3"/>
        <v>3799</v>
      </c>
      <c r="AC155" s="1">
        <f t="shared" ref="AC155:AD155" si="1384">SUM(E155,H155,K155,N155)</f>
        <v>1488</v>
      </c>
      <c r="AD155" s="1">
        <f t="shared" si="1384"/>
        <v>1888</v>
      </c>
      <c r="AE155" s="1">
        <f t="shared" si="5"/>
        <v>3376</v>
      </c>
      <c r="AF155" s="2">
        <f t="shared" ref="AF155:AH155" si="1385">AC155/Z155</f>
        <v>0.88571428571428568</v>
      </c>
      <c r="AG155" s="2">
        <f t="shared" si="1385"/>
        <v>0.89098631429919772</v>
      </c>
      <c r="AH155" s="2">
        <f t="shared" si="1385"/>
        <v>0.88865490918662804</v>
      </c>
      <c r="AI155" s="1">
        <f t="shared" ref="AI155:AJ155" si="1386">SUM(E155,H155,K155)</f>
        <v>1322</v>
      </c>
      <c r="AJ155" s="1">
        <f t="shared" si="1386"/>
        <v>1673</v>
      </c>
      <c r="AK155" s="1">
        <f t="shared" si="8"/>
        <v>2995</v>
      </c>
      <c r="AL155" s="2">
        <f t="shared" ref="AL155:AN155" si="1387">AI155/Z155</f>
        <v>0.78690476190476188</v>
      </c>
      <c r="AM155" s="2">
        <f t="shared" si="1387"/>
        <v>0.78952336007550727</v>
      </c>
      <c r="AN155" s="2">
        <f t="shared" si="1387"/>
        <v>0.78836535930508034</v>
      </c>
      <c r="AO155" s="2">
        <f t="shared" ref="AO155:AQ155" si="1388">E155/Z155</f>
        <v>0.10238095238095238</v>
      </c>
      <c r="AP155" s="2">
        <f t="shared" si="1388"/>
        <v>9.4384143463898063E-2</v>
      </c>
      <c r="AQ155" s="2">
        <f t="shared" si="1388"/>
        <v>9.792050539615689E-2</v>
      </c>
      <c r="AR155" s="2">
        <f t="shared" si="11"/>
        <v>0.13750000000000001</v>
      </c>
      <c r="AS155" s="2">
        <f t="shared" ref="AS155:AT155" si="1389">R155/AA155</f>
        <v>0.10901368570080226</v>
      </c>
      <c r="AT155" s="2">
        <f t="shared" si="1389"/>
        <v>0.11134509081337195</v>
      </c>
      <c r="AU155" s="2">
        <f t="shared" ref="AU155:AW155" si="1390">T155/W155</f>
        <v>2.6651216685979143E-2</v>
      </c>
      <c r="AV155" s="2">
        <f t="shared" si="1309"/>
        <v>2.4850437183617118E-2</v>
      </c>
      <c r="AW155" s="2">
        <f t="shared" si="1309"/>
        <v>2.5647601949217749E-2</v>
      </c>
    </row>
    <row r="156" spans="1:49" ht="13" x14ac:dyDescent="0.15">
      <c r="A156" s="1">
        <v>2023</v>
      </c>
      <c r="B156" s="1" t="s">
        <v>49</v>
      </c>
      <c r="C156" s="1" t="s">
        <v>62</v>
      </c>
      <c r="D156" s="1" t="s">
        <v>97</v>
      </c>
      <c r="E156" s="1">
        <v>16</v>
      </c>
      <c r="F156" s="1">
        <v>3</v>
      </c>
      <c r="G156" s="1">
        <v>19</v>
      </c>
      <c r="H156" s="1">
        <v>318</v>
      </c>
      <c r="I156" s="1">
        <v>244</v>
      </c>
      <c r="J156" s="1">
        <v>562</v>
      </c>
      <c r="K156" s="1">
        <v>383</v>
      </c>
      <c r="L156" s="1">
        <v>422</v>
      </c>
      <c r="M156" s="1">
        <v>805</v>
      </c>
      <c r="N156" s="1">
        <v>215</v>
      </c>
      <c r="O156" s="1">
        <v>252</v>
      </c>
      <c r="P156" s="1">
        <v>467</v>
      </c>
      <c r="Q156" s="1">
        <v>478</v>
      </c>
      <c r="R156" s="1">
        <v>649</v>
      </c>
      <c r="S156" s="1">
        <v>1127</v>
      </c>
      <c r="T156" s="1">
        <v>4</v>
      </c>
      <c r="U156" s="1">
        <v>10</v>
      </c>
      <c r="V156" s="1">
        <v>14</v>
      </c>
      <c r="W156" s="1">
        <f t="shared" ref="W156:X156" si="1391">SUM(E156,H156,K156,N156,Q156,T156)</f>
        <v>1414</v>
      </c>
      <c r="X156" s="1">
        <f t="shared" si="1391"/>
        <v>1580</v>
      </c>
      <c r="Y156" s="1">
        <f t="shared" si="1"/>
        <v>2994</v>
      </c>
      <c r="Z156" s="1">
        <f t="shared" ref="Z156:AA156" si="1392">W156-T156</f>
        <v>1410</v>
      </c>
      <c r="AA156" s="1">
        <f t="shared" si="1392"/>
        <v>1570</v>
      </c>
      <c r="AB156" s="1">
        <f t="shared" si="3"/>
        <v>2980</v>
      </c>
      <c r="AC156" s="1">
        <f t="shared" ref="AC156:AD156" si="1393">SUM(E156,H156,K156,N156)</f>
        <v>932</v>
      </c>
      <c r="AD156" s="1">
        <f t="shared" si="1393"/>
        <v>921</v>
      </c>
      <c r="AE156" s="1">
        <f t="shared" si="5"/>
        <v>1853</v>
      </c>
      <c r="AF156" s="2">
        <f t="shared" ref="AF156:AH156" si="1394">AC156/Z156</f>
        <v>0.66099290780141839</v>
      </c>
      <c r="AG156" s="2">
        <f t="shared" si="1394"/>
        <v>0.58662420382165603</v>
      </c>
      <c r="AH156" s="2">
        <f t="shared" si="1394"/>
        <v>0.62181208053691273</v>
      </c>
      <c r="AI156" s="1">
        <f t="shared" ref="AI156:AJ156" si="1395">SUM(E156,H156,K156)</f>
        <v>717</v>
      </c>
      <c r="AJ156" s="1">
        <f t="shared" si="1395"/>
        <v>669</v>
      </c>
      <c r="AK156" s="1">
        <f t="shared" si="8"/>
        <v>1386</v>
      </c>
      <c r="AL156" s="2">
        <f t="shared" ref="AL156:AN156" si="1396">AI156/Z156</f>
        <v>0.50851063829787235</v>
      </c>
      <c r="AM156" s="2">
        <f t="shared" si="1396"/>
        <v>0.42611464968152868</v>
      </c>
      <c r="AN156" s="2">
        <f t="shared" si="1396"/>
        <v>0.46510067114093961</v>
      </c>
      <c r="AO156" s="2">
        <f t="shared" ref="AO156:AQ156" si="1397">E156/Z156</f>
        <v>1.1347517730496455E-2</v>
      </c>
      <c r="AP156" s="2">
        <f t="shared" si="1397"/>
        <v>1.910828025477707E-3</v>
      </c>
      <c r="AQ156" s="2">
        <f t="shared" si="1397"/>
        <v>6.3758389261744965E-3</v>
      </c>
      <c r="AR156" s="2">
        <f t="shared" si="11"/>
        <v>0.46028368794326241</v>
      </c>
      <c r="AS156" s="2">
        <f t="shared" ref="AS156:AT156" si="1398">R156/AA156</f>
        <v>0.41337579617834397</v>
      </c>
      <c r="AT156" s="2">
        <f t="shared" si="1398"/>
        <v>0.37818791946308727</v>
      </c>
      <c r="AU156" s="2">
        <f t="shared" ref="AU156:AW156" si="1399">T156/W156</f>
        <v>2.828854314002829E-3</v>
      </c>
      <c r="AV156" s="2">
        <f t="shared" si="1309"/>
        <v>6.3291139240506328E-3</v>
      </c>
      <c r="AW156" s="2">
        <f t="shared" si="1309"/>
        <v>4.6760187040748163E-3</v>
      </c>
    </row>
    <row r="157" spans="1:49" ht="13" x14ac:dyDescent="0.15">
      <c r="A157" s="1">
        <v>2023</v>
      </c>
      <c r="B157" s="1" t="s">
        <v>49</v>
      </c>
      <c r="C157" s="1" t="s">
        <v>62</v>
      </c>
      <c r="D157" s="1" t="s">
        <v>98</v>
      </c>
      <c r="E157" s="1">
        <v>53</v>
      </c>
      <c r="F157" s="1">
        <v>10</v>
      </c>
      <c r="G157" s="1">
        <v>63</v>
      </c>
      <c r="H157" s="1">
        <v>459</v>
      </c>
      <c r="I157" s="1">
        <v>405</v>
      </c>
      <c r="J157" s="1">
        <v>864</v>
      </c>
      <c r="K157" s="1">
        <v>340</v>
      </c>
      <c r="L157" s="1">
        <v>400</v>
      </c>
      <c r="M157" s="1">
        <v>740</v>
      </c>
      <c r="N157" s="1">
        <v>197</v>
      </c>
      <c r="O157" s="1">
        <v>244</v>
      </c>
      <c r="P157" s="1">
        <v>441</v>
      </c>
      <c r="Q157" s="1">
        <v>304</v>
      </c>
      <c r="R157" s="1">
        <v>331</v>
      </c>
      <c r="S157" s="1">
        <v>635</v>
      </c>
      <c r="T157" s="1">
        <v>53</v>
      </c>
      <c r="U157" s="1">
        <v>82</v>
      </c>
      <c r="V157" s="1">
        <v>135</v>
      </c>
      <c r="W157" s="1">
        <f t="shared" ref="W157:X157" si="1400">SUM(E157,H157,K157,N157,Q157,T157)</f>
        <v>1406</v>
      </c>
      <c r="X157" s="1">
        <f t="shared" si="1400"/>
        <v>1472</v>
      </c>
      <c r="Y157" s="1">
        <f t="shared" si="1"/>
        <v>2878</v>
      </c>
      <c r="Z157" s="1">
        <f t="shared" ref="Z157:AA157" si="1401">W157-T157</f>
        <v>1353</v>
      </c>
      <c r="AA157" s="1">
        <f t="shared" si="1401"/>
        <v>1390</v>
      </c>
      <c r="AB157" s="1">
        <f t="shared" si="3"/>
        <v>2743</v>
      </c>
      <c r="AC157" s="1">
        <f t="shared" ref="AC157:AD157" si="1402">SUM(E157,H157,K157,N157)</f>
        <v>1049</v>
      </c>
      <c r="AD157" s="1">
        <f t="shared" si="1402"/>
        <v>1059</v>
      </c>
      <c r="AE157" s="1">
        <f t="shared" si="5"/>
        <v>2108</v>
      </c>
      <c r="AF157" s="2">
        <f t="shared" ref="AF157:AH157" si="1403">AC157/Z157</f>
        <v>0.77531411677753137</v>
      </c>
      <c r="AG157" s="2">
        <f t="shared" si="1403"/>
        <v>0.76187050359712227</v>
      </c>
      <c r="AH157" s="2">
        <f t="shared" si="1403"/>
        <v>0.76850164053955528</v>
      </c>
      <c r="AI157" s="1">
        <f t="shared" ref="AI157:AJ157" si="1404">SUM(E157,H157,K157)</f>
        <v>852</v>
      </c>
      <c r="AJ157" s="1">
        <f t="shared" si="1404"/>
        <v>815</v>
      </c>
      <c r="AK157" s="1">
        <f t="shared" si="8"/>
        <v>1667</v>
      </c>
      <c r="AL157" s="2">
        <f t="shared" ref="AL157:AN157" si="1405">AI157/Z157</f>
        <v>0.62971175166297122</v>
      </c>
      <c r="AM157" s="2">
        <f t="shared" si="1405"/>
        <v>0.58633093525179858</v>
      </c>
      <c r="AN157" s="2">
        <f t="shared" si="1405"/>
        <v>0.60772876412686838</v>
      </c>
      <c r="AO157" s="2">
        <f t="shared" ref="AO157:AQ157" si="1406">E157/Z157</f>
        <v>3.9172209903917218E-2</v>
      </c>
      <c r="AP157" s="2">
        <f t="shared" si="1406"/>
        <v>7.1942446043165471E-3</v>
      </c>
      <c r="AQ157" s="2">
        <f t="shared" si="1406"/>
        <v>2.2967553773240976E-2</v>
      </c>
      <c r="AR157" s="2">
        <f t="shared" si="11"/>
        <v>0.24464153732446414</v>
      </c>
      <c r="AS157" s="2">
        <f t="shared" ref="AS157:AT157" si="1407">R157/AA157</f>
        <v>0.2381294964028777</v>
      </c>
      <c r="AT157" s="2">
        <f t="shared" si="1407"/>
        <v>0.23149835946044478</v>
      </c>
      <c r="AU157" s="2">
        <f t="shared" ref="AU157:AW157" si="1408">T157/W157</f>
        <v>3.7695590327169272E-2</v>
      </c>
      <c r="AV157" s="2">
        <f t="shared" si="1309"/>
        <v>5.5706521739130432E-2</v>
      </c>
      <c r="AW157" s="2">
        <f t="shared" si="1309"/>
        <v>4.6907574704656015E-2</v>
      </c>
    </row>
    <row r="158" spans="1:49" ht="13" x14ac:dyDescent="0.15">
      <c r="A158" s="1">
        <v>2023</v>
      </c>
      <c r="B158" s="1" t="s">
        <v>49</v>
      </c>
      <c r="C158" s="1" t="s">
        <v>99</v>
      </c>
      <c r="D158" s="1" t="s">
        <v>100</v>
      </c>
      <c r="E158" s="1">
        <v>31</v>
      </c>
      <c r="F158" s="1">
        <v>20</v>
      </c>
      <c r="G158" s="1">
        <v>51</v>
      </c>
      <c r="H158" s="1">
        <v>393</v>
      </c>
      <c r="I158" s="1">
        <v>206</v>
      </c>
      <c r="J158" s="1">
        <v>599</v>
      </c>
      <c r="K158" s="1">
        <v>252</v>
      </c>
      <c r="L158" s="1">
        <v>247</v>
      </c>
      <c r="M158" s="1">
        <v>499</v>
      </c>
      <c r="N158" s="1">
        <v>88</v>
      </c>
      <c r="O158" s="1">
        <v>106</v>
      </c>
      <c r="P158" s="1">
        <v>194</v>
      </c>
      <c r="Q158" s="1">
        <v>141</v>
      </c>
      <c r="R158" s="1">
        <v>169</v>
      </c>
      <c r="S158" s="1">
        <v>310</v>
      </c>
      <c r="T158" s="1">
        <v>7</v>
      </c>
      <c r="U158" s="1">
        <v>8</v>
      </c>
      <c r="V158" s="1">
        <v>15</v>
      </c>
      <c r="W158" s="1">
        <f t="shared" ref="W158:X158" si="1409">SUM(E158,H158,K158,N158,Q158,T158)</f>
        <v>912</v>
      </c>
      <c r="X158" s="1">
        <f t="shared" si="1409"/>
        <v>756</v>
      </c>
      <c r="Y158" s="1">
        <f t="shared" si="1"/>
        <v>1668</v>
      </c>
      <c r="Z158" s="1">
        <f t="shared" ref="Z158:AA158" si="1410">W158-T158</f>
        <v>905</v>
      </c>
      <c r="AA158" s="1">
        <f t="shared" si="1410"/>
        <v>748</v>
      </c>
      <c r="AB158" s="1">
        <f t="shared" si="3"/>
        <v>1653</v>
      </c>
      <c r="AC158" s="1">
        <f t="shared" ref="AC158:AD158" si="1411">SUM(E158,H158,K158,N158)</f>
        <v>764</v>
      </c>
      <c r="AD158" s="1">
        <f t="shared" si="1411"/>
        <v>579</v>
      </c>
      <c r="AE158" s="1">
        <f t="shared" si="5"/>
        <v>1343</v>
      </c>
      <c r="AF158" s="2">
        <f t="shared" ref="AF158:AH158" si="1412">AC158/Z158</f>
        <v>0.84419889502762435</v>
      </c>
      <c r="AG158" s="2">
        <f t="shared" si="1412"/>
        <v>0.77406417112299464</v>
      </c>
      <c r="AH158" s="2">
        <f t="shared" si="1412"/>
        <v>0.81246218995765274</v>
      </c>
      <c r="AI158" s="1">
        <f t="shared" ref="AI158:AJ158" si="1413">SUM(E158,H158,K158)</f>
        <v>676</v>
      </c>
      <c r="AJ158" s="1">
        <f t="shared" si="1413"/>
        <v>473</v>
      </c>
      <c r="AK158" s="1">
        <f t="shared" si="8"/>
        <v>1149</v>
      </c>
      <c r="AL158" s="2">
        <f t="shared" ref="AL158:AN158" si="1414">AI158/Z158</f>
        <v>0.74696132596685083</v>
      </c>
      <c r="AM158" s="2">
        <f t="shared" si="1414"/>
        <v>0.63235294117647056</v>
      </c>
      <c r="AN158" s="2">
        <f t="shared" si="1414"/>
        <v>0.6950998185117967</v>
      </c>
      <c r="AO158" s="2">
        <f t="shared" ref="AO158:AQ158" si="1415">E158/Z158</f>
        <v>3.4254143646408837E-2</v>
      </c>
      <c r="AP158" s="2">
        <f t="shared" si="1415"/>
        <v>2.6737967914438502E-2</v>
      </c>
      <c r="AQ158" s="2">
        <f t="shared" si="1415"/>
        <v>3.0852994555353903E-2</v>
      </c>
      <c r="AR158" s="2">
        <f t="shared" si="11"/>
        <v>0.18674033149171271</v>
      </c>
      <c r="AS158" s="2">
        <f t="shared" ref="AS158:AT158" si="1416">R158/AA158</f>
        <v>0.22593582887700533</v>
      </c>
      <c r="AT158" s="2">
        <f t="shared" si="1416"/>
        <v>0.18753781004234724</v>
      </c>
      <c r="AU158" s="2">
        <f t="shared" ref="AU158:AW158" si="1417">T158/W158</f>
        <v>7.6754385964912276E-3</v>
      </c>
      <c r="AV158" s="2">
        <f t="shared" si="1309"/>
        <v>1.0582010582010581E-2</v>
      </c>
      <c r="AW158" s="2">
        <f t="shared" si="1309"/>
        <v>8.9928057553956831E-3</v>
      </c>
    </row>
    <row r="159" spans="1:49" ht="13" x14ac:dyDescent="0.15">
      <c r="A159" s="1">
        <v>2023</v>
      </c>
      <c r="B159" s="1" t="s">
        <v>49</v>
      </c>
      <c r="C159" s="1" t="s">
        <v>101</v>
      </c>
      <c r="D159" s="1" t="s">
        <v>102</v>
      </c>
      <c r="E159" s="1">
        <v>238</v>
      </c>
      <c r="F159" s="1">
        <v>189</v>
      </c>
      <c r="G159" s="1">
        <v>427</v>
      </c>
      <c r="H159" s="1">
        <v>1499</v>
      </c>
      <c r="I159" s="1">
        <v>1259</v>
      </c>
      <c r="J159" s="1">
        <v>2758</v>
      </c>
      <c r="K159" s="1">
        <v>354</v>
      </c>
      <c r="L159" s="1">
        <v>274</v>
      </c>
      <c r="M159" s="1">
        <v>628</v>
      </c>
      <c r="N159" s="1">
        <v>136</v>
      </c>
      <c r="O159" s="1">
        <v>95</v>
      </c>
      <c r="P159" s="1">
        <v>231</v>
      </c>
      <c r="Q159" s="1">
        <v>38</v>
      </c>
      <c r="R159" s="1">
        <v>34</v>
      </c>
      <c r="S159" s="1">
        <v>72</v>
      </c>
      <c r="T159" s="1">
        <v>46</v>
      </c>
      <c r="U159" s="1">
        <v>59</v>
      </c>
      <c r="V159" s="1">
        <v>105</v>
      </c>
      <c r="W159" s="1">
        <f t="shared" ref="W159:X159" si="1418">SUM(E159,H159,K159,N159,Q159,T159)</f>
        <v>2311</v>
      </c>
      <c r="X159" s="1">
        <f t="shared" si="1418"/>
        <v>1910</v>
      </c>
      <c r="Y159" s="1">
        <f t="shared" si="1"/>
        <v>4221</v>
      </c>
      <c r="Z159" s="1">
        <f t="shared" ref="Z159:AA159" si="1419">W159-T159</f>
        <v>2265</v>
      </c>
      <c r="AA159" s="1">
        <f t="shared" si="1419"/>
        <v>1851</v>
      </c>
      <c r="AB159" s="1">
        <f t="shared" si="3"/>
        <v>4116</v>
      </c>
      <c r="AC159" s="1">
        <f t="shared" ref="AC159:AD159" si="1420">SUM(E159,H159,K159,N159)</f>
        <v>2227</v>
      </c>
      <c r="AD159" s="1">
        <f t="shared" si="1420"/>
        <v>1817</v>
      </c>
      <c r="AE159" s="1">
        <f t="shared" si="5"/>
        <v>4044</v>
      </c>
      <c r="AF159" s="2">
        <f t="shared" ref="AF159:AH159" si="1421">AC159/Z159</f>
        <v>0.98322295805739512</v>
      </c>
      <c r="AG159" s="2">
        <f t="shared" si="1421"/>
        <v>0.98163155051323614</v>
      </c>
      <c r="AH159" s="2">
        <f t="shared" si="1421"/>
        <v>0.98250728862973757</v>
      </c>
      <c r="AI159" s="1">
        <f t="shared" ref="AI159:AJ159" si="1422">SUM(E159,H159,K159)</f>
        <v>2091</v>
      </c>
      <c r="AJ159" s="1">
        <f t="shared" si="1422"/>
        <v>1722</v>
      </c>
      <c r="AK159" s="1">
        <f t="shared" si="8"/>
        <v>3813</v>
      </c>
      <c r="AL159" s="2">
        <f t="shared" ref="AL159:AN159" si="1423">AI159/Z159</f>
        <v>0.9231788079470199</v>
      </c>
      <c r="AM159" s="2">
        <f t="shared" si="1423"/>
        <v>0.93030794165316044</v>
      </c>
      <c r="AN159" s="2">
        <f t="shared" si="1423"/>
        <v>0.92638483965014573</v>
      </c>
      <c r="AO159" s="2">
        <f t="shared" ref="AO159:AQ159" si="1424">E159/Z159</f>
        <v>0.10507726269315673</v>
      </c>
      <c r="AP159" s="2">
        <f t="shared" si="1424"/>
        <v>0.10210696920583469</v>
      </c>
      <c r="AQ159" s="2">
        <f t="shared" si="1424"/>
        <v>0.10374149659863946</v>
      </c>
      <c r="AR159" s="2">
        <f t="shared" si="11"/>
        <v>1.5011037527593819E-2</v>
      </c>
      <c r="AS159" s="2">
        <f t="shared" ref="AS159:AT159" si="1425">R159/AA159</f>
        <v>1.8368449486763912E-2</v>
      </c>
      <c r="AT159" s="2">
        <f t="shared" si="1425"/>
        <v>1.7492711370262391E-2</v>
      </c>
      <c r="AU159" s="2">
        <f t="shared" ref="AU159:AW159" si="1426">T159/W159</f>
        <v>1.99048031155344E-2</v>
      </c>
      <c r="AV159" s="2">
        <f t="shared" si="1309"/>
        <v>3.0890052356020943E-2</v>
      </c>
      <c r="AW159" s="2">
        <f t="shared" si="1309"/>
        <v>2.4875621890547265E-2</v>
      </c>
    </row>
    <row r="160" spans="1:49" ht="13" x14ac:dyDescent="0.15">
      <c r="A160" s="1">
        <v>2023</v>
      </c>
      <c r="B160" s="1" t="s">
        <v>49</v>
      </c>
      <c r="C160" s="1" t="s">
        <v>101</v>
      </c>
      <c r="D160" s="1" t="s">
        <v>103</v>
      </c>
      <c r="E160" s="1">
        <v>316</v>
      </c>
      <c r="F160" s="1">
        <v>449</v>
      </c>
      <c r="G160" s="1">
        <v>765</v>
      </c>
      <c r="H160" s="1">
        <v>1073</v>
      </c>
      <c r="I160" s="1">
        <v>1261</v>
      </c>
      <c r="J160" s="1">
        <v>2334</v>
      </c>
      <c r="K160" s="1">
        <v>138</v>
      </c>
      <c r="L160" s="1">
        <v>194</v>
      </c>
      <c r="M160" s="1">
        <v>332</v>
      </c>
      <c r="N160" s="1">
        <v>45</v>
      </c>
      <c r="O160" s="1">
        <v>54</v>
      </c>
      <c r="P160" s="1">
        <v>99</v>
      </c>
      <c r="Q160" s="1">
        <v>45</v>
      </c>
      <c r="R160" s="1">
        <v>81</v>
      </c>
      <c r="S160" s="1">
        <v>126</v>
      </c>
      <c r="T160" s="1">
        <v>31</v>
      </c>
      <c r="U160" s="1">
        <v>30</v>
      </c>
      <c r="V160" s="1">
        <v>61</v>
      </c>
      <c r="W160" s="1">
        <f t="shared" ref="W160:X160" si="1427">SUM(E160,H160,K160,N160,Q160,T160)</f>
        <v>1648</v>
      </c>
      <c r="X160" s="1">
        <f t="shared" si="1427"/>
        <v>2069</v>
      </c>
      <c r="Y160" s="1">
        <f t="shared" si="1"/>
        <v>3717</v>
      </c>
      <c r="Z160" s="1">
        <f t="shared" ref="Z160:AA160" si="1428">W160-T160</f>
        <v>1617</v>
      </c>
      <c r="AA160" s="1">
        <f t="shared" si="1428"/>
        <v>2039</v>
      </c>
      <c r="AB160" s="1">
        <f t="shared" si="3"/>
        <v>3656</v>
      </c>
      <c r="AC160" s="1">
        <f t="shared" ref="AC160:AD160" si="1429">SUM(E160,H160,K160,N160)</f>
        <v>1572</v>
      </c>
      <c r="AD160" s="1">
        <f t="shared" si="1429"/>
        <v>1958</v>
      </c>
      <c r="AE160" s="1">
        <f t="shared" si="5"/>
        <v>3530</v>
      </c>
      <c r="AF160" s="2">
        <f t="shared" ref="AF160:AH160" si="1430">AC160/Z160</f>
        <v>0.9721706864564007</v>
      </c>
      <c r="AG160" s="2">
        <f t="shared" si="1430"/>
        <v>0.96027464443354582</v>
      </c>
      <c r="AH160" s="2">
        <f t="shared" si="1430"/>
        <v>0.96553610503282272</v>
      </c>
      <c r="AI160" s="1">
        <f t="shared" ref="AI160:AJ160" si="1431">SUM(E160,H160,K160)</f>
        <v>1527</v>
      </c>
      <c r="AJ160" s="1">
        <f t="shared" si="1431"/>
        <v>1904</v>
      </c>
      <c r="AK160" s="1">
        <f t="shared" si="8"/>
        <v>3431</v>
      </c>
      <c r="AL160" s="2">
        <f t="shared" ref="AL160:AN160" si="1432">AI160/Z160</f>
        <v>0.94434137291280151</v>
      </c>
      <c r="AM160" s="2">
        <f t="shared" si="1432"/>
        <v>0.93379107405590978</v>
      </c>
      <c r="AN160" s="2">
        <f t="shared" si="1432"/>
        <v>0.93845733041575496</v>
      </c>
      <c r="AO160" s="2">
        <f t="shared" ref="AO160:AQ160" si="1433">E160/Z160</f>
        <v>0.19542362399505256</v>
      </c>
      <c r="AP160" s="2">
        <f t="shared" si="1433"/>
        <v>0.22020598332515939</v>
      </c>
      <c r="AQ160" s="2">
        <f t="shared" si="1433"/>
        <v>0.20924507658643327</v>
      </c>
      <c r="AR160" s="2">
        <f t="shared" si="11"/>
        <v>5.0092764378478663E-2</v>
      </c>
      <c r="AS160" s="2">
        <f t="shared" ref="AS160:AT160" si="1434">R160/AA160</f>
        <v>3.9725355566454144E-2</v>
      </c>
      <c r="AT160" s="2">
        <f t="shared" si="1434"/>
        <v>3.4463894967177243E-2</v>
      </c>
      <c r="AU160" s="2">
        <f t="shared" ref="AU160:AW160" si="1435">T160/W160</f>
        <v>1.8810679611650484E-2</v>
      </c>
      <c r="AV160" s="2">
        <f t="shared" si="1309"/>
        <v>1.4499758337361043E-2</v>
      </c>
      <c r="AW160" s="2">
        <f t="shared" si="1309"/>
        <v>1.6411084207694378E-2</v>
      </c>
    </row>
    <row r="161" spans="1:49" ht="13" x14ac:dyDescent="0.15">
      <c r="A161" s="1">
        <v>2023</v>
      </c>
      <c r="B161" s="1" t="s">
        <v>49</v>
      </c>
      <c r="C161" s="1" t="s">
        <v>54</v>
      </c>
      <c r="D161" s="1" t="s">
        <v>104</v>
      </c>
      <c r="E161" s="1">
        <v>862</v>
      </c>
      <c r="F161" s="1">
        <v>863</v>
      </c>
      <c r="G161" s="1">
        <v>1725</v>
      </c>
      <c r="H161" s="1">
        <v>1598</v>
      </c>
      <c r="I161" s="1">
        <v>2054</v>
      </c>
      <c r="J161" s="1">
        <v>3652</v>
      </c>
      <c r="K161" s="1">
        <v>314</v>
      </c>
      <c r="L161" s="1">
        <v>352</v>
      </c>
      <c r="M161" s="1">
        <v>666</v>
      </c>
      <c r="N161" s="1">
        <v>109</v>
      </c>
      <c r="O161" s="1">
        <v>95</v>
      </c>
      <c r="P161" s="1">
        <v>204</v>
      </c>
      <c r="Q161" s="1">
        <v>68</v>
      </c>
      <c r="R161" s="1">
        <v>54</v>
      </c>
      <c r="S161" s="1">
        <v>122</v>
      </c>
      <c r="T161" s="1">
        <v>41</v>
      </c>
      <c r="U161" s="1">
        <v>39</v>
      </c>
      <c r="V161" s="1">
        <v>80</v>
      </c>
      <c r="W161" s="1">
        <f t="shared" ref="W161:X161" si="1436">SUM(E161,H161,K161,N161,Q161,T161)</f>
        <v>2992</v>
      </c>
      <c r="X161" s="1">
        <f t="shared" si="1436"/>
        <v>3457</v>
      </c>
      <c r="Y161" s="1">
        <f t="shared" si="1"/>
        <v>6449</v>
      </c>
      <c r="Z161" s="1">
        <f t="shared" ref="Z161:AA161" si="1437">W161-T161</f>
        <v>2951</v>
      </c>
      <c r="AA161" s="1">
        <f t="shared" si="1437"/>
        <v>3418</v>
      </c>
      <c r="AB161" s="1">
        <f t="shared" si="3"/>
        <v>6369</v>
      </c>
      <c r="AC161" s="1">
        <f t="shared" ref="AC161:AD161" si="1438">SUM(E161,H161,K161,N161)</f>
        <v>2883</v>
      </c>
      <c r="AD161" s="1">
        <f t="shared" si="1438"/>
        <v>3364</v>
      </c>
      <c r="AE161" s="1">
        <f t="shared" si="5"/>
        <v>6247</v>
      </c>
      <c r="AF161" s="2">
        <f t="shared" ref="AF161:AH161" si="1439">AC161/Z161</f>
        <v>0.97695696374110474</v>
      </c>
      <c r="AG161" s="2">
        <f t="shared" si="1439"/>
        <v>0.9842012873025161</v>
      </c>
      <c r="AH161" s="2">
        <f t="shared" si="1439"/>
        <v>0.98084471659601191</v>
      </c>
      <c r="AI161" s="1">
        <f t="shared" ref="AI161:AJ161" si="1440">SUM(E161,H161,K161)</f>
        <v>2774</v>
      </c>
      <c r="AJ161" s="1">
        <f t="shared" si="1440"/>
        <v>3269</v>
      </c>
      <c r="AK161" s="1">
        <f t="shared" si="8"/>
        <v>6043</v>
      </c>
      <c r="AL161" s="2">
        <f t="shared" ref="AL161:AN161" si="1441">AI161/Z161</f>
        <v>0.9400203320908167</v>
      </c>
      <c r="AM161" s="2">
        <f t="shared" si="1441"/>
        <v>0.95640725570509066</v>
      </c>
      <c r="AN161" s="2">
        <f t="shared" si="1441"/>
        <v>0.94881457057622864</v>
      </c>
      <c r="AO161" s="2">
        <f t="shared" ref="AO161:AQ161" si="1442">E161/Z161</f>
        <v>0.29210437139952561</v>
      </c>
      <c r="AP161" s="2">
        <f t="shared" si="1442"/>
        <v>0.25248683440608544</v>
      </c>
      <c r="AQ161" s="2">
        <f t="shared" si="1442"/>
        <v>0.27084314649081487</v>
      </c>
      <c r="AR161" s="2">
        <f t="shared" si="11"/>
        <v>1.8298881735005084E-2</v>
      </c>
      <c r="AS161" s="2">
        <f t="shared" ref="AS161:AT161" si="1443">R161/AA161</f>
        <v>1.579871269748391E-2</v>
      </c>
      <c r="AT161" s="2">
        <f t="shared" si="1443"/>
        <v>1.9155283403988067E-2</v>
      </c>
      <c r="AU161" s="2">
        <f t="shared" ref="AU161:AW161" si="1444">T161/W161</f>
        <v>1.3703208556149732E-2</v>
      </c>
      <c r="AV161" s="2">
        <f t="shared" si="1309"/>
        <v>1.1281457911483946E-2</v>
      </c>
      <c r="AW161" s="2">
        <f t="shared" si="1309"/>
        <v>1.2405024034734067E-2</v>
      </c>
    </row>
    <row r="162" spans="1:49" ht="13" x14ac:dyDescent="0.15">
      <c r="A162" s="1">
        <v>2023</v>
      </c>
      <c r="B162" s="1" t="s">
        <v>49</v>
      </c>
      <c r="C162" s="1" t="s">
        <v>70</v>
      </c>
      <c r="D162" s="1" t="s">
        <v>105</v>
      </c>
      <c r="E162" s="1">
        <v>263</v>
      </c>
      <c r="F162" s="1">
        <v>153</v>
      </c>
      <c r="G162" s="1">
        <v>416</v>
      </c>
      <c r="H162" s="1">
        <v>1600</v>
      </c>
      <c r="I162" s="1">
        <v>1720</v>
      </c>
      <c r="J162" s="1">
        <v>3320</v>
      </c>
      <c r="K162" s="1">
        <v>761</v>
      </c>
      <c r="L162" s="1">
        <v>1024</v>
      </c>
      <c r="M162" s="1">
        <v>1785</v>
      </c>
      <c r="N162" s="1">
        <v>320</v>
      </c>
      <c r="O162" s="1">
        <v>372</v>
      </c>
      <c r="P162" s="1">
        <v>692</v>
      </c>
      <c r="Q162" s="1">
        <v>343</v>
      </c>
      <c r="R162" s="1">
        <v>486</v>
      </c>
      <c r="S162" s="1">
        <v>829</v>
      </c>
      <c r="T162" s="1">
        <v>41</v>
      </c>
      <c r="U162" s="1">
        <v>46</v>
      </c>
      <c r="V162" s="1">
        <v>87</v>
      </c>
      <c r="W162" s="1">
        <f t="shared" ref="W162:X162" si="1445">SUM(E162,H162,K162,N162,Q162,T162)</f>
        <v>3328</v>
      </c>
      <c r="X162" s="1">
        <f t="shared" si="1445"/>
        <v>3801</v>
      </c>
      <c r="Y162" s="1">
        <f t="shared" si="1"/>
        <v>7129</v>
      </c>
      <c r="Z162" s="1">
        <f t="shared" ref="Z162:AA162" si="1446">W162-T162</f>
        <v>3287</v>
      </c>
      <c r="AA162" s="1">
        <f t="shared" si="1446"/>
        <v>3755</v>
      </c>
      <c r="AB162" s="1">
        <f t="shared" si="3"/>
        <v>7042</v>
      </c>
      <c r="AC162" s="1">
        <f t="shared" ref="AC162:AD162" si="1447">SUM(E162,H162,K162,N162)</f>
        <v>2944</v>
      </c>
      <c r="AD162" s="1">
        <f t="shared" si="1447"/>
        <v>3269</v>
      </c>
      <c r="AE162" s="1">
        <f t="shared" si="5"/>
        <v>6213</v>
      </c>
      <c r="AF162" s="2">
        <f t="shared" ref="AF162:AH162" si="1448">AC162/Z162</f>
        <v>0.89564952844539092</v>
      </c>
      <c r="AG162" s="2">
        <f t="shared" si="1448"/>
        <v>0.87057256990679099</v>
      </c>
      <c r="AH162" s="2">
        <f t="shared" si="1448"/>
        <v>0.88227776199943198</v>
      </c>
      <c r="AI162" s="1">
        <f t="shared" ref="AI162:AJ162" si="1449">SUM(E162,H162,K162)</f>
        <v>2624</v>
      </c>
      <c r="AJ162" s="1">
        <f t="shared" si="1449"/>
        <v>2897</v>
      </c>
      <c r="AK162" s="1">
        <f t="shared" si="8"/>
        <v>5521</v>
      </c>
      <c r="AL162" s="2">
        <f t="shared" ref="AL162:AN162" si="1450">AI162/Z162</f>
        <v>0.79829631883176144</v>
      </c>
      <c r="AM162" s="2">
        <f t="shared" si="1450"/>
        <v>0.7715046604527297</v>
      </c>
      <c r="AN162" s="2">
        <f t="shared" si="1450"/>
        <v>0.78401022436807721</v>
      </c>
      <c r="AO162" s="2">
        <f t="shared" ref="AO162:AQ162" si="1451">E162/Z162</f>
        <v>8.0012169151201698E-2</v>
      </c>
      <c r="AP162" s="2">
        <f t="shared" si="1451"/>
        <v>4.0745672436751E-2</v>
      </c>
      <c r="AQ162" s="2">
        <f t="shared" si="1451"/>
        <v>5.9074126668560066E-2</v>
      </c>
      <c r="AR162" s="2">
        <f t="shared" si="11"/>
        <v>0.14785518710069973</v>
      </c>
      <c r="AS162" s="2">
        <f t="shared" ref="AS162:AT162" si="1452">R162/AA162</f>
        <v>0.12942743009320906</v>
      </c>
      <c r="AT162" s="2">
        <f t="shared" si="1452"/>
        <v>0.11772223800056802</v>
      </c>
      <c r="AU162" s="2">
        <f t="shared" ref="AU162:AW177" si="1453">T162/W162</f>
        <v>1.2319711538461538E-2</v>
      </c>
      <c r="AV162" s="2">
        <f t="shared" si="1453"/>
        <v>1.2102078400420942E-2</v>
      </c>
      <c r="AW162" s="2">
        <f t="shared" si="1453"/>
        <v>1.2203675129751719E-2</v>
      </c>
    </row>
    <row r="163" spans="1:49" ht="13" x14ac:dyDescent="0.15">
      <c r="A163" s="1">
        <v>2023</v>
      </c>
      <c r="B163" s="1" t="s">
        <v>49</v>
      </c>
      <c r="C163" s="1" t="s">
        <v>70</v>
      </c>
      <c r="D163" s="1" t="s">
        <v>106</v>
      </c>
      <c r="E163" s="1">
        <v>81</v>
      </c>
      <c r="F163" s="1">
        <v>43</v>
      </c>
      <c r="G163" s="1">
        <v>124</v>
      </c>
      <c r="H163" s="1">
        <v>921</v>
      </c>
      <c r="I163" s="1">
        <v>838</v>
      </c>
      <c r="J163" s="1">
        <v>1759</v>
      </c>
      <c r="K163" s="1">
        <v>667</v>
      </c>
      <c r="L163" s="1">
        <v>717</v>
      </c>
      <c r="M163" s="1">
        <v>1384</v>
      </c>
      <c r="N163" s="1">
        <v>279</v>
      </c>
      <c r="O163" s="1">
        <v>421</v>
      </c>
      <c r="P163" s="1">
        <v>700</v>
      </c>
      <c r="Q163" s="1">
        <v>434</v>
      </c>
      <c r="R163" s="1">
        <v>606</v>
      </c>
      <c r="S163" s="1">
        <v>1040</v>
      </c>
      <c r="T163" s="1">
        <v>81</v>
      </c>
      <c r="U163" s="1">
        <v>93</v>
      </c>
      <c r="V163" s="1">
        <v>174</v>
      </c>
      <c r="W163" s="1">
        <f t="shared" ref="W163:X163" si="1454">SUM(E163,H163,K163,N163,Q163,T163)</f>
        <v>2463</v>
      </c>
      <c r="X163" s="1">
        <f t="shared" si="1454"/>
        <v>2718</v>
      </c>
      <c r="Y163" s="1">
        <f t="shared" si="1"/>
        <v>5181</v>
      </c>
      <c r="Z163" s="1">
        <f t="shared" ref="Z163:AA163" si="1455">W163-T163</f>
        <v>2382</v>
      </c>
      <c r="AA163" s="1">
        <f t="shared" si="1455"/>
        <v>2625</v>
      </c>
      <c r="AB163" s="1">
        <f t="shared" si="3"/>
        <v>5007</v>
      </c>
      <c r="AC163" s="1">
        <f t="shared" ref="AC163:AD163" si="1456">SUM(E163,H163,K163,N163)</f>
        <v>1948</v>
      </c>
      <c r="AD163" s="1">
        <f t="shared" si="1456"/>
        <v>2019</v>
      </c>
      <c r="AE163" s="1">
        <f t="shared" si="5"/>
        <v>3967</v>
      </c>
      <c r="AF163" s="2">
        <f t="shared" ref="AF163:AH163" si="1457">AC163/Z163</f>
        <v>0.81780016792611254</v>
      </c>
      <c r="AG163" s="2">
        <f t="shared" si="1457"/>
        <v>0.76914285714285713</v>
      </c>
      <c r="AH163" s="2">
        <f t="shared" si="1457"/>
        <v>0.79229079288995408</v>
      </c>
      <c r="AI163" s="1">
        <f t="shared" ref="AI163:AJ163" si="1458">SUM(E163,H163,K163)</f>
        <v>1669</v>
      </c>
      <c r="AJ163" s="1">
        <f t="shared" si="1458"/>
        <v>1598</v>
      </c>
      <c r="AK163" s="1">
        <f t="shared" si="8"/>
        <v>3267</v>
      </c>
      <c r="AL163" s="2">
        <f t="shared" ref="AL163:AN163" si="1459">AI163/Z163</f>
        <v>0.70067170445004201</v>
      </c>
      <c r="AM163" s="2">
        <f t="shared" si="1459"/>
        <v>0.60876190476190473</v>
      </c>
      <c r="AN163" s="2">
        <f t="shared" si="1459"/>
        <v>0.652486518873577</v>
      </c>
      <c r="AO163" s="2">
        <f t="shared" ref="AO163:AQ163" si="1460">E163/Z163</f>
        <v>3.4005037783375318E-2</v>
      </c>
      <c r="AP163" s="2">
        <f t="shared" si="1460"/>
        <v>1.6380952380952381E-2</v>
      </c>
      <c r="AQ163" s="2">
        <f t="shared" si="1460"/>
        <v>2.476532854004394E-2</v>
      </c>
      <c r="AR163" s="2">
        <f t="shared" si="11"/>
        <v>0.25440806045340053</v>
      </c>
      <c r="AS163" s="2">
        <f t="shared" ref="AS163:AT163" si="1461">R163/AA163</f>
        <v>0.23085714285714284</v>
      </c>
      <c r="AT163" s="2">
        <f t="shared" si="1461"/>
        <v>0.20770920711004592</v>
      </c>
      <c r="AU163" s="2">
        <f t="shared" ref="AU163:AW163" si="1462">T163/W163</f>
        <v>3.2886723507917173E-2</v>
      </c>
      <c r="AV163" s="2">
        <f t="shared" si="1453"/>
        <v>3.4216335540838853E-2</v>
      </c>
      <c r="AW163" s="2">
        <f t="shared" si="1453"/>
        <v>3.35842501447597E-2</v>
      </c>
    </row>
    <row r="164" spans="1:49" ht="13" x14ac:dyDescent="0.15">
      <c r="A164" s="1">
        <v>2023</v>
      </c>
      <c r="B164" s="1" t="s">
        <v>49</v>
      </c>
      <c r="C164" s="1" t="s">
        <v>50</v>
      </c>
      <c r="D164" s="1" t="s">
        <v>107</v>
      </c>
      <c r="E164" s="1">
        <v>124</v>
      </c>
      <c r="F164" s="1">
        <v>169</v>
      </c>
      <c r="G164" s="1">
        <v>293</v>
      </c>
      <c r="H164" s="1">
        <v>939</v>
      </c>
      <c r="I164" s="1">
        <v>1105</v>
      </c>
      <c r="J164" s="1">
        <v>2044</v>
      </c>
      <c r="K164" s="1">
        <v>304</v>
      </c>
      <c r="L164" s="1">
        <v>375</v>
      </c>
      <c r="M164" s="1">
        <v>679</v>
      </c>
      <c r="N164" s="1">
        <v>152</v>
      </c>
      <c r="O164" s="1">
        <v>187</v>
      </c>
      <c r="P164" s="1">
        <v>339</v>
      </c>
      <c r="Q164" s="1">
        <v>126</v>
      </c>
      <c r="R164" s="1">
        <v>161</v>
      </c>
      <c r="S164" s="1">
        <v>287</v>
      </c>
      <c r="T164" s="1">
        <v>46</v>
      </c>
      <c r="U164" s="1">
        <v>45</v>
      </c>
      <c r="V164" s="1">
        <v>91</v>
      </c>
      <c r="W164" s="1">
        <f t="shared" ref="W164:X164" si="1463">SUM(E164,H164,K164,N164,Q164,T164)</f>
        <v>1691</v>
      </c>
      <c r="X164" s="1">
        <f t="shared" si="1463"/>
        <v>2042</v>
      </c>
      <c r="Y164" s="1">
        <f t="shared" si="1"/>
        <v>3733</v>
      </c>
      <c r="Z164" s="1">
        <f t="shared" ref="Z164:AA164" si="1464">W164-T164</f>
        <v>1645</v>
      </c>
      <c r="AA164" s="1">
        <f t="shared" si="1464"/>
        <v>1997</v>
      </c>
      <c r="AB164" s="1">
        <f t="shared" si="3"/>
        <v>3642</v>
      </c>
      <c r="AC164" s="1">
        <f t="shared" ref="AC164:AD164" si="1465">SUM(E164,H164,K164,N164)</f>
        <v>1519</v>
      </c>
      <c r="AD164" s="1">
        <f t="shared" si="1465"/>
        <v>1836</v>
      </c>
      <c r="AE164" s="1">
        <f t="shared" si="5"/>
        <v>3355</v>
      </c>
      <c r="AF164" s="2">
        <f t="shared" ref="AF164:AH164" si="1466">AC164/Z164</f>
        <v>0.92340425531914894</v>
      </c>
      <c r="AG164" s="2">
        <f t="shared" si="1466"/>
        <v>0.9193790686029043</v>
      </c>
      <c r="AH164" s="2">
        <f t="shared" si="1466"/>
        <v>0.92119714442613954</v>
      </c>
      <c r="AI164" s="1">
        <f t="shared" ref="AI164:AJ164" si="1467">SUM(E164,H164,K164)</f>
        <v>1367</v>
      </c>
      <c r="AJ164" s="1">
        <f t="shared" si="1467"/>
        <v>1649</v>
      </c>
      <c r="AK164" s="1">
        <f t="shared" si="8"/>
        <v>3016</v>
      </c>
      <c r="AL164" s="2">
        <f t="shared" ref="AL164:AN164" si="1468">AI164/Z164</f>
        <v>0.83100303951367782</v>
      </c>
      <c r="AM164" s="2">
        <f t="shared" si="1468"/>
        <v>0.82573860791186782</v>
      </c>
      <c r="AN164" s="2">
        <f t="shared" si="1468"/>
        <v>0.82811641954969795</v>
      </c>
      <c r="AO164" s="2">
        <f t="shared" ref="AO164:AQ164" si="1469">E164/Z164</f>
        <v>7.5379939209726438E-2</v>
      </c>
      <c r="AP164" s="2">
        <f t="shared" si="1469"/>
        <v>8.4626940410615928E-2</v>
      </c>
      <c r="AQ164" s="2">
        <f t="shared" si="1469"/>
        <v>8.0450302031850635E-2</v>
      </c>
      <c r="AR164" s="2">
        <f t="shared" si="11"/>
        <v>9.7872340425531917E-2</v>
      </c>
      <c r="AS164" s="2">
        <f t="shared" ref="AS164:AT164" si="1470">R164/AA164</f>
        <v>8.0620931397095641E-2</v>
      </c>
      <c r="AT164" s="2">
        <f t="shared" si="1470"/>
        <v>7.880285557386052E-2</v>
      </c>
      <c r="AU164" s="2">
        <f t="shared" ref="AU164:AW164" si="1471">T164/W164</f>
        <v>2.7202838557066823E-2</v>
      </c>
      <c r="AV164" s="2">
        <f t="shared" si="1453"/>
        <v>2.2037218413320275E-2</v>
      </c>
      <c r="AW164" s="2">
        <f t="shared" si="1453"/>
        <v>2.4377176533619073E-2</v>
      </c>
    </row>
    <row r="165" spans="1:49" ht="13" x14ac:dyDescent="0.15">
      <c r="A165" s="1">
        <v>2023</v>
      </c>
      <c r="B165" s="1" t="s">
        <v>49</v>
      </c>
      <c r="C165" s="1" t="s">
        <v>70</v>
      </c>
      <c r="D165" s="1" t="s">
        <v>108</v>
      </c>
      <c r="E165" s="1">
        <v>28</v>
      </c>
      <c r="F165" s="1">
        <v>11</v>
      </c>
      <c r="G165" s="1">
        <v>39</v>
      </c>
      <c r="H165" s="1">
        <v>407</v>
      </c>
      <c r="I165" s="1">
        <v>292</v>
      </c>
      <c r="J165" s="1">
        <v>699</v>
      </c>
      <c r="K165" s="1">
        <v>348</v>
      </c>
      <c r="L165" s="1">
        <v>395</v>
      </c>
      <c r="M165" s="1">
        <v>743</v>
      </c>
      <c r="N165" s="1">
        <v>190</v>
      </c>
      <c r="O165" s="1">
        <v>191</v>
      </c>
      <c r="P165" s="1">
        <v>381</v>
      </c>
      <c r="Q165" s="1">
        <v>267</v>
      </c>
      <c r="R165" s="1">
        <v>319</v>
      </c>
      <c r="S165" s="1">
        <v>586</v>
      </c>
      <c r="T165" s="1">
        <v>17</v>
      </c>
      <c r="U165" s="1">
        <v>23</v>
      </c>
      <c r="V165" s="1">
        <v>40</v>
      </c>
      <c r="W165" s="1">
        <f t="shared" ref="W165:X165" si="1472">SUM(E165,H165,K165,N165,Q165,T165)</f>
        <v>1257</v>
      </c>
      <c r="X165" s="1">
        <f t="shared" si="1472"/>
        <v>1231</v>
      </c>
      <c r="Y165" s="1">
        <f t="shared" si="1"/>
        <v>2488</v>
      </c>
      <c r="Z165" s="1">
        <f t="shared" ref="Z165:AA165" si="1473">W165-T165</f>
        <v>1240</v>
      </c>
      <c r="AA165" s="1">
        <f t="shared" si="1473"/>
        <v>1208</v>
      </c>
      <c r="AB165" s="1">
        <f t="shared" si="3"/>
        <v>2448</v>
      </c>
      <c r="AC165" s="1">
        <f t="shared" ref="AC165:AD165" si="1474">SUM(E165,H165,K165,N165)</f>
        <v>973</v>
      </c>
      <c r="AD165" s="1">
        <f t="shared" si="1474"/>
        <v>889</v>
      </c>
      <c r="AE165" s="1">
        <f t="shared" si="5"/>
        <v>1862</v>
      </c>
      <c r="AF165" s="2">
        <f t="shared" ref="AF165:AH165" si="1475">AC165/Z165</f>
        <v>0.7846774193548387</v>
      </c>
      <c r="AG165" s="2">
        <f t="shared" si="1475"/>
        <v>0.73592715231788075</v>
      </c>
      <c r="AH165" s="2">
        <f t="shared" si="1475"/>
        <v>0.7606209150326797</v>
      </c>
      <c r="AI165" s="1">
        <f t="shared" ref="AI165:AJ165" si="1476">SUM(E165,H165,K165)</f>
        <v>783</v>
      </c>
      <c r="AJ165" s="1">
        <f t="shared" si="1476"/>
        <v>698</v>
      </c>
      <c r="AK165" s="1">
        <f t="shared" si="8"/>
        <v>1481</v>
      </c>
      <c r="AL165" s="2">
        <f t="shared" ref="AL165:AN165" si="1477">AI165/Z165</f>
        <v>0.63145161290322582</v>
      </c>
      <c r="AM165" s="2">
        <f t="shared" si="1477"/>
        <v>0.57781456953642385</v>
      </c>
      <c r="AN165" s="2">
        <f t="shared" si="1477"/>
        <v>0.60498366013071891</v>
      </c>
      <c r="AO165" s="2">
        <f t="shared" ref="AO165:AQ165" si="1478">E165/Z165</f>
        <v>2.2580645161290321E-2</v>
      </c>
      <c r="AP165" s="2">
        <f t="shared" si="1478"/>
        <v>9.1059602649006619E-3</v>
      </c>
      <c r="AQ165" s="2">
        <f t="shared" si="1478"/>
        <v>1.5931372549019607E-2</v>
      </c>
      <c r="AR165" s="2">
        <f t="shared" si="11"/>
        <v>0.25725806451612904</v>
      </c>
      <c r="AS165" s="2">
        <f t="shared" ref="AS165:AT165" si="1479">R165/AA165</f>
        <v>0.26407284768211919</v>
      </c>
      <c r="AT165" s="2">
        <f t="shared" si="1479"/>
        <v>0.23937908496732027</v>
      </c>
      <c r="AU165" s="2">
        <f t="shared" ref="AU165:AW165" si="1480">T165/W165</f>
        <v>1.3524264120922832E-2</v>
      </c>
      <c r="AV165" s="2">
        <f t="shared" si="1453"/>
        <v>1.868399675060926E-2</v>
      </c>
      <c r="AW165" s="2">
        <f t="shared" si="1453"/>
        <v>1.607717041800643E-2</v>
      </c>
    </row>
    <row r="166" spans="1:49" ht="13" x14ac:dyDescent="0.15">
      <c r="A166" s="1">
        <v>2023</v>
      </c>
      <c r="B166" s="1" t="s">
        <v>49</v>
      </c>
      <c r="C166" s="1" t="s">
        <v>93</v>
      </c>
      <c r="D166" s="1" t="s">
        <v>109</v>
      </c>
      <c r="E166" s="1">
        <v>16</v>
      </c>
      <c r="F166" s="1">
        <v>3</v>
      </c>
      <c r="G166" s="1">
        <v>19</v>
      </c>
      <c r="H166" s="1">
        <v>177</v>
      </c>
      <c r="I166" s="1">
        <v>103</v>
      </c>
      <c r="J166" s="1">
        <v>280</v>
      </c>
      <c r="K166" s="1">
        <v>92</v>
      </c>
      <c r="L166" s="1">
        <v>77</v>
      </c>
      <c r="M166" s="1">
        <v>169</v>
      </c>
      <c r="N166" s="1">
        <v>25</v>
      </c>
      <c r="O166" s="1">
        <v>30</v>
      </c>
      <c r="P166" s="1">
        <v>55</v>
      </c>
      <c r="Q166" s="1">
        <v>29</v>
      </c>
      <c r="R166" s="1">
        <v>35</v>
      </c>
      <c r="S166" s="1">
        <v>64</v>
      </c>
      <c r="T166" s="1">
        <v>1</v>
      </c>
      <c r="U166" s="1">
        <v>8</v>
      </c>
      <c r="V166" s="1">
        <v>9</v>
      </c>
      <c r="W166" s="1">
        <f t="shared" ref="W166:X166" si="1481">SUM(E166,H166,K166,N166,Q166,T166)</f>
        <v>340</v>
      </c>
      <c r="X166" s="1">
        <f t="shared" si="1481"/>
        <v>256</v>
      </c>
      <c r="Y166" s="1">
        <f t="shared" si="1"/>
        <v>596</v>
      </c>
      <c r="Z166" s="1">
        <f t="shared" ref="Z166:AA166" si="1482">W166-T166</f>
        <v>339</v>
      </c>
      <c r="AA166" s="1">
        <f t="shared" si="1482"/>
        <v>248</v>
      </c>
      <c r="AB166" s="1">
        <f t="shared" si="3"/>
        <v>587</v>
      </c>
      <c r="AC166" s="1">
        <f t="shared" ref="AC166:AD166" si="1483">SUM(E166,H166,K166,N166)</f>
        <v>310</v>
      </c>
      <c r="AD166" s="1">
        <f t="shared" si="1483"/>
        <v>213</v>
      </c>
      <c r="AE166" s="1">
        <f t="shared" si="5"/>
        <v>523</v>
      </c>
      <c r="AF166" s="2">
        <f t="shared" ref="AF166:AH166" si="1484">AC166/Z166</f>
        <v>0.91445427728613571</v>
      </c>
      <c r="AG166" s="2">
        <f t="shared" si="1484"/>
        <v>0.8588709677419355</v>
      </c>
      <c r="AH166" s="2">
        <f t="shared" si="1484"/>
        <v>0.89097103918228282</v>
      </c>
      <c r="AI166" s="1">
        <f t="shared" ref="AI166:AJ166" si="1485">SUM(E166,H166,K166)</f>
        <v>285</v>
      </c>
      <c r="AJ166" s="1">
        <f t="shared" si="1485"/>
        <v>183</v>
      </c>
      <c r="AK166" s="1">
        <f t="shared" si="8"/>
        <v>468</v>
      </c>
      <c r="AL166" s="2">
        <f t="shared" ref="AL166:AN166" si="1486">AI166/Z166</f>
        <v>0.84070796460176989</v>
      </c>
      <c r="AM166" s="2">
        <f t="shared" si="1486"/>
        <v>0.73790322580645162</v>
      </c>
      <c r="AN166" s="2">
        <f t="shared" si="1486"/>
        <v>0.79727427597955702</v>
      </c>
      <c r="AO166" s="2">
        <f t="shared" ref="AO166:AQ166" si="1487">E166/Z166</f>
        <v>4.71976401179941E-2</v>
      </c>
      <c r="AP166" s="2">
        <f t="shared" si="1487"/>
        <v>1.2096774193548387E-2</v>
      </c>
      <c r="AQ166" s="2">
        <f t="shared" si="1487"/>
        <v>3.2367972742759793E-2</v>
      </c>
      <c r="AR166" s="2">
        <f t="shared" si="11"/>
        <v>0.10324483775811209</v>
      </c>
      <c r="AS166" s="2">
        <f t="shared" ref="AS166:AT166" si="1488">R166/AA166</f>
        <v>0.14112903225806453</v>
      </c>
      <c r="AT166" s="2">
        <f t="shared" si="1488"/>
        <v>0.10902896081771721</v>
      </c>
      <c r="AU166" s="2">
        <f t="shared" ref="AU166:AW166" si="1489">T166/W166</f>
        <v>2.9411764705882353E-3</v>
      </c>
      <c r="AV166" s="2">
        <f t="shared" si="1453"/>
        <v>3.125E-2</v>
      </c>
      <c r="AW166" s="2">
        <f t="shared" si="1453"/>
        <v>1.5100671140939598E-2</v>
      </c>
    </row>
    <row r="167" spans="1:49" ht="13" x14ac:dyDescent="0.15">
      <c r="A167" s="1">
        <v>2023</v>
      </c>
      <c r="B167" s="1" t="s">
        <v>49</v>
      </c>
      <c r="C167" s="1" t="s">
        <v>89</v>
      </c>
      <c r="D167" s="1" t="s">
        <v>110</v>
      </c>
      <c r="E167" s="1">
        <v>153</v>
      </c>
      <c r="F167" s="1">
        <v>139</v>
      </c>
      <c r="G167" s="1">
        <v>292</v>
      </c>
      <c r="H167" s="1">
        <v>1088</v>
      </c>
      <c r="I167" s="1">
        <v>1102</v>
      </c>
      <c r="J167" s="1">
        <v>2190</v>
      </c>
      <c r="K167" s="1">
        <v>568</v>
      </c>
      <c r="L167" s="1">
        <v>666</v>
      </c>
      <c r="M167" s="1">
        <v>1234</v>
      </c>
      <c r="N167" s="1">
        <v>245</v>
      </c>
      <c r="O167" s="1">
        <v>318</v>
      </c>
      <c r="P167" s="1">
        <v>563</v>
      </c>
      <c r="Q167" s="1">
        <v>284</v>
      </c>
      <c r="R167" s="1">
        <v>364</v>
      </c>
      <c r="S167" s="1">
        <v>648</v>
      </c>
      <c r="T167" s="1">
        <v>38</v>
      </c>
      <c r="U167" s="1">
        <v>37</v>
      </c>
      <c r="V167" s="1">
        <v>75</v>
      </c>
      <c r="W167" s="1">
        <f t="shared" ref="W167:X167" si="1490">SUM(E167,H167,K167,N167,Q167,T167)</f>
        <v>2376</v>
      </c>
      <c r="X167" s="1">
        <f t="shared" si="1490"/>
        <v>2626</v>
      </c>
      <c r="Y167" s="1">
        <f t="shared" si="1"/>
        <v>5002</v>
      </c>
      <c r="Z167" s="1">
        <f t="shared" ref="Z167:AA167" si="1491">W167-T167</f>
        <v>2338</v>
      </c>
      <c r="AA167" s="1">
        <f t="shared" si="1491"/>
        <v>2589</v>
      </c>
      <c r="AB167" s="1">
        <f t="shared" si="3"/>
        <v>4927</v>
      </c>
      <c r="AC167" s="1">
        <f t="shared" ref="AC167:AD167" si="1492">SUM(E167,H167,K167,N167)</f>
        <v>2054</v>
      </c>
      <c r="AD167" s="1">
        <f t="shared" si="1492"/>
        <v>2225</v>
      </c>
      <c r="AE167" s="1">
        <f t="shared" si="5"/>
        <v>4279</v>
      </c>
      <c r="AF167" s="2">
        <f t="shared" ref="AF167:AH167" si="1493">AC167/Z167</f>
        <v>0.87852865697177074</v>
      </c>
      <c r="AG167" s="2">
        <f t="shared" si="1493"/>
        <v>0.85940517574353037</v>
      </c>
      <c r="AH167" s="2">
        <f t="shared" si="1493"/>
        <v>0.8684798051552669</v>
      </c>
      <c r="AI167" s="1">
        <f t="shared" ref="AI167:AJ167" si="1494">SUM(E167,H167,K167)</f>
        <v>1809</v>
      </c>
      <c r="AJ167" s="1">
        <f t="shared" si="1494"/>
        <v>1907</v>
      </c>
      <c r="AK167" s="1">
        <f t="shared" si="8"/>
        <v>3716</v>
      </c>
      <c r="AL167" s="2">
        <f t="shared" ref="AL167:AN167" si="1495">AI167/Z167</f>
        <v>0.7737382378100941</v>
      </c>
      <c r="AM167" s="2">
        <f t="shared" si="1495"/>
        <v>0.73657782927771343</v>
      </c>
      <c r="AN167" s="2">
        <f t="shared" si="1495"/>
        <v>0.75421148772072255</v>
      </c>
      <c r="AO167" s="2">
        <f t="shared" ref="AO167:AQ167" si="1496">E167/Z167</f>
        <v>6.5440547476475625E-2</v>
      </c>
      <c r="AP167" s="2">
        <f t="shared" si="1496"/>
        <v>5.368868288914639E-2</v>
      </c>
      <c r="AQ167" s="2">
        <f t="shared" si="1496"/>
        <v>5.9265272985589611E-2</v>
      </c>
      <c r="AR167" s="2">
        <f t="shared" si="11"/>
        <v>0.15568862275449102</v>
      </c>
      <c r="AS167" s="2">
        <f t="shared" ref="AS167:AT167" si="1497">R167/AA167</f>
        <v>0.14059482425646969</v>
      </c>
      <c r="AT167" s="2">
        <f t="shared" si="1497"/>
        <v>0.1315201948447331</v>
      </c>
      <c r="AU167" s="2">
        <f t="shared" ref="AU167:AW167" si="1498">T167/W167</f>
        <v>1.5993265993265993E-2</v>
      </c>
      <c r="AV167" s="2">
        <f t="shared" si="1453"/>
        <v>1.408987052551409E-2</v>
      </c>
      <c r="AW167" s="2">
        <f t="shared" si="1453"/>
        <v>1.4994002399040383E-2</v>
      </c>
    </row>
    <row r="168" spans="1:49" ht="13" x14ac:dyDescent="0.15">
      <c r="A168" s="1">
        <v>2023</v>
      </c>
      <c r="B168" s="1" t="s">
        <v>49</v>
      </c>
      <c r="C168" s="1" t="s">
        <v>80</v>
      </c>
      <c r="D168" s="1" t="s">
        <v>111</v>
      </c>
      <c r="E168" s="1">
        <v>125</v>
      </c>
      <c r="F168" s="1">
        <v>60</v>
      </c>
      <c r="G168" s="1">
        <v>185</v>
      </c>
      <c r="H168" s="1">
        <v>601</v>
      </c>
      <c r="I168" s="1">
        <v>415</v>
      </c>
      <c r="J168" s="1">
        <v>1016</v>
      </c>
      <c r="K168" s="1">
        <v>427</v>
      </c>
      <c r="L168" s="1">
        <v>393</v>
      </c>
      <c r="M168" s="1">
        <v>820</v>
      </c>
      <c r="N168" s="1">
        <v>255</v>
      </c>
      <c r="O168" s="1">
        <v>247</v>
      </c>
      <c r="P168" s="1">
        <v>502</v>
      </c>
      <c r="Q168" s="1">
        <v>501</v>
      </c>
      <c r="R168" s="1">
        <v>533</v>
      </c>
      <c r="S168" s="1">
        <v>1034</v>
      </c>
      <c r="T168" s="1">
        <v>15</v>
      </c>
      <c r="U168" s="1">
        <v>11</v>
      </c>
      <c r="V168" s="1">
        <v>26</v>
      </c>
      <c r="W168" s="1">
        <f t="shared" ref="W168:X168" si="1499">SUM(E168,H168,K168,N168,Q168,T168)</f>
        <v>1924</v>
      </c>
      <c r="X168" s="1">
        <f t="shared" si="1499"/>
        <v>1659</v>
      </c>
      <c r="Y168" s="1">
        <f t="shared" si="1"/>
        <v>3583</v>
      </c>
      <c r="Z168" s="1">
        <f t="shared" ref="Z168:AA168" si="1500">W168-T168</f>
        <v>1909</v>
      </c>
      <c r="AA168" s="1">
        <f t="shared" si="1500"/>
        <v>1648</v>
      </c>
      <c r="AB168" s="1">
        <f t="shared" si="3"/>
        <v>3557</v>
      </c>
      <c r="AC168" s="1">
        <f t="shared" ref="AC168:AD168" si="1501">SUM(E168,H168,K168,N168)</f>
        <v>1408</v>
      </c>
      <c r="AD168" s="1">
        <f t="shared" si="1501"/>
        <v>1115</v>
      </c>
      <c r="AE168" s="1">
        <f t="shared" si="5"/>
        <v>2523</v>
      </c>
      <c r="AF168" s="2">
        <f t="shared" ref="AF168:AH168" si="1502">AC168/Z168</f>
        <v>0.73755893137768469</v>
      </c>
      <c r="AG168" s="2">
        <f t="shared" si="1502"/>
        <v>0.67657766990291257</v>
      </c>
      <c r="AH168" s="2">
        <f t="shared" si="1502"/>
        <v>0.70930559460219289</v>
      </c>
      <c r="AI168" s="1">
        <f t="shared" ref="AI168:AJ168" si="1503">SUM(E168,H168,K168)</f>
        <v>1153</v>
      </c>
      <c r="AJ168" s="1">
        <f t="shared" si="1503"/>
        <v>868</v>
      </c>
      <c r="AK168" s="1">
        <f t="shared" si="8"/>
        <v>2021</v>
      </c>
      <c r="AL168" s="2">
        <f t="shared" ref="AL168:AN168" si="1504">AI168/Z168</f>
        <v>0.60398114195914088</v>
      </c>
      <c r="AM168" s="2">
        <f t="shared" si="1504"/>
        <v>0.52669902912621358</v>
      </c>
      <c r="AN168" s="2">
        <f t="shared" si="1504"/>
        <v>0.5681754287320776</v>
      </c>
      <c r="AO168" s="2">
        <f t="shared" ref="AO168:AQ168" si="1505">E168/Z168</f>
        <v>6.547930853850184E-2</v>
      </c>
      <c r="AP168" s="2">
        <f t="shared" si="1505"/>
        <v>3.640776699029126E-2</v>
      </c>
      <c r="AQ168" s="2">
        <f t="shared" si="1505"/>
        <v>5.2010120888389091E-2</v>
      </c>
      <c r="AR168" s="2">
        <f t="shared" si="11"/>
        <v>0.27920377160817184</v>
      </c>
      <c r="AS168" s="2">
        <f t="shared" ref="AS168:AT168" si="1506">R168/AA168</f>
        <v>0.32342233009708737</v>
      </c>
      <c r="AT168" s="2">
        <f t="shared" si="1506"/>
        <v>0.29069440539780717</v>
      </c>
      <c r="AU168" s="2">
        <f t="shared" ref="AU168:AW168" si="1507">T168/W168</f>
        <v>7.7962577962577967E-3</v>
      </c>
      <c r="AV168" s="2">
        <f t="shared" si="1453"/>
        <v>6.6305003013863778E-3</v>
      </c>
      <c r="AW168" s="2">
        <f t="shared" si="1453"/>
        <v>7.2564889757186718E-3</v>
      </c>
    </row>
    <row r="169" spans="1:49" ht="13" x14ac:dyDescent="0.15">
      <c r="A169" s="1">
        <v>2023</v>
      </c>
      <c r="B169" s="1" t="s">
        <v>49</v>
      </c>
      <c r="C169" s="1" t="s">
        <v>50</v>
      </c>
      <c r="D169" s="1" t="s">
        <v>112</v>
      </c>
      <c r="E169" s="1">
        <v>230</v>
      </c>
      <c r="F169" s="1">
        <v>211</v>
      </c>
      <c r="G169" s="1">
        <v>441</v>
      </c>
      <c r="H169" s="1">
        <v>1135</v>
      </c>
      <c r="I169" s="1">
        <v>1479</v>
      </c>
      <c r="J169" s="1">
        <v>2614</v>
      </c>
      <c r="K169" s="1">
        <v>368</v>
      </c>
      <c r="L169" s="1">
        <v>383</v>
      </c>
      <c r="M169" s="1">
        <v>751</v>
      </c>
      <c r="N169" s="1">
        <v>185</v>
      </c>
      <c r="O169" s="1">
        <v>189</v>
      </c>
      <c r="P169" s="1">
        <v>374</v>
      </c>
      <c r="Q169" s="1">
        <v>143</v>
      </c>
      <c r="R169" s="1">
        <v>168</v>
      </c>
      <c r="S169" s="1">
        <v>311</v>
      </c>
      <c r="T169" s="1">
        <v>56</v>
      </c>
      <c r="U169" s="1">
        <v>60</v>
      </c>
      <c r="V169" s="1">
        <v>116</v>
      </c>
      <c r="W169" s="1">
        <f t="shared" ref="W169:X169" si="1508">SUM(E169,H169,K169,N169,Q169,T169)</f>
        <v>2117</v>
      </c>
      <c r="X169" s="1">
        <f t="shared" si="1508"/>
        <v>2490</v>
      </c>
      <c r="Y169" s="1">
        <f t="shared" si="1"/>
        <v>4607</v>
      </c>
      <c r="Z169" s="1">
        <f t="shared" ref="Z169:AA169" si="1509">W169-T169</f>
        <v>2061</v>
      </c>
      <c r="AA169" s="1">
        <f t="shared" si="1509"/>
        <v>2430</v>
      </c>
      <c r="AB169" s="1">
        <f t="shared" si="3"/>
        <v>4491</v>
      </c>
      <c r="AC169" s="1">
        <f t="shared" ref="AC169:AD169" si="1510">SUM(E169,H169,K169,N169)</f>
        <v>1918</v>
      </c>
      <c r="AD169" s="1">
        <f t="shared" si="1510"/>
        <v>2262</v>
      </c>
      <c r="AE169" s="1">
        <f t="shared" si="5"/>
        <v>4180</v>
      </c>
      <c r="AF169" s="2">
        <f t="shared" ref="AF169:AH169" si="1511">AC169/Z169</f>
        <v>0.93061620572537607</v>
      </c>
      <c r="AG169" s="2">
        <f t="shared" si="1511"/>
        <v>0.93086419753086425</v>
      </c>
      <c r="AH169" s="2">
        <f t="shared" si="1511"/>
        <v>0.93075038966822532</v>
      </c>
      <c r="AI169" s="1">
        <f t="shared" ref="AI169:AJ169" si="1512">SUM(E169,H169,K169)</f>
        <v>1733</v>
      </c>
      <c r="AJ169" s="1">
        <f t="shared" si="1512"/>
        <v>2073</v>
      </c>
      <c r="AK169" s="1">
        <f t="shared" si="8"/>
        <v>3806</v>
      </c>
      <c r="AL169" s="2">
        <f t="shared" ref="AL169:AN169" si="1513">AI169/Z169</f>
        <v>0.84085395439107224</v>
      </c>
      <c r="AM169" s="2">
        <f t="shared" si="1513"/>
        <v>0.85308641975308641</v>
      </c>
      <c r="AN169" s="2">
        <f t="shared" si="1513"/>
        <v>0.84747272322422618</v>
      </c>
      <c r="AO169" s="2">
        <f t="shared" ref="AO169:AQ169" si="1514">E169/Z169</f>
        <v>0.11159631246967491</v>
      </c>
      <c r="AP169" s="2">
        <f t="shared" si="1514"/>
        <v>8.6831275720164608E-2</v>
      </c>
      <c r="AQ169" s="2">
        <f t="shared" si="1514"/>
        <v>9.8196392785571143E-2</v>
      </c>
      <c r="AR169" s="2">
        <f t="shared" si="11"/>
        <v>8.1513828238719069E-2</v>
      </c>
      <c r="AS169" s="2">
        <f t="shared" ref="AS169:AT169" si="1515">R169/AA169</f>
        <v>6.9135802469135796E-2</v>
      </c>
      <c r="AT169" s="2">
        <f t="shared" si="1515"/>
        <v>6.9249610331774666E-2</v>
      </c>
      <c r="AU169" s="2">
        <f t="shared" ref="AU169:AW169" si="1516">T169/W169</f>
        <v>2.6452527161076995E-2</v>
      </c>
      <c r="AV169" s="2">
        <f t="shared" si="1453"/>
        <v>2.4096385542168676E-2</v>
      </c>
      <c r="AW169" s="2">
        <f t="shared" si="1453"/>
        <v>2.5179075320164966E-2</v>
      </c>
    </row>
    <row r="170" spans="1:49" ht="13" x14ac:dyDescent="0.15">
      <c r="A170" s="1">
        <v>2023</v>
      </c>
      <c r="B170" s="1" t="s">
        <v>49</v>
      </c>
      <c r="C170" s="1" t="s">
        <v>78</v>
      </c>
      <c r="D170" s="1" t="s">
        <v>113</v>
      </c>
      <c r="E170" s="1">
        <v>502</v>
      </c>
      <c r="F170" s="1">
        <v>422</v>
      </c>
      <c r="G170" s="1">
        <v>924</v>
      </c>
      <c r="H170" s="1">
        <v>1565</v>
      </c>
      <c r="I170" s="1">
        <v>1509</v>
      </c>
      <c r="J170" s="1">
        <v>3074</v>
      </c>
      <c r="K170" s="1">
        <v>485</v>
      </c>
      <c r="L170" s="1">
        <v>776</v>
      </c>
      <c r="M170" s="1">
        <v>1261</v>
      </c>
      <c r="N170" s="1">
        <v>284</v>
      </c>
      <c r="O170" s="1">
        <v>302</v>
      </c>
      <c r="P170" s="1">
        <v>586</v>
      </c>
      <c r="Q170" s="1">
        <v>219</v>
      </c>
      <c r="R170" s="1">
        <v>281</v>
      </c>
      <c r="S170" s="1">
        <v>500</v>
      </c>
      <c r="T170" s="1">
        <v>52</v>
      </c>
      <c r="U170" s="1">
        <v>46</v>
      </c>
      <c r="V170" s="1">
        <v>98</v>
      </c>
      <c r="W170" s="1">
        <f t="shared" ref="W170:X170" si="1517">SUM(E170,H170,K170,N170,Q170,T170)</f>
        <v>3107</v>
      </c>
      <c r="X170" s="1">
        <f t="shared" si="1517"/>
        <v>3336</v>
      </c>
      <c r="Y170" s="1">
        <f t="shared" si="1"/>
        <v>6443</v>
      </c>
      <c r="Z170" s="1">
        <f t="shared" ref="Z170:AA170" si="1518">W170-T170</f>
        <v>3055</v>
      </c>
      <c r="AA170" s="1">
        <f t="shared" si="1518"/>
        <v>3290</v>
      </c>
      <c r="AB170" s="1">
        <f t="shared" si="3"/>
        <v>6345</v>
      </c>
      <c r="AC170" s="1">
        <f t="shared" ref="AC170:AD170" si="1519">SUM(E170,H170,K170,N170)</f>
        <v>2836</v>
      </c>
      <c r="AD170" s="1">
        <f t="shared" si="1519"/>
        <v>3009</v>
      </c>
      <c r="AE170" s="1">
        <f t="shared" si="5"/>
        <v>5845</v>
      </c>
      <c r="AF170" s="2">
        <f t="shared" ref="AF170:AH170" si="1520">AC170/Z170</f>
        <v>0.92831423895253684</v>
      </c>
      <c r="AG170" s="2">
        <f t="shared" si="1520"/>
        <v>0.91458966565349542</v>
      </c>
      <c r="AH170" s="2">
        <f t="shared" si="1520"/>
        <v>0.92119779353821907</v>
      </c>
      <c r="AI170" s="1">
        <f t="shared" ref="AI170:AJ170" si="1521">SUM(E170,H170,K170)</f>
        <v>2552</v>
      </c>
      <c r="AJ170" s="1">
        <f t="shared" si="1521"/>
        <v>2707</v>
      </c>
      <c r="AK170" s="1">
        <f t="shared" si="8"/>
        <v>5259</v>
      </c>
      <c r="AL170" s="2">
        <f t="shared" ref="AL170:AN170" si="1522">AI170/Z170</f>
        <v>0.8353518821603928</v>
      </c>
      <c r="AM170" s="2">
        <f t="shared" si="1522"/>
        <v>0.82279635258358663</v>
      </c>
      <c r="AN170" s="2">
        <f t="shared" si="1522"/>
        <v>0.8288416075650118</v>
      </c>
      <c r="AO170" s="2">
        <f t="shared" ref="AO170:AQ170" si="1523">E170/Z170</f>
        <v>0.16432078559738134</v>
      </c>
      <c r="AP170" s="2">
        <f t="shared" si="1523"/>
        <v>0.12826747720364742</v>
      </c>
      <c r="AQ170" s="2">
        <f t="shared" si="1523"/>
        <v>0.14562647754137115</v>
      </c>
      <c r="AR170" s="2">
        <f t="shared" si="11"/>
        <v>9.1980360065466449E-2</v>
      </c>
      <c r="AS170" s="2">
        <f t="shared" ref="AS170:AT170" si="1524">R170/AA170</f>
        <v>8.5410334346504566E-2</v>
      </c>
      <c r="AT170" s="2">
        <f t="shared" si="1524"/>
        <v>7.8802206461780933E-2</v>
      </c>
      <c r="AU170" s="2">
        <f t="shared" ref="AU170:AW170" si="1525">T170/W170</f>
        <v>1.6736401673640166E-2</v>
      </c>
      <c r="AV170" s="2">
        <f t="shared" si="1453"/>
        <v>1.3788968824940047E-2</v>
      </c>
      <c r="AW170" s="2">
        <f t="shared" si="1453"/>
        <v>1.521030575818718E-2</v>
      </c>
    </row>
    <row r="171" spans="1:49" ht="13" x14ac:dyDescent="0.15">
      <c r="A171" s="1">
        <v>2023</v>
      </c>
      <c r="B171" s="1" t="s">
        <v>49</v>
      </c>
      <c r="C171" s="1" t="s">
        <v>99</v>
      </c>
      <c r="D171" s="1" t="s">
        <v>114</v>
      </c>
      <c r="E171" s="1">
        <v>447</v>
      </c>
      <c r="F171" s="1">
        <v>348</v>
      </c>
      <c r="G171" s="1">
        <v>795</v>
      </c>
      <c r="H171" s="1">
        <v>1299</v>
      </c>
      <c r="I171" s="1">
        <v>1422</v>
      </c>
      <c r="J171" s="1">
        <v>2721</v>
      </c>
      <c r="K171" s="1">
        <v>528</v>
      </c>
      <c r="L171" s="1">
        <v>832</v>
      </c>
      <c r="M171" s="1">
        <v>1360</v>
      </c>
      <c r="N171" s="1">
        <v>222</v>
      </c>
      <c r="O171" s="1">
        <v>372</v>
      </c>
      <c r="P171" s="1">
        <v>594</v>
      </c>
      <c r="Q171" s="1">
        <v>375</v>
      </c>
      <c r="R171" s="1">
        <v>581</v>
      </c>
      <c r="S171" s="1">
        <v>956</v>
      </c>
      <c r="T171" s="1">
        <v>45</v>
      </c>
      <c r="U171" s="1">
        <v>68</v>
      </c>
      <c r="V171" s="1">
        <v>113</v>
      </c>
      <c r="W171" s="1">
        <f t="shared" ref="W171:X171" si="1526">SUM(E171,H171,K171,N171,Q171,T171)</f>
        <v>2916</v>
      </c>
      <c r="X171" s="1">
        <f t="shared" si="1526"/>
        <v>3623</v>
      </c>
      <c r="Y171" s="1">
        <f t="shared" si="1"/>
        <v>6539</v>
      </c>
      <c r="Z171" s="1">
        <f t="shared" ref="Z171:AA171" si="1527">W171-T171</f>
        <v>2871</v>
      </c>
      <c r="AA171" s="1">
        <f t="shared" si="1527"/>
        <v>3555</v>
      </c>
      <c r="AB171" s="1">
        <f t="shared" si="3"/>
        <v>6426</v>
      </c>
      <c r="AC171" s="1">
        <f t="shared" ref="AC171:AD171" si="1528">SUM(E171,H171,K171,N171)</f>
        <v>2496</v>
      </c>
      <c r="AD171" s="1">
        <f t="shared" si="1528"/>
        <v>2974</v>
      </c>
      <c r="AE171" s="1">
        <f t="shared" si="5"/>
        <v>5470</v>
      </c>
      <c r="AF171" s="2">
        <f t="shared" ref="AF171:AH171" si="1529">AC171/Z171</f>
        <v>0.86938349007314519</v>
      </c>
      <c r="AG171" s="2">
        <f t="shared" si="1529"/>
        <v>0.83656821378340362</v>
      </c>
      <c r="AH171" s="2">
        <f t="shared" si="1529"/>
        <v>0.85122938064114539</v>
      </c>
      <c r="AI171" s="1">
        <f t="shared" ref="AI171:AJ171" si="1530">SUM(E171,H171,K171)</f>
        <v>2274</v>
      </c>
      <c r="AJ171" s="1">
        <f t="shared" si="1530"/>
        <v>2602</v>
      </c>
      <c r="AK171" s="1">
        <f t="shared" si="8"/>
        <v>4876</v>
      </c>
      <c r="AL171" s="2">
        <f t="shared" ref="AL171:AN171" si="1531">AI171/Z171</f>
        <v>0.79205851619644718</v>
      </c>
      <c r="AM171" s="2">
        <f t="shared" si="1531"/>
        <v>0.7319268635724332</v>
      </c>
      <c r="AN171" s="2">
        <f t="shared" si="1531"/>
        <v>0.75879240585122942</v>
      </c>
      <c r="AO171" s="2">
        <f t="shared" ref="AO171:AQ171" si="1532">E171/Z171</f>
        <v>0.15569487983281086</v>
      </c>
      <c r="AP171" s="2">
        <f t="shared" si="1532"/>
        <v>9.7890295358649793E-2</v>
      </c>
      <c r="AQ171" s="2">
        <f t="shared" si="1532"/>
        <v>0.12371615312791784</v>
      </c>
      <c r="AR171" s="2">
        <f t="shared" si="11"/>
        <v>0.2023685127133403</v>
      </c>
      <c r="AS171" s="2">
        <f t="shared" ref="AS171:AT171" si="1533">R171/AA171</f>
        <v>0.16343178621659635</v>
      </c>
      <c r="AT171" s="2">
        <f t="shared" si="1533"/>
        <v>0.14877061935885466</v>
      </c>
      <c r="AU171" s="2">
        <f t="shared" ref="AU171:AW171" si="1534">T171/W171</f>
        <v>1.5432098765432098E-2</v>
      </c>
      <c r="AV171" s="2">
        <f t="shared" si="1453"/>
        <v>1.8768975986751309E-2</v>
      </c>
      <c r="AW171" s="2">
        <f t="shared" si="1453"/>
        <v>1.72809298057807E-2</v>
      </c>
    </row>
    <row r="172" spans="1:49" ht="13" x14ac:dyDescent="0.15">
      <c r="A172" s="1">
        <v>2023</v>
      </c>
      <c r="B172" s="1" t="s">
        <v>49</v>
      </c>
      <c r="C172" s="1" t="s">
        <v>54</v>
      </c>
      <c r="D172" s="1" t="s">
        <v>115</v>
      </c>
      <c r="E172" s="1">
        <v>508</v>
      </c>
      <c r="F172" s="1">
        <v>396</v>
      </c>
      <c r="G172" s="1">
        <v>904</v>
      </c>
      <c r="H172" s="1">
        <v>1472</v>
      </c>
      <c r="I172" s="1">
        <v>1672</v>
      </c>
      <c r="J172" s="1">
        <v>3144</v>
      </c>
      <c r="K172" s="1">
        <v>349</v>
      </c>
      <c r="L172" s="1">
        <v>489</v>
      </c>
      <c r="M172" s="1">
        <v>838</v>
      </c>
      <c r="N172" s="1">
        <v>94</v>
      </c>
      <c r="O172" s="1">
        <v>145</v>
      </c>
      <c r="P172" s="1">
        <v>239</v>
      </c>
      <c r="Q172" s="1">
        <v>109</v>
      </c>
      <c r="R172" s="1">
        <v>167</v>
      </c>
      <c r="S172" s="1">
        <v>276</v>
      </c>
      <c r="T172" s="1">
        <v>29</v>
      </c>
      <c r="U172" s="1">
        <v>36</v>
      </c>
      <c r="V172" s="1">
        <v>65</v>
      </c>
      <c r="W172" s="1">
        <f t="shared" ref="W172:X172" si="1535">SUM(E172,H172,K172,N172,Q172,T172)</f>
        <v>2561</v>
      </c>
      <c r="X172" s="1">
        <f t="shared" si="1535"/>
        <v>2905</v>
      </c>
      <c r="Y172" s="1">
        <f t="shared" si="1"/>
        <v>5466</v>
      </c>
      <c r="Z172" s="1">
        <f t="shared" ref="Z172:AA172" si="1536">W172-T172</f>
        <v>2532</v>
      </c>
      <c r="AA172" s="1">
        <f t="shared" si="1536"/>
        <v>2869</v>
      </c>
      <c r="AB172" s="1">
        <f t="shared" si="3"/>
        <v>5401</v>
      </c>
      <c r="AC172" s="1">
        <f t="shared" ref="AC172:AD172" si="1537">SUM(E172,H172,K172,N172)</f>
        <v>2423</v>
      </c>
      <c r="AD172" s="1">
        <f t="shared" si="1537"/>
        <v>2702</v>
      </c>
      <c r="AE172" s="1">
        <f t="shared" si="5"/>
        <v>5125</v>
      </c>
      <c r="AF172" s="2">
        <f t="shared" ref="AF172:AH172" si="1538">AC172/Z172</f>
        <v>0.95695102685624012</v>
      </c>
      <c r="AG172" s="2">
        <f t="shared" si="1538"/>
        <v>0.94179156500522831</v>
      </c>
      <c r="AH172" s="2">
        <f t="shared" si="1538"/>
        <v>0.94889835215700791</v>
      </c>
      <c r="AI172" s="1">
        <f t="shared" ref="AI172:AJ172" si="1539">SUM(E172,H172,K172)</f>
        <v>2329</v>
      </c>
      <c r="AJ172" s="1">
        <f t="shared" si="1539"/>
        <v>2557</v>
      </c>
      <c r="AK172" s="1">
        <f t="shared" si="8"/>
        <v>4886</v>
      </c>
      <c r="AL172" s="2">
        <f t="shared" ref="AL172:AN172" si="1540">AI172/Z172</f>
        <v>0.91982622432859396</v>
      </c>
      <c r="AM172" s="2">
        <f t="shared" si="1540"/>
        <v>0.89125130707563616</v>
      </c>
      <c r="AN172" s="2">
        <f t="shared" si="1540"/>
        <v>0.90464728753934454</v>
      </c>
      <c r="AO172" s="2">
        <f t="shared" ref="AO172:AQ172" si="1541">E172/Z172</f>
        <v>0.20063191153238547</v>
      </c>
      <c r="AP172" s="2">
        <f t="shared" si="1541"/>
        <v>0.13802718717323109</v>
      </c>
      <c r="AQ172" s="2">
        <f t="shared" si="1541"/>
        <v>0.16737641177559712</v>
      </c>
      <c r="AR172" s="2">
        <f t="shared" si="11"/>
        <v>6.5955766192733023E-2</v>
      </c>
      <c r="AS172" s="2">
        <f t="shared" ref="AS172:AT172" si="1542">R172/AA172</f>
        <v>5.8208434994771699E-2</v>
      </c>
      <c r="AT172" s="2">
        <f t="shared" si="1542"/>
        <v>5.1101647842992037E-2</v>
      </c>
      <c r="AU172" s="2">
        <f t="shared" ref="AU172:AW172" si="1543">T172/W172</f>
        <v>1.1323701679031628E-2</v>
      </c>
      <c r="AV172" s="2">
        <f t="shared" si="1453"/>
        <v>1.2392426850258176E-2</v>
      </c>
      <c r="AW172" s="2">
        <f t="shared" si="1453"/>
        <v>1.1891694109037688E-2</v>
      </c>
    </row>
    <row r="173" spans="1:49" ht="13" x14ac:dyDescent="0.15">
      <c r="A173" s="1">
        <v>2023</v>
      </c>
      <c r="B173" s="1" t="s">
        <v>49</v>
      </c>
      <c r="C173" s="1" t="s">
        <v>89</v>
      </c>
      <c r="D173" s="1" t="s">
        <v>116</v>
      </c>
      <c r="E173" s="1">
        <v>498</v>
      </c>
      <c r="F173" s="1">
        <v>446</v>
      </c>
      <c r="G173" s="1">
        <v>944</v>
      </c>
      <c r="H173" s="1">
        <v>1763</v>
      </c>
      <c r="I173" s="1">
        <v>2058</v>
      </c>
      <c r="J173" s="1">
        <v>3821</v>
      </c>
      <c r="K173" s="1">
        <v>791</v>
      </c>
      <c r="L173" s="1">
        <v>1239</v>
      </c>
      <c r="M173" s="1">
        <v>2030</v>
      </c>
      <c r="N173" s="1">
        <v>363</v>
      </c>
      <c r="O173" s="1">
        <v>520</v>
      </c>
      <c r="P173" s="1">
        <v>883</v>
      </c>
      <c r="Q173" s="1">
        <v>677</v>
      </c>
      <c r="R173" s="1">
        <v>901</v>
      </c>
      <c r="S173" s="1">
        <v>1578</v>
      </c>
      <c r="T173" s="1">
        <v>58</v>
      </c>
      <c r="U173" s="1">
        <v>74</v>
      </c>
      <c r="V173" s="1">
        <v>132</v>
      </c>
      <c r="W173" s="1">
        <f t="shared" ref="W173:X173" si="1544">SUM(E173,H173,K173,N173,Q173,T173)</f>
        <v>4150</v>
      </c>
      <c r="X173" s="1">
        <f t="shared" si="1544"/>
        <v>5238</v>
      </c>
      <c r="Y173" s="1">
        <f t="shared" si="1"/>
        <v>9388</v>
      </c>
      <c r="Z173" s="1">
        <f t="shared" ref="Z173:AA173" si="1545">W173-T173</f>
        <v>4092</v>
      </c>
      <c r="AA173" s="1">
        <f t="shared" si="1545"/>
        <v>5164</v>
      </c>
      <c r="AB173" s="1">
        <f t="shared" si="3"/>
        <v>9256</v>
      </c>
      <c r="AC173" s="1">
        <f t="shared" ref="AC173:AD173" si="1546">SUM(E173,H173,K173,N173)</f>
        <v>3415</v>
      </c>
      <c r="AD173" s="1">
        <f t="shared" si="1546"/>
        <v>4263</v>
      </c>
      <c r="AE173" s="1">
        <f t="shared" si="5"/>
        <v>7678</v>
      </c>
      <c r="AF173" s="2">
        <f t="shared" ref="AF173:AH173" si="1547">AC173/Z173</f>
        <v>0.83455522971652008</v>
      </c>
      <c r="AG173" s="2">
        <f t="shared" si="1547"/>
        <v>0.82552285050348562</v>
      </c>
      <c r="AH173" s="2">
        <f t="shared" si="1547"/>
        <v>0.82951598962834916</v>
      </c>
      <c r="AI173" s="1">
        <f t="shared" ref="AI173:AJ173" si="1548">SUM(E173,H173,K173)</f>
        <v>3052</v>
      </c>
      <c r="AJ173" s="1">
        <f t="shared" si="1548"/>
        <v>3743</v>
      </c>
      <c r="AK173" s="1">
        <f t="shared" si="8"/>
        <v>6795</v>
      </c>
      <c r="AL173" s="2">
        <f t="shared" ref="AL173:AN173" si="1549">AI173/Z173</f>
        <v>0.7458455522971652</v>
      </c>
      <c r="AM173" s="2">
        <f t="shared" si="1549"/>
        <v>0.72482571649883809</v>
      </c>
      <c r="AN173" s="2">
        <f t="shared" si="1549"/>
        <v>0.73411840968020747</v>
      </c>
      <c r="AO173" s="2">
        <f t="shared" ref="AO173:AQ173" si="1550">E173/Z173</f>
        <v>0.1217008797653959</v>
      </c>
      <c r="AP173" s="2">
        <f t="shared" si="1550"/>
        <v>8.6367157242447715E-2</v>
      </c>
      <c r="AQ173" s="2">
        <f t="shared" si="1550"/>
        <v>0.10198789974070872</v>
      </c>
      <c r="AR173" s="2">
        <f t="shared" si="11"/>
        <v>0.22018572825024438</v>
      </c>
      <c r="AS173" s="2">
        <f t="shared" ref="AS173:AT173" si="1551">R173/AA173</f>
        <v>0.17447714949651433</v>
      </c>
      <c r="AT173" s="2">
        <f t="shared" si="1551"/>
        <v>0.17048401037165081</v>
      </c>
      <c r="AU173" s="2">
        <f t="shared" ref="AU173:AW173" si="1552">T173/W173</f>
        <v>1.3975903614457831E-2</v>
      </c>
      <c r="AV173" s="2">
        <f t="shared" si="1453"/>
        <v>1.4127529591447117E-2</v>
      </c>
      <c r="AW173" s="2">
        <f t="shared" si="1453"/>
        <v>1.406050276949297E-2</v>
      </c>
    </row>
    <row r="174" spans="1:49" ht="13" x14ac:dyDescent="0.15">
      <c r="A174" s="1">
        <v>2023</v>
      </c>
      <c r="B174" s="1" t="s">
        <v>117</v>
      </c>
      <c r="C174" s="1" t="s">
        <v>54</v>
      </c>
      <c r="D174" s="1" t="s">
        <v>118</v>
      </c>
      <c r="E174" s="1">
        <v>655</v>
      </c>
      <c r="F174" s="1">
        <v>424</v>
      </c>
      <c r="G174" s="1">
        <v>1079</v>
      </c>
      <c r="H174" s="1">
        <v>2176</v>
      </c>
      <c r="I174" s="1">
        <v>2467</v>
      </c>
      <c r="J174" s="1">
        <v>4643</v>
      </c>
      <c r="K174" s="1">
        <v>910</v>
      </c>
      <c r="L174" s="1">
        <v>1262</v>
      </c>
      <c r="M174" s="1">
        <v>2172</v>
      </c>
      <c r="N174" s="1">
        <v>322</v>
      </c>
      <c r="O174" s="1">
        <v>503</v>
      </c>
      <c r="P174" s="1">
        <v>825</v>
      </c>
      <c r="Q174" s="1">
        <v>346</v>
      </c>
      <c r="R174" s="1">
        <v>583</v>
      </c>
      <c r="S174" s="1">
        <v>929</v>
      </c>
      <c r="T174" s="1">
        <v>128</v>
      </c>
      <c r="U174" s="1">
        <v>151</v>
      </c>
      <c r="V174" s="1">
        <v>279</v>
      </c>
      <c r="W174" s="1">
        <f t="shared" ref="W174:X174" si="1553">SUM(E174,H174,K174,N174,Q174,T174)</f>
        <v>4537</v>
      </c>
      <c r="X174" s="1">
        <f t="shared" si="1553"/>
        <v>5390</v>
      </c>
      <c r="Y174" s="1">
        <f t="shared" si="1"/>
        <v>9927</v>
      </c>
      <c r="Z174" s="1">
        <f t="shared" ref="Z174:AA174" si="1554">W174-T174</f>
        <v>4409</v>
      </c>
      <c r="AA174" s="1">
        <f t="shared" si="1554"/>
        <v>5239</v>
      </c>
      <c r="AB174" s="1">
        <f t="shared" si="3"/>
        <v>9648</v>
      </c>
      <c r="AC174" s="1">
        <f t="shared" ref="AC174:AD174" si="1555">SUM(E174,H174,K174,N174)</f>
        <v>4063</v>
      </c>
      <c r="AD174" s="1">
        <f t="shared" si="1555"/>
        <v>4656</v>
      </c>
      <c r="AE174" s="1">
        <f t="shared" si="5"/>
        <v>8719</v>
      </c>
      <c r="AF174" s="2">
        <f t="shared" ref="AF174:AH174" si="1556">AC174/Z174</f>
        <v>0.9215241551372193</v>
      </c>
      <c r="AG174" s="2">
        <f t="shared" si="1556"/>
        <v>0.88871922122542468</v>
      </c>
      <c r="AH174" s="2">
        <f t="shared" si="1556"/>
        <v>0.90371061359867333</v>
      </c>
      <c r="AI174" s="1">
        <f t="shared" ref="AI174:AJ174" si="1557">SUM(E174,H174,K174)</f>
        <v>3741</v>
      </c>
      <c r="AJ174" s="1">
        <f t="shared" si="1557"/>
        <v>4153</v>
      </c>
      <c r="AK174" s="1">
        <f t="shared" si="8"/>
        <v>7894</v>
      </c>
      <c r="AL174" s="2">
        <f t="shared" ref="AL174:AN174" si="1558">AI174/Z174</f>
        <v>0.84849172147879337</v>
      </c>
      <c r="AM174" s="2">
        <f t="shared" si="1558"/>
        <v>0.79270853216262649</v>
      </c>
      <c r="AN174" s="2">
        <f t="shared" si="1558"/>
        <v>0.81820066334991703</v>
      </c>
      <c r="AO174" s="2">
        <f t="shared" ref="AO174:AQ174" si="1559">E174/Z174</f>
        <v>0.1485597641188478</v>
      </c>
      <c r="AP174" s="2">
        <f t="shared" si="1559"/>
        <v>8.0931475472418399E-2</v>
      </c>
      <c r="AQ174" s="2">
        <f t="shared" si="1559"/>
        <v>0.11183665008291874</v>
      </c>
      <c r="AR174" s="2">
        <f t="shared" si="11"/>
        <v>0.13222953050578362</v>
      </c>
      <c r="AS174" s="2">
        <f t="shared" ref="AS174:AT174" si="1560">R174/AA174</f>
        <v>0.1112807787745753</v>
      </c>
      <c r="AT174" s="2">
        <f t="shared" si="1560"/>
        <v>9.6289386401326699E-2</v>
      </c>
      <c r="AU174" s="2">
        <f t="shared" ref="AU174:AW174" si="1561">T174/W174</f>
        <v>2.8212475203879216E-2</v>
      </c>
      <c r="AV174" s="2">
        <f t="shared" si="1453"/>
        <v>2.8014842300556585E-2</v>
      </c>
      <c r="AW174" s="2">
        <f t="shared" si="1453"/>
        <v>2.8105167724388033E-2</v>
      </c>
    </row>
    <row r="175" spans="1:49" ht="13" x14ac:dyDescent="0.15">
      <c r="A175" s="1">
        <v>2023</v>
      </c>
      <c r="B175" s="1" t="s">
        <v>49</v>
      </c>
      <c r="C175" s="1" t="s">
        <v>89</v>
      </c>
      <c r="D175" s="1" t="s">
        <v>119</v>
      </c>
      <c r="E175" s="1">
        <v>712</v>
      </c>
      <c r="F175" s="1">
        <v>502</v>
      </c>
      <c r="G175" s="1">
        <v>1214</v>
      </c>
      <c r="H175" s="1">
        <v>2751</v>
      </c>
      <c r="I175" s="1">
        <v>3218</v>
      </c>
      <c r="J175" s="1">
        <v>5969</v>
      </c>
      <c r="K175" s="1">
        <v>978</v>
      </c>
      <c r="L175" s="1">
        <v>1376</v>
      </c>
      <c r="M175" s="1">
        <v>2354</v>
      </c>
      <c r="N175" s="1">
        <v>496</v>
      </c>
      <c r="O175" s="1">
        <v>694</v>
      </c>
      <c r="P175" s="1">
        <v>1190</v>
      </c>
      <c r="Q175" s="1">
        <v>526</v>
      </c>
      <c r="R175" s="1">
        <v>655</v>
      </c>
      <c r="S175" s="1">
        <v>1181</v>
      </c>
      <c r="T175" s="1">
        <v>94</v>
      </c>
      <c r="U175" s="1">
        <v>97</v>
      </c>
      <c r="V175" s="1">
        <v>191</v>
      </c>
      <c r="W175" s="1">
        <f t="shared" ref="W175:X175" si="1562">SUM(E175,H175,K175,N175,Q175,T175)</f>
        <v>5557</v>
      </c>
      <c r="X175" s="1">
        <f t="shared" si="1562"/>
        <v>6542</v>
      </c>
      <c r="Y175" s="1">
        <f t="shared" si="1"/>
        <v>12099</v>
      </c>
      <c r="Z175" s="1">
        <f t="shared" ref="Z175:AA175" si="1563">W175-T175</f>
        <v>5463</v>
      </c>
      <c r="AA175" s="1">
        <f t="shared" si="1563"/>
        <v>6445</v>
      </c>
      <c r="AB175" s="1">
        <f t="shared" si="3"/>
        <v>11908</v>
      </c>
      <c r="AC175" s="1">
        <f t="shared" ref="AC175:AD175" si="1564">SUM(E175,H175,K175,N175)</f>
        <v>4937</v>
      </c>
      <c r="AD175" s="1">
        <f t="shared" si="1564"/>
        <v>5790</v>
      </c>
      <c r="AE175" s="1">
        <f t="shared" si="5"/>
        <v>10727</v>
      </c>
      <c r="AF175" s="2">
        <f t="shared" ref="AF175:AH175" si="1565">AC175/Z175</f>
        <v>0.90371590701079996</v>
      </c>
      <c r="AG175" s="2">
        <f t="shared" si="1565"/>
        <v>0.89837083010085339</v>
      </c>
      <c r="AH175" s="2">
        <f t="shared" si="1565"/>
        <v>0.90082297615048712</v>
      </c>
      <c r="AI175" s="1">
        <f t="shared" ref="AI175:AJ175" si="1566">SUM(E175,H175,K175)</f>
        <v>4441</v>
      </c>
      <c r="AJ175" s="1">
        <f t="shared" si="1566"/>
        <v>5096</v>
      </c>
      <c r="AK175" s="1">
        <f t="shared" si="8"/>
        <v>9537</v>
      </c>
      <c r="AL175" s="2">
        <f t="shared" ref="AL175:AN175" si="1567">AI175/Z175</f>
        <v>0.81292330221490028</v>
      </c>
      <c r="AM175" s="2">
        <f t="shared" si="1567"/>
        <v>0.79069045771916213</v>
      </c>
      <c r="AN175" s="2">
        <f t="shared" si="1567"/>
        <v>0.80089015787705742</v>
      </c>
      <c r="AO175" s="2">
        <f t="shared" ref="AO175:AQ175" si="1568">E175/Z175</f>
        <v>0.13033131978766246</v>
      </c>
      <c r="AP175" s="2">
        <f t="shared" si="1568"/>
        <v>7.7889837083010088E-2</v>
      </c>
      <c r="AQ175" s="2">
        <f t="shared" si="1568"/>
        <v>0.10194827007054082</v>
      </c>
      <c r="AR175" s="2">
        <f t="shared" si="11"/>
        <v>0.11989749222039173</v>
      </c>
      <c r="AS175" s="2">
        <f t="shared" ref="AS175:AT175" si="1569">R175/AA175</f>
        <v>0.10162916989914662</v>
      </c>
      <c r="AT175" s="2">
        <f t="shared" si="1569"/>
        <v>9.9177023849512935E-2</v>
      </c>
      <c r="AU175" s="2">
        <f t="shared" ref="AU175:AW175" si="1570">T175/W175</f>
        <v>1.6915601943494691E-2</v>
      </c>
      <c r="AV175" s="2">
        <f t="shared" si="1453"/>
        <v>1.4827269948028125E-2</v>
      </c>
      <c r="AW175" s="2">
        <f t="shared" si="1453"/>
        <v>1.5786428630465327E-2</v>
      </c>
    </row>
    <row r="176" spans="1:49" ht="13" x14ac:dyDescent="0.15">
      <c r="A176" s="1">
        <v>2022</v>
      </c>
      <c r="B176" s="1" t="s">
        <v>74</v>
      </c>
      <c r="C176" s="1" t="s">
        <v>75</v>
      </c>
      <c r="D176" s="1" t="s">
        <v>198</v>
      </c>
      <c r="E176" s="1">
        <v>13</v>
      </c>
      <c r="F176" s="1">
        <v>1</v>
      </c>
      <c r="G176" s="1">
        <v>14</v>
      </c>
      <c r="H176" s="1">
        <v>209</v>
      </c>
      <c r="I176" s="1">
        <v>84</v>
      </c>
      <c r="J176" s="1">
        <v>293</v>
      </c>
      <c r="K176" s="1">
        <v>100</v>
      </c>
      <c r="L176" s="1">
        <v>80</v>
      </c>
      <c r="M176" s="1">
        <v>180</v>
      </c>
      <c r="N176" s="1">
        <v>73</v>
      </c>
      <c r="O176" s="1">
        <v>58</v>
      </c>
      <c r="P176" s="1">
        <v>131</v>
      </c>
      <c r="Q176" s="1">
        <v>27</v>
      </c>
      <c r="R176" s="1">
        <v>56</v>
      </c>
      <c r="S176" s="1">
        <v>83</v>
      </c>
      <c r="T176" s="1">
        <v>8</v>
      </c>
      <c r="U176" s="1">
        <v>4</v>
      </c>
      <c r="V176" s="1">
        <v>12</v>
      </c>
      <c r="W176" s="1">
        <f t="shared" ref="W176:X176" si="1571">SUM(E176,H176,K176,N176,Q176,T176)</f>
        <v>430</v>
      </c>
      <c r="X176" s="1">
        <f t="shared" si="1571"/>
        <v>283</v>
      </c>
      <c r="Y176" s="1">
        <f t="shared" si="1"/>
        <v>713</v>
      </c>
      <c r="Z176" s="1">
        <f t="shared" ref="Z176:AA176" si="1572">W176-T176</f>
        <v>422</v>
      </c>
      <c r="AA176" s="1">
        <f t="shared" si="1572"/>
        <v>279</v>
      </c>
      <c r="AB176" s="1">
        <f t="shared" si="3"/>
        <v>701</v>
      </c>
      <c r="AC176" s="1">
        <f t="shared" ref="AC176:AD176" si="1573">SUM(E176,H176,K176,N176)</f>
        <v>395</v>
      </c>
      <c r="AD176" s="1">
        <f t="shared" si="1573"/>
        <v>223</v>
      </c>
      <c r="AE176" s="1">
        <f t="shared" si="5"/>
        <v>618</v>
      </c>
      <c r="AF176" s="2">
        <f t="shared" ref="AF176:AH176" si="1574">AC176/Z176</f>
        <v>0.93601895734597151</v>
      </c>
      <c r="AG176" s="2">
        <f t="shared" si="1574"/>
        <v>0.79928315412186379</v>
      </c>
      <c r="AH176" s="2">
        <f t="shared" si="1574"/>
        <v>0.88159771754636229</v>
      </c>
      <c r="AI176" s="1">
        <f t="shared" ref="AI176:AJ176" si="1575">SUM(E176,H176,K176)</f>
        <v>322</v>
      </c>
      <c r="AJ176" s="1">
        <f t="shared" si="1575"/>
        <v>165</v>
      </c>
      <c r="AK176" s="1">
        <f t="shared" si="8"/>
        <v>487</v>
      </c>
      <c r="AL176" s="2">
        <f t="shared" ref="AL176:AN176" si="1576">AI176/Z176</f>
        <v>0.76303317535545023</v>
      </c>
      <c r="AM176" s="2">
        <f t="shared" si="1576"/>
        <v>0.59139784946236562</v>
      </c>
      <c r="AN176" s="2">
        <f t="shared" si="1576"/>
        <v>0.6947218259629101</v>
      </c>
      <c r="AO176" s="2">
        <f t="shared" ref="AO176:AQ176" si="1577">E176/Z176</f>
        <v>3.0805687203791468E-2</v>
      </c>
      <c r="AP176" s="2">
        <f t="shared" si="1577"/>
        <v>3.5842293906810036E-3</v>
      </c>
      <c r="AQ176" s="2">
        <f t="shared" si="1577"/>
        <v>1.9971469329529243E-2</v>
      </c>
      <c r="AR176" s="2">
        <f t="shared" si="11"/>
        <v>0.13270142180094788</v>
      </c>
      <c r="AS176" s="2">
        <f t="shared" ref="AS176:AT176" si="1578">R176/AA176</f>
        <v>0.20071684587813621</v>
      </c>
      <c r="AT176" s="2">
        <f t="shared" si="1578"/>
        <v>0.11840228245363767</v>
      </c>
      <c r="AU176" s="2">
        <f t="shared" ref="AU176:AW176" si="1579">T176/W176</f>
        <v>1.8604651162790697E-2</v>
      </c>
      <c r="AV176" s="2">
        <f t="shared" si="1453"/>
        <v>1.4134275618374558E-2</v>
      </c>
      <c r="AW176" s="2">
        <f t="shared" si="1453"/>
        <v>1.6830294530154277E-2</v>
      </c>
    </row>
    <row r="177" spans="1:49" ht="13" x14ac:dyDescent="0.15">
      <c r="A177" s="1">
        <v>2023</v>
      </c>
      <c r="B177" s="1" t="s">
        <v>49</v>
      </c>
      <c r="C177" s="1" t="s">
        <v>52</v>
      </c>
      <c r="D177" s="1" t="s">
        <v>120</v>
      </c>
      <c r="E177" s="1">
        <v>475</v>
      </c>
      <c r="F177" s="1">
        <v>444</v>
      </c>
      <c r="G177" s="1">
        <v>919</v>
      </c>
      <c r="H177" s="1">
        <v>1120</v>
      </c>
      <c r="I177" s="1">
        <v>1310</v>
      </c>
      <c r="J177" s="1">
        <v>2430</v>
      </c>
      <c r="K177" s="1">
        <v>368</v>
      </c>
      <c r="L177" s="1">
        <v>585</v>
      </c>
      <c r="M177" s="1">
        <v>953</v>
      </c>
      <c r="N177" s="1">
        <v>108</v>
      </c>
      <c r="O177" s="1">
        <v>204</v>
      </c>
      <c r="P177" s="1">
        <v>312</v>
      </c>
      <c r="Q177" s="1">
        <v>103</v>
      </c>
      <c r="R177" s="1">
        <v>170</v>
      </c>
      <c r="S177" s="1">
        <v>273</v>
      </c>
      <c r="T177" s="1">
        <v>21</v>
      </c>
      <c r="U177" s="1">
        <v>41</v>
      </c>
      <c r="V177" s="1">
        <v>62</v>
      </c>
      <c r="W177" s="1">
        <f t="shared" ref="W177:X177" si="1580">SUM(E177,H177,K177,N177,Q177,T177)</f>
        <v>2195</v>
      </c>
      <c r="X177" s="1">
        <f t="shared" si="1580"/>
        <v>2754</v>
      </c>
      <c r="Y177" s="1">
        <f t="shared" si="1"/>
        <v>4949</v>
      </c>
      <c r="Z177" s="1">
        <f t="shared" ref="Z177:AA177" si="1581">W177-T177</f>
        <v>2174</v>
      </c>
      <c r="AA177" s="1">
        <f t="shared" si="1581"/>
        <v>2713</v>
      </c>
      <c r="AB177" s="1">
        <f t="shared" si="3"/>
        <v>4887</v>
      </c>
      <c r="AC177" s="1">
        <f t="shared" ref="AC177:AD177" si="1582">SUM(E177,H177,K177,N177)</f>
        <v>2071</v>
      </c>
      <c r="AD177" s="1">
        <f t="shared" si="1582"/>
        <v>2543</v>
      </c>
      <c r="AE177" s="1">
        <f t="shared" si="5"/>
        <v>4614</v>
      </c>
      <c r="AF177" s="2">
        <f t="shared" ref="AF177:AH177" si="1583">AC177/Z177</f>
        <v>0.95262189512419504</v>
      </c>
      <c r="AG177" s="2">
        <f t="shared" si="1583"/>
        <v>0.93733873940287504</v>
      </c>
      <c r="AH177" s="2">
        <f t="shared" si="1583"/>
        <v>0.94413750767341931</v>
      </c>
      <c r="AI177" s="1">
        <f t="shared" ref="AI177:AJ177" si="1584">SUM(E177,H177,K177)</f>
        <v>1963</v>
      </c>
      <c r="AJ177" s="1">
        <f t="shared" si="1584"/>
        <v>2339</v>
      </c>
      <c r="AK177" s="1">
        <f t="shared" si="8"/>
        <v>4302</v>
      </c>
      <c r="AL177" s="2">
        <f t="shared" ref="AL177:AN177" si="1585">AI177/Z177</f>
        <v>0.90294388224471023</v>
      </c>
      <c r="AM177" s="2">
        <f t="shared" si="1585"/>
        <v>0.86214522668632509</v>
      </c>
      <c r="AN177" s="2">
        <f t="shared" si="1585"/>
        <v>0.88029465930018413</v>
      </c>
      <c r="AO177" s="2">
        <f t="shared" ref="AO177:AQ177" si="1586">E177/Z177</f>
        <v>0.21849126034958602</v>
      </c>
      <c r="AP177" s="2">
        <f t="shared" si="1586"/>
        <v>0.16365646885366752</v>
      </c>
      <c r="AQ177" s="2">
        <f t="shared" si="1586"/>
        <v>0.1880499283814201</v>
      </c>
      <c r="AR177" s="2">
        <f t="shared" si="11"/>
        <v>7.8196872125115002E-2</v>
      </c>
      <c r="AS177" s="2">
        <f t="shared" ref="AS177:AT177" si="1587">R177/AA177</f>
        <v>6.2661260597124957E-2</v>
      </c>
      <c r="AT177" s="2">
        <f t="shared" si="1587"/>
        <v>5.5862492326580727E-2</v>
      </c>
      <c r="AU177" s="2">
        <f t="shared" ref="AU177:AW177" si="1588">T177/W177</f>
        <v>9.5671981776765374E-3</v>
      </c>
      <c r="AV177" s="2">
        <f t="shared" si="1453"/>
        <v>1.4887436456063908E-2</v>
      </c>
      <c r="AW177" s="2">
        <f t="shared" si="1453"/>
        <v>1.2527783390583956E-2</v>
      </c>
    </row>
    <row r="178" spans="1:49" ht="13" x14ac:dyDescent="0.15">
      <c r="A178" s="1">
        <v>2023</v>
      </c>
      <c r="B178" s="1" t="s">
        <v>49</v>
      </c>
      <c r="C178" s="1" t="s">
        <v>101</v>
      </c>
      <c r="D178" s="1" t="s">
        <v>121</v>
      </c>
      <c r="E178" s="1">
        <v>854</v>
      </c>
      <c r="F178" s="1">
        <v>996</v>
      </c>
      <c r="G178" s="1">
        <v>1850</v>
      </c>
      <c r="H178" s="1">
        <v>1820</v>
      </c>
      <c r="I178" s="1">
        <v>2017</v>
      </c>
      <c r="J178" s="1">
        <v>3837</v>
      </c>
      <c r="K178" s="1">
        <v>213</v>
      </c>
      <c r="L178" s="1">
        <v>294</v>
      </c>
      <c r="M178" s="1">
        <v>507</v>
      </c>
      <c r="N178" s="1">
        <v>152</v>
      </c>
      <c r="O178" s="1">
        <v>149</v>
      </c>
      <c r="P178" s="1">
        <v>301</v>
      </c>
      <c r="Q178" s="1">
        <v>86</v>
      </c>
      <c r="R178" s="1">
        <v>93</v>
      </c>
      <c r="S178" s="1">
        <v>179</v>
      </c>
      <c r="T178" s="1">
        <v>52</v>
      </c>
      <c r="U178" s="1">
        <v>47</v>
      </c>
      <c r="V178" s="1">
        <v>99</v>
      </c>
      <c r="W178" s="1">
        <f t="shared" ref="W178:X178" si="1589">SUM(E178,H178,K178,N178,Q178,T178)</f>
        <v>3177</v>
      </c>
      <c r="X178" s="1">
        <f t="shared" si="1589"/>
        <v>3596</v>
      </c>
      <c r="Y178" s="1">
        <f t="shared" si="1"/>
        <v>6773</v>
      </c>
      <c r="Z178" s="1">
        <f t="shared" ref="Z178:AA178" si="1590">W178-T178</f>
        <v>3125</v>
      </c>
      <c r="AA178" s="1">
        <f t="shared" si="1590"/>
        <v>3549</v>
      </c>
      <c r="AB178" s="1">
        <f t="shared" si="3"/>
        <v>6674</v>
      </c>
      <c r="AC178" s="1">
        <f t="shared" ref="AC178:AD178" si="1591">SUM(E178,H178,K178,N178)</f>
        <v>3039</v>
      </c>
      <c r="AD178" s="1">
        <f t="shared" si="1591"/>
        <v>3456</v>
      </c>
      <c r="AE178" s="1">
        <f t="shared" si="5"/>
        <v>6495</v>
      </c>
      <c r="AF178" s="2">
        <f t="shared" ref="AF178:AH178" si="1592">AC178/Z178</f>
        <v>0.97248000000000001</v>
      </c>
      <c r="AG178" s="2">
        <f t="shared" si="1592"/>
        <v>0.9737954353338969</v>
      </c>
      <c r="AH178" s="2">
        <f t="shared" si="1592"/>
        <v>0.97317950254719809</v>
      </c>
      <c r="AI178" s="1">
        <f t="shared" ref="AI178:AJ178" si="1593">SUM(E178,H178,K178)</f>
        <v>2887</v>
      </c>
      <c r="AJ178" s="1">
        <f t="shared" si="1593"/>
        <v>3307</v>
      </c>
      <c r="AK178" s="1">
        <f t="shared" si="8"/>
        <v>6194</v>
      </c>
      <c r="AL178" s="2">
        <f t="shared" ref="AL178:AN178" si="1594">AI178/Z178</f>
        <v>0.92383999999999999</v>
      </c>
      <c r="AM178" s="2">
        <f t="shared" si="1594"/>
        <v>0.93181177796562409</v>
      </c>
      <c r="AN178" s="2">
        <f t="shared" si="1594"/>
        <v>0.92807911297572665</v>
      </c>
      <c r="AO178" s="2">
        <f t="shared" ref="AO178:AQ178" si="1595">E178/Z178</f>
        <v>0.27328000000000002</v>
      </c>
      <c r="AP178" s="2">
        <f t="shared" si="1595"/>
        <v>0.28064243448858833</v>
      </c>
      <c r="AQ178" s="2">
        <f t="shared" si="1595"/>
        <v>0.27719508540605337</v>
      </c>
      <c r="AR178" s="2">
        <f t="shared" si="11"/>
        <v>2.9760000000000002E-2</v>
      </c>
      <c r="AS178" s="2">
        <f t="shared" ref="AS178:AT178" si="1596">R178/AA178</f>
        <v>2.6204564666103127E-2</v>
      </c>
      <c r="AT178" s="2">
        <f t="shared" si="1596"/>
        <v>2.6820497452801916E-2</v>
      </c>
      <c r="AU178" s="2">
        <f t="shared" ref="AU178:AW193" si="1597">T178/W178</f>
        <v>1.6367642429965377E-2</v>
      </c>
      <c r="AV178" s="2">
        <f t="shared" si="1597"/>
        <v>1.307007786429366E-2</v>
      </c>
      <c r="AW178" s="2">
        <f t="shared" si="1597"/>
        <v>1.4616861065997343E-2</v>
      </c>
    </row>
    <row r="179" spans="1:49" ht="13" x14ac:dyDescent="0.15">
      <c r="A179" s="1">
        <v>2023</v>
      </c>
      <c r="B179" s="1" t="s">
        <v>49</v>
      </c>
      <c r="C179" s="1" t="s">
        <v>59</v>
      </c>
      <c r="D179" s="1" t="s">
        <v>122</v>
      </c>
      <c r="E179" s="1">
        <v>34</v>
      </c>
      <c r="F179" s="1">
        <v>6</v>
      </c>
      <c r="G179" s="1">
        <v>40</v>
      </c>
      <c r="H179" s="1">
        <v>489</v>
      </c>
      <c r="I179" s="1">
        <v>343</v>
      </c>
      <c r="J179" s="1">
        <v>832</v>
      </c>
      <c r="K179" s="1">
        <v>300</v>
      </c>
      <c r="L179" s="1">
        <v>323</v>
      </c>
      <c r="M179" s="1">
        <v>623</v>
      </c>
      <c r="N179" s="1">
        <v>106</v>
      </c>
      <c r="O179" s="1">
        <v>102</v>
      </c>
      <c r="P179" s="1">
        <v>208</v>
      </c>
      <c r="Q179" s="1">
        <v>79</v>
      </c>
      <c r="R179" s="1">
        <v>97</v>
      </c>
      <c r="S179" s="1">
        <v>176</v>
      </c>
      <c r="T179" s="1">
        <v>0</v>
      </c>
      <c r="U179" s="1">
        <v>1</v>
      </c>
      <c r="V179" s="1">
        <v>1</v>
      </c>
      <c r="W179" s="1">
        <f t="shared" ref="W179:X179" si="1598">SUM(E179,H179,K179,N179,Q179,T179)</f>
        <v>1008</v>
      </c>
      <c r="X179" s="1">
        <f t="shared" si="1598"/>
        <v>872</v>
      </c>
      <c r="Y179" s="1">
        <f t="shared" si="1"/>
        <v>1880</v>
      </c>
      <c r="Z179" s="1">
        <f t="shared" ref="Z179:AA179" si="1599">W179-T179</f>
        <v>1008</v>
      </c>
      <c r="AA179" s="1">
        <f t="shared" si="1599"/>
        <v>871</v>
      </c>
      <c r="AB179" s="1">
        <f t="shared" si="3"/>
        <v>1879</v>
      </c>
      <c r="AC179" s="1">
        <f t="shared" ref="AC179:AD179" si="1600">SUM(E179,H179,K179,N179)</f>
        <v>929</v>
      </c>
      <c r="AD179" s="1">
        <f t="shared" si="1600"/>
        <v>774</v>
      </c>
      <c r="AE179" s="1">
        <f t="shared" si="5"/>
        <v>1703</v>
      </c>
      <c r="AF179" s="2">
        <f t="shared" ref="AF179:AH179" si="1601">AC179/Z179</f>
        <v>0.92162698412698407</v>
      </c>
      <c r="AG179" s="2">
        <f t="shared" si="1601"/>
        <v>0.88863375430539615</v>
      </c>
      <c r="AH179" s="2">
        <f t="shared" si="1601"/>
        <v>0.90633315593400743</v>
      </c>
      <c r="AI179" s="1">
        <f t="shared" ref="AI179:AJ179" si="1602">SUM(E179,H179,K179)</f>
        <v>823</v>
      </c>
      <c r="AJ179" s="1">
        <f t="shared" si="1602"/>
        <v>672</v>
      </c>
      <c r="AK179" s="1">
        <f t="shared" si="8"/>
        <v>1495</v>
      </c>
      <c r="AL179" s="2">
        <f t="shared" ref="AL179:AN179" si="1603">AI179/Z179</f>
        <v>0.81646825396825395</v>
      </c>
      <c r="AM179" s="2">
        <f t="shared" si="1603"/>
        <v>0.77152698048220436</v>
      </c>
      <c r="AN179" s="2">
        <f t="shared" si="1603"/>
        <v>0.795635976583289</v>
      </c>
      <c r="AO179" s="2">
        <f t="shared" ref="AO179:AQ179" si="1604">E179/Z179</f>
        <v>3.3730158730158728E-2</v>
      </c>
      <c r="AP179" s="2">
        <f t="shared" si="1604"/>
        <v>6.8886337543053958E-3</v>
      </c>
      <c r="AQ179" s="2">
        <f t="shared" si="1604"/>
        <v>2.1287919105907396E-2</v>
      </c>
      <c r="AR179" s="2">
        <f t="shared" si="11"/>
        <v>9.6230158730158735E-2</v>
      </c>
      <c r="AS179" s="2">
        <f t="shared" ref="AS179:AT179" si="1605">R179/AA179</f>
        <v>0.1113662456946039</v>
      </c>
      <c r="AT179" s="2">
        <f t="shared" si="1605"/>
        <v>9.3666844065992544E-2</v>
      </c>
      <c r="AU179" s="2">
        <f t="shared" ref="AU179:AW179" si="1606">T179/W179</f>
        <v>0</v>
      </c>
      <c r="AV179" s="2">
        <f t="shared" si="1597"/>
        <v>1.1467889908256881E-3</v>
      </c>
      <c r="AW179" s="2">
        <f t="shared" si="1597"/>
        <v>5.3191489361702129E-4</v>
      </c>
    </row>
    <row r="180" spans="1:49" ht="13" x14ac:dyDescent="0.15">
      <c r="A180" s="1">
        <v>2023</v>
      </c>
      <c r="B180" s="1" t="s">
        <v>49</v>
      </c>
      <c r="C180" s="1" t="s">
        <v>99</v>
      </c>
      <c r="D180" s="1" t="s">
        <v>123</v>
      </c>
      <c r="E180" s="1">
        <v>257</v>
      </c>
      <c r="F180" s="1">
        <v>145</v>
      </c>
      <c r="G180" s="1">
        <v>402</v>
      </c>
      <c r="H180" s="1">
        <v>1599</v>
      </c>
      <c r="I180" s="1">
        <v>1594</v>
      </c>
      <c r="J180" s="1">
        <v>3193</v>
      </c>
      <c r="K180" s="1">
        <v>695</v>
      </c>
      <c r="L180" s="1">
        <v>857</v>
      </c>
      <c r="M180" s="1">
        <v>1552</v>
      </c>
      <c r="N180" s="1">
        <v>303</v>
      </c>
      <c r="O180" s="1">
        <v>397</v>
      </c>
      <c r="P180" s="1">
        <v>700</v>
      </c>
      <c r="Q180" s="1">
        <v>256</v>
      </c>
      <c r="R180" s="1">
        <v>355</v>
      </c>
      <c r="S180" s="1">
        <v>611</v>
      </c>
      <c r="T180" s="1">
        <v>52</v>
      </c>
      <c r="U180" s="1">
        <v>69</v>
      </c>
      <c r="V180" s="1">
        <v>121</v>
      </c>
      <c r="W180" s="1">
        <f t="shared" ref="W180:X180" si="1607">SUM(E180,H180,K180,N180,Q180,T180)</f>
        <v>3162</v>
      </c>
      <c r="X180" s="1">
        <f t="shared" si="1607"/>
        <v>3417</v>
      </c>
      <c r="Y180" s="1">
        <f t="shared" si="1"/>
        <v>6579</v>
      </c>
      <c r="Z180" s="1">
        <f t="shared" ref="Z180:AA180" si="1608">W180-T180</f>
        <v>3110</v>
      </c>
      <c r="AA180" s="1">
        <f t="shared" si="1608"/>
        <v>3348</v>
      </c>
      <c r="AB180" s="1">
        <f t="shared" si="3"/>
        <v>6458</v>
      </c>
      <c r="AC180" s="1">
        <f t="shared" ref="AC180:AD180" si="1609">SUM(E180,H180,K180,N180)</f>
        <v>2854</v>
      </c>
      <c r="AD180" s="1">
        <f t="shared" si="1609"/>
        <v>2993</v>
      </c>
      <c r="AE180" s="1">
        <f t="shared" si="5"/>
        <v>5847</v>
      </c>
      <c r="AF180" s="2">
        <f t="shared" ref="AF180:AH180" si="1610">AC180/Z180</f>
        <v>0.91768488745980703</v>
      </c>
      <c r="AG180" s="2">
        <f t="shared" si="1610"/>
        <v>0.89396654719235369</v>
      </c>
      <c r="AH180" s="2">
        <f t="shared" si="1610"/>
        <v>0.9053886652214308</v>
      </c>
      <c r="AI180" s="1">
        <f t="shared" ref="AI180:AJ180" si="1611">SUM(E180,H180,K180)</f>
        <v>2551</v>
      </c>
      <c r="AJ180" s="1">
        <f t="shared" si="1611"/>
        <v>2596</v>
      </c>
      <c r="AK180" s="1">
        <f t="shared" si="8"/>
        <v>5147</v>
      </c>
      <c r="AL180" s="2">
        <f t="shared" ref="AL180:AN180" si="1612">AI180/Z180</f>
        <v>0.8202572347266881</v>
      </c>
      <c r="AM180" s="2">
        <f t="shared" si="1612"/>
        <v>0.7753882915173238</v>
      </c>
      <c r="AN180" s="2">
        <f t="shared" si="1612"/>
        <v>0.79699597398575406</v>
      </c>
      <c r="AO180" s="2">
        <f t="shared" ref="AO180:AQ180" si="1613">E180/Z180</f>
        <v>8.2636655948553059E-2</v>
      </c>
      <c r="AP180" s="2">
        <f t="shared" si="1613"/>
        <v>4.3309438470728795E-2</v>
      </c>
      <c r="AQ180" s="2">
        <f t="shared" si="1613"/>
        <v>6.2248374109631466E-2</v>
      </c>
      <c r="AR180" s="2">
        <f t="shared" si="11"/>
        <v>0.11414790996784566</v>
      </c>
      <c r="AS180" s="2">
        <f t="shared" ref="AS180:AT180" si="1614">R180/AA180</f>
        <v>0.10603345280764635</v>
      </c>
      <c r="AT180" s="2">
        <f t="shared" si="1614"/>
        <v>9.4611334778569214E-2</v>
      </c>
      <c r="AU180" s="2">
        <f t="shared" ref="AU180:AW180" si="1615">T180/W180</f>
        <v>1.6445287792536369E-2</v>
      </c>
      <c r="AV180" s="2">
        <f t="shared" si="1597"/>
        <v>2.0193151887620719E-2</v>
      </c>
      <c r="AW180" s="2">
        <f t="shared" si="1597"/>
        <v>1.8391852865177079E-2</v>
      </c>
    </row>
    <row r="181" spans="1:49" ht="13" x14ac:dyDescent="0.15">
      <c r="A181" s="1">
        <v>2023</v>
      </c>
      <c r="B181" s="1" t="s">
        <v>49</v>
      </c>
      <c r="C181" s="1" t="s">
        <v>99</v>
      </c>
      <c r="D181" s="1" t="s">
        <v>124</v>
      </c>
      <c r="E181" s="1">
        <v>133</v>
      </c>
      <c r="F181" s="1">
        <v>60</v>
      </c>
      <c r="G181" s="1">
        <v>193</v>
      </c>
      <c r="H181" s="1">
        <v>978</v>
      </c>
      <c r="I181" s="1">
        <v>923</v>
      </c>
      <c r="J181" s="1">
        <v>1901</v>
      </c>
      <c r="K181" s="1">
        <v>502</v>
      </c>
      <c r="L181" s="1">
        <v>628</v>
      </c>
      <c r="M181" s="1">
        <v>1130</v>
      </c>
      <c r="N181" s="1">
        <v>165</v>
      </c>
      <c r="O181" s="1">
        <v>237</v>
      </c>
      <c r="P181" s="1">
        <v>402</v>
      </c>
      <c r="Q181" s="1">
        <v>238</v>
      </c>
      <c r="R181" s="1">
        <v>363</v>
      </c>
      <c r="S181" s="1">
        <v>601</v>
      </c>
      <c r="T181" s="1">
        <v>33</v>
      </c>
      <c r="U181" s="1">
        <v>43</v>
      </c>
      <c r="V181" s="1">
        <v>76</v>
      </c>
      <c r="W181" s="1">
        <f t="shared" ref="W181:X181" si="1616">SUM(E181,H181,K181,N181,Q181,T181)</f>
        <v>2049</v>
      </c>
      <c r="X181" s="1">
        <f t="shared" si="1616"/>
        <v>2254</v>
      </c>
      <c r="Y181" s="1">
        <f t="shared" si="1"/>
        <v>4303</v>
      </c>
      <c r="Z181" s="1">
        <f t="shared" ref="Z181:AA181" si="1617">W181-T181</f>
        <v>2016</v>
      </c>
      <c r="AA181" s="1">
        <f t="shared" si="1617"/>
        <v>2211</v>
      </c>
      <c r="AB181" s="1">
        <f t="shared" si="3"/>
        <v>4227</v>
      </c>
      <c r="AC181" s="1">
        <f t="shared" ref="AC181:AD181" si="1618">SUM(E181,H181,K181,N181)</f>
        <v>1778</v>
      </c>
      <c r="AD181" s="1">
        <f t="shared" si="1618"/>
        <v>1848</v>
      </c>
      <c r="AE181" s="1">
        <f t="shared" si="5"/>
        <v>3626</v>
      </c>
      <c r="AF181" s="2">
        <f t="shared" ref="AF181:AH181" si="1619">AC181/Z181</f>
        <v>0.88194444444444442</v>
      </c>
      <c r="AG181" s="2">
        <f t="shared" si="1619"/>
        <v>0.83582089552238803</v>
      </c>
      <c r="AH181" s="2">
        <f t="shared" si="1619"/>
        <v>0.85781878400757039</v>
      </c>
      <c r="AI181" s="1">
        <f t="shared" ref="AI181:AJ181" si="1620">SUM(E181,H181,K181)</f>
        <v>1613</v>
      </c>
      <c r="AJ181" s="1">
        <f t="shared" si="1620"/>
        <v>1611</v>
      </c>
      <c r="AK181" s="1">
        <f t="shared" si="8"/>
        <v>3224</v>
      </c>
      <c r="AL181" s="2">
        <f t="shared" ref="AL181:AN181" si="1621">AI181/Z181</f>
        <v>0.80009920634920639</v>
      </c>
      <c r="AM181" s="2">
        <f t="shared" si="1621"/>
        <v>0.72862957937584805</v>
      </c>
      <c r="AN181" s="2">
        <f t="shared" si="1621"/>
        <v>0.76271587414241782</v>
      </c>
      <c r="AO181" s="2">
        <f t="shared" ref="AO181:AQ181" si="1622">E181/Z181</f>
        <v>6.5972222222222224E-2</v>
      </c>
      <c r="AP181" s="2">
        <f t="shared" si="1622"/>
        <v>2.7137042062415198E-2</v>
      </c>
      <c r="AQ181" s="2">
        <f t="shared" si="1622"/>
        <v>4.5658859711379229E-2</v>
      </c>
      <c r="AR181" s="2">
        <f t="shared" si="11"/>
        <v>0.18005952380952381</v>
      </c>
      <c r="AS181" s="2">
        <f t="shared" ref="AS181:AT181" si="1623">R181/AA181</f>
        <v>0.16417910447761194</v>
      </c>
      <c r="AT181" s="2">
        <f t="shared" si="1623"/>
        <v>0.14218121599242961</v>
      </c>
      <c r="AU181" s="2">
        <f t="shared" ref="AU181:AW181" si="1624">T181/W181</f>
        <v>1.6105417276720352E-2</v>
      </c>
      <c r="AV181" s="2">
        <f t="shared" si="1597"/>
        <v>1.9077196095829637E-2</v>
      </c>
      <c r="AW181" s="2">
        <f t="shared" si="1597"/>
        <v>1.7662096211945155E-2</v>
      </c>
    </row>
    <row r="182" spans="1:49" ht="13" x14ac:dyDescent="0.15">
      <c r="A182" s="1">
        <v>2023</v>
      </c>
      <c r="B182" s="1" t="s">
        <v>49</v>
      </c>
      <c r="C182" s="1" t="s">
        <v>59</v>
      </c>
      <c r="D182" s="1" t="s">
        <v>125</v>
      </c>
      <c r="E182" s="1">
        <v>12</v>
      </c>
      <c r="F182" s="1">
        <v>5</v>
      </c>
      <c r="G182" s="1">
        <v>17</v>
      </c>
      <c r="H182" s="1">
        <v>443</v>
      </c>
      <c r="I182" s="1">
        <v>311</v>
      </c>
      <c r="J182" s="1">
        <v>754</v>
      </c>
      <c r="K182" s="1">
        <v>364</v>
      </c>
      <c r="L182" s="1">
        <v>409</v>
      </c>
      <c r="M182" s="1">
        <v>773</v>
      </c>
      <c r="N182" s="1">
        <v>153</v>
      </c>
      <c r="O182" s="1">
        <v>157</v>
      </c>
      <c r="P182" s="1">
        <v>310</v>
      </c>
      <c r="Q182" s="1">
        <v>139</v>
      </c>
      <c r="R182" s="1">
        <v>177</v>
      </c>
      <c r="S182" s="1">
        <v>316</v>
      </c>
      <c r="T182" s="1">
        <v>0</v>
      </c>
      <c r="U182" s="1">
        <v>3</v>
      </c>
      <c r="V182" s="1">
        <v>3</v>
      </c>
      <c r="W182" s="1">
        <f t="shared" ref="W182:X182" si="1625">SUM(E182,H182,K182,N182,Q182,T182)</f>
        <v>1111</v>
      </c>
      <c r="X182" s="1">
        <f t="shared" si="1625"/>
        <v>1062</v>
      </c>
      <c r="Y182" s="1">
        <f t="shared" si="1"/>
        <v>2173</v>
      </c>
      <c r="Z182" s="1">
        <f t="shared" ref="Z182:AA182" si="1626">W182-T182</f>
        <v>1111</v>
      </c>
      <c r="AA182" s="1">
        <f t="shared" si="1626"/>
        <v>1059</v>
      </c>
      <c r="AB182" s="1">
        <f t="shared" si="3"/>
        <v>2170</v>
      </c>
      <c r="AC182" s="1">
        <f t="shared" ref="AC182:AD182" si="1627">SUM(E182,H182,K182,N182)</f>
        <v>972</v>
      </c>
      <c r="AD182" s="1">
        <f t="shared" si="1627"/>
        <v>882</v>
      </c>
      <c r="AE182" s="1">
        <f t="shared" si="5"/>
        <v>1854</v>
      </c>
      <c r="AF182" s="2">
        <f t="shared" ref="AF182:AH182" si="1628">AC182/Z182</f>
        <v>0.8748874887488749</v>
      </c>
      <c r="AG182" s="2">
        <f t="shared" si="1628"/>
        <v>0.83286118980169976</v>
      </c>
      <c r="AH182" s="2">
        <f t="shared" si="1628"/>
        <v>0.85437788018433181</v>
      </c>
      <c r="AI182" s="1">
        <f t="shared" ref="AI182:AJ182" si="1629">SUM(E182,H182,K182)</f>
        <v>819</v>
      </c>
      <c r="AJ182" s="1">
        <f t="shared" si="1629"/>
        <v>725</v>
      </c>
      <c r="AK182" s="1">
        <f t="shared" si="8"/>
        <v>1544</v>
      </c>
      <c r="AL182" s="2">
        <f t="shared" ref="AL182:AN182" si="1630">AI182/Z182</f>
        <v>0.7371737173717372</v>
      </c>
      <c r="AM182" s="2">
        <f t="shared" si="1630"/>
        <v>0.68460812086874412</v>
      </c>
      <c r="AN182" s="2">
        <f t="shared" si="1630"/>
        <v>0.7115207373271889</v>
      </c>
      <c r="AO182" s="2">
        <f t="shared" ref="AO182:AQ182" si="1631">E182/Z182</f>
        <v>1.0801080108010801E-2</v>
      </c>
      <c r="AP182" s="2">
        <f t="shared" si="1631"/>
        <v>4.721435316336166E-3</v>
      </c>
      <c r="AQ182" s="2">
        <f t="shared" si="1631"/>
        <v>7.8341013824884797E-3</v>
      </c>
      <c r="AR182" s="2">
        <f t="shared" si="11"/>
        <v>0.15931593159315932</v>
      </c>
      <c r="AS182" s="2">
        <f t="shared" ref="AS182:AT182" si="1632">R182/AA182</f>
        <v>0.16713881019830029</v>
      </c>
      <c r="AT182" s="2">
        <f t="shared" si="1632"/>
        <v>0.14562211981566819</v>
      </c>
      <c r="AU182" s="2">
        <f t="shared" ref="AU182:AW182" si="1633">T182/W182</f>
        <v>0</v>
      </c>
      <c r="AV182" s="2">
        <f t="shared" si="1597"/>
        <v>2.8248587570621469E-3</v>
      </c>
      <c r="AW182" s="2">
        <f t="shared" si="1597"/>
        <v>1.3805798435342844E-3</v>
      </c>
    </row>
    <row r="183" spans="1:49" ht="13" x14ac:dyDescent="0.15">
      <c r="A183" s="1">
        <v>2023</v>
      </c>
      <c r="B183" s="1" t="s">
        <v>49</v>
      </c>
      <c r="C183" s="1" t="s">
        <v>50</v>
      </c>
      <c r="D183" s="1" t="s">
        <v>126</v>
      </c>
      <c r="E183" s="1">
        <v>32</v>
      </c>
      <c r="F183" s="1">
        <v>26</v>
      </c>
      <c r="G183" s="1">
        <v>58</v>
      </c>
      <c r="H183" s="1">
        <v>175</v>
      </c>
      <c r="I183" s="1">
        <v>195</v>
      </c>
      <c r="J183" s="1">
        <v>370</v>
      </c>
      <c r="K183" s="1">
        <v>44</v>
      </c>
      <c r="L183" s="1">
        <v>41</v>
      </c>
      <c r="M183" s="1">
        <v>85</v>
      </c>
      <c r="N183" s="1">
        <v>21</v>
      </c>
      <c r="O183" s="1">
        <v>29</v>
      </c>
      <c r="P183" s="1">
        <v>50</v>
      </c>
      <c r="Q183" s="1">
        <v>11</v>
      </c>
      <c r="R183" s="1">
        <v>8</v>
      </c>
      <c r="S183" s="1">
        <v>19</v>
      </c>
      <c r="T183" s="1">
        <v>0</v>
      </c>
      <c r="U183" s="1">
        <v>1</v>
      </c>
      <c r="V183" s="1">
        <v>1</v>
      </c>
      <c r="W183" s="1">
        <f t="shared" ref="W183:X183" si="1634">SUM(E183,H183,K183,N183,Q183,T183)</f>
        <v>283</v>
      </c>
      <c r="X183" s="1">
        <f t="shared" si="1634"/>
        <v>300</v>
      </c>
      <c r="Y183" s="1">
        <f t="shared" si="1"/>
        <v>583</v>
      </c>
      <c r="Z183" s="1">
        <f t="shared" ref="Z183:AA183" si="1635">W183-T183</f>
        <v>283</v>
      </c>
      <c r="AA183" s="1">
        <f t="shared" si="1635"/>
        <v>299</v>
      </c>
      <c r="AB183" s="1">
        <f t="shared" si="3"/>
        <v>582</v>
      </c>
      <c r="AC183" s="1">
        <f t="shared" ref="AC183:AD183" si="1636">SUM(E183,H183,K183,N183)</f>
        <v>272</v>
      </c>
      <c r="AD183" s="1">
        <f t="shared" si="1636"/>
        <v>291</v>
      </c>
      <c r="AE183" s="1">
        <f t="shared" si="5"/>
        <v>563</v>
      </c>
      <c r="AF183" s="2">
        <f t="shared" ref="AF183:AH183" si="1637">AC183/Z183</f>
        <v>0.96113074204946991</v>
      </c>
      <c r="AG183" s="2">
        <f t="shared" si="1637"/>
        <v>0.97324414715719065</v>
      </c>
      <c r="AH183" s="2">
        <f t="shared" si="1637"/>
        <v>0.96735395189003437</v>
      </c>
      <c r="AI183" s="1">
        <f t="shared" ref="AI183:AJ183" si="1638">SUM(E183,H183,K183)</f>
        <v>251</v>
      </c>
      <c r="AJ183" s="1">
        <f t="shared" si="1638"/>
        <v>262</v>
      </c>
      <c r="AK183" s="1">
        <f t="shared" si="8"/>
        <v>513</v>
      </c>
      <c r="AL183" s="2">
        <f t="shared" ref="AL183:AN183" si="1639">AI183/Z183</f>
        <v>0.88692579505300351</v>
      </c>
      <c r="AM183" s="2">
        <f t="shared" si="1639"/>
        <v>0.87625418060200666</v>
      </c>
      <c r="AN183" s="2">
        <f t="shared" si="1639"/>
        <v>0.88144329896907214</v>
      </c>
      <c r="AO183" s="2">
        <f t="shared" ref="AO183:AQ183" si="1640">E183/Z183</f>
        <v>0.11307420494699646</v>
      </c>
      <c r="AP183" s="2">
        <f t="shared" si="1640"/>
        <v>8.6956521739130432E-2</v>
      </c>
      <c r="AQ183" s="2">
        <f t="shared" si="1640"/>
        <v>9.9656357388316158E-2</v>
      </c>
      <c r="AR183" s="2">
        <f t="shared" si="11"/>
        <v>2.8268551236749116E-2</v>
      </c>
      <c r="AS183" s="2">
        <f t="shared" ref="AS183:AT183" si="1641">R183/AA183</f>
        <v>2.6755852842809364E-2</v>
      </c>
      <c r="AT183" s="2">
        <f t="shared" si="1641"/>
        <v>3.2646048109965638E-2</v>
      </c>
      <c r="AU183" s="2">
        <f t="shared" ref="AU183:AW183" si="1642">T183/W183</f>
        <v>0</v>
      </c>
      <c r="AV183" s="2">
        <f t="shared" si="1597"/>
        <v>3.3333333333333335E-3</v>
      </c>
      <c r="AW183" s="2">
        <f t="shared" si="1597"/>
        <v>1.7152658662092624E-3</v>
      </c>
    </row>
    <row r="184" spans="1:49" ht="13" x14ac:dyDescent="0.15">
      <c r="A184" s="1">
        <v>2023</v>
      </c>
      <c r="B184" s="1" t="s">
        <v>49</v>
      </c>
      <c r="C184" s="1" t="s">
        <v>89</v>
      </c>
      <c r="D184" s="1" t="s">
        <v>127</v>
      </c>
      <c r="E184" s="1">
        <v>136</v>
      </c>
      <c r="F184" s="1">
        <v>91</v>
      </c>
      <c r="G184" s="1">
        <v>227</v>
      </c>
      <c r="H184" s="1">
        <v>772</v>
      </c>
      <c r="I184" s="1">
        <v>842</v>
      </c>
      <c r="J184" s="1">
        <v>1614</v>
      </c>
      <c r="K184" s="1">
        <v>549</v>
      </c>
      <c r="L184" s="1">
        <v>626</v>
      </c>
      <c r="M184" s="1">
        <v>1175</v>
      </c>
      <c r="N184" s="1">
        <v>284</v>
      </c>
      <c r="O184" s="1">
        <v>325</v>
      </c>
      <c r="P184" s="1">
        <v>609</v>
      </c>
      <c r="Q184" s="1">
        <v>413</v>
      </c>
      <c r="R184" s="1">
        <v>506</v>
      </c>
      <c r="S184" s="1">
        <v>919</v>
      </c>
      <c r="T184" s="1">
        <v>19</v>
      </c>
      <c r="U184" s="1">
        <v>29</v>
      </c>
      <c r="V184" s="1">
        <v>48</v>
      </c>
      <c r="W184" s="1">
        <f t="shared" ref="W184:X184" si="1643">SUM(E184,H184,K184,N184,Q184,T184)</f>
        <v>2173</v>
      </c>
      <c r="X184" s="1">
        <f t="shared" si="1643"/>
        <v>2419</v>
      </c>
      <c r="Y184" s="1">
        <f t="shared" si="1"/>
        <v>4592</v>
      </c>
      <c r="Z184" s="1">
        <f t="shared" ref="Z184:AA184" si="1644">W184-T184</f>
        <v>2154</v>
      </c>
      <c r="AA184" s="1">
        <f t="shared" si="1644"/>
        <v>2390</v>
      </c>
      <c r="AB184" s="1">
        <f t="shared" si="3"/>
        <v>4544</v>
      </c>
      <c r="AC184" s="1">
        <f t="shared" ref="AC184:AD184" si="1645">SUM(E184,H184,K184,N184)</f>
        <v>1741</v>
      </c>
      <c r="AD184" s="1">
        <f t="shared" si="1645"/>
        <v>1884</v>
      </c>
      <c r="AE184" s="1">
        <f t="shared" si="5"/>
        <v>3625</v>
      </c>
      <c r="AF184" s="2">
        <f t="shared" ref="AF184:AH184" si="1646">AC184/Z184</f>
        <v>0.80826369545032495</v>
      </c>
      <c r="AG184" s="2">
        <f t="shared" si="1646"/>
        <v>0.78828451882845185</v>
      </c>
      <c r="AH184" s="2">
        <f t="shared" si="1646"/>
        <v>0.79775528169014087</v>
      </c>
      <c r="AI184" s="1">
        <f t="shared" ref="AI184:AJ184" si="1647">SUM(E184,H184,K184)</f>
        <v>1457</v>
      </c>
      <c r="AJ184" s="1">
        <f t="shared" si="1647"/>
        <v>1559</v>
      </c>
      <c r="AK184" s="1">
        <f t="shared" si="8"/>
        <v>3016</v>
      </c>
      <c r="AL184" s="2">
        <f t="shared" ref="AL184:AN184" si="1648">AI184/Z184</f>
        <v>0.67641597028783662</v>
      </c>
      <c r="AM184" s="2">
        <f t="shared" si="1648"/>
        <v>0.6523012552301255</v>
      </c>
      <c r="AN184" s="2">
        <f t="shared" si="1648"/>
        <v>0.66373239436619713</v>
      </c>
      <c r="AO184" s="2">
        <f t="shared" ref="AO184:AQ184" si="1649">E184/Z184</f>
        <v>6.313834726090993E-2</v>
      </c>
      <c r="AP184" s="2">
        <f t="shared" si="1649"/>
        <v>3.8075313807531382E-2</v>
      </c>
      <c r="AQ184" s="2">
        <f t="shared" si="1649"/>
        <v>4.9955985915492961E-2</v>
      </c>
      <c r="AR184" s="2">
        <f t="shared" si="11"/>
        <v>0.23491179201485607</v>
      </c>
      <c r="AS184" s="2">
        <f t="shared" ref="AS184:AT184" si="1650">R184/AA184</f>
        <v>0.21171548117154812</v>
      </c>
      <c r="AT184" s="2">
        <f t="shared" si="1650"/>
        <v>0.20224471830985916</v>
      </c>
      <c r="AU184" s="2">
        <f t="shared" ref="AU184:AW184" si="1651">T184/W184</f>
        <v>8.7436723423838011E-3</v>
      </c>
      <c r="AV184" s="2">
        <f t="shared" si="1597"/>
        <v>1.1988424968995453E-2</v>
      </c>
      <c r="AW184" s="2">
        <f t="shared" si="1597"/>
        <v>1.0452961672473868E-2</v>
      </c>
    </row>
    <row r="185" spans="1:49" ht="13" x14ac:dyDescent="0.15">
      <c r="A185" s="1">
        <v>2023</v>
      </c>
      <c r="B185" s="1" t="s">
        <v>49</v>
      </c>
      <c r="C185" s="1" t="s">
        <v>50</v>
      </c>
      <c r="D185" s="1" t="s">
        <v>128</v>
      </c>
      <c r="E185" s="1">
        <v>321</v>
      </c>
      <c r="F185" s="1">
        <v>381</v>
      </c>
      <c r="G185" s="1">
        <v>702</v>
      </c>
      <c r="H185" s="1">
        <v>1143</v>
      </c>
      <c r="I185" s="1">
        <v>1615</v>
      </c>
      <c r="J185" s="1">
        <v>2758</v>
      </c>
      <c r="K185" s="1">
        <v>353</v>
      </c>
      <c r="L185" s="1">
        <v>524</v>
      </c>
      <c r="M185" s="1">
        <v>877</v>
      </c>
      <c r="N185" s="1">
        <v>162</v>
      </c>
      <c r="O185" s="1">
        <v>252</v>
      </c>
      <c r="P185" s="1">
        <v>414</v>
      </c>
      <c r="Q185" s="1">
        <v>147</v>
      </c>
      <c r="R185" s="1">
        <v>169</v>
      </c>
      <c r="S185" s="1">
        <v>316</v>
      </c>
      <c r="T185" s="1">
        <v>51</v>
      </c>
      <c r="U185" s="1">
        <v>38</v>
      </c>
      <c r="V185" s="1">
        <v>89</v>
      </c>
      <c r="W185" s="1">
        <f t="shared" ref="W185:X185" si="1652">SUM(E185,H185,K185,N185,Q185,T185)</f>
        <v>2177</v>
      </c>
      <c r="X185" s="1">
        <f t="shared" si="1652"/>
        <v>2979</v>
      </c>
      <c r="Y185" s="1">
        <f t="shared" si="1"/>
        <v>5156</v>
      </c>
      <c r="Z185" s="1">
        <f t="shared" ref="Z185:AA185" si="1653">W185-T185</f>
        <v>2126</v>
      </c>
      <c r="AA185" s="1">
        <f t="shared" si="1653"/>
        <v>2941</v>
      </c>
      <c r="AB185" s="1">
        <f t="shared" si="3"/>
        <v>5067</v>
      </c>
      <c r="AC185" s="1">
        <f t="shared" ref="AC185:AD185" si="1654">SUM(E185,H185,K185,N185)</f>
        <v>1979</v>
      </c>
      <c r="AD185" s="1">
        <f t="shared" si="1654"/>
        <v>2772</v>
      </c>
      <c r="AE185" s="1">
        <f t="shared" si="5"/>
        <v>4751</v>
      </c>
      <c r="AF185" s="2">
        <f t="shared" ref="AF185:AH185" si="1655">AC185/Z185</f>
        <v>0.93085606773283158</v>
      </c>
      <c r="AG185" s="2">
        <f t="shared" si="1655"/>
        <v>0.94253655219313159</v>
      </c>
      <c r="AH185" s="2">
        <f t="shared" si="1655"/>
        <v>0.93763568186303536</v>
      </c>
      <c r="AI185" s="1">
        <f t="shared" ref="AI185:AJ185" si="1656">SUM(E185,H185,K185)</f>
        <v>1817</v>
      </c>
      <c r="AJ185" s="1">
        <f t="shared" si="1656"/>
        <v>2520</v>
      </c>
      <c r="AK185" s="1">
        <f t="shared" si="8"/>
        <v>4337</v>
      </c>
      <c r="AL185" s="2">
        <f t="shared" ref="AL185:AN185" si="1657">AI185/Z185</f>
        <v>0.85465663217309507</v>
      </c>
      <c r="AM185" s="2">
        <f t="shared" si="1657"/>
        <v>0.85685141108466512</v>
      </c>
      <c r="AN185" s="2">
        <f t="shared" si="1657"/>
        <v>0.85593053088612592</v>
      </c>
      <c r="AO185" s="2">
        <f t="shared" ref="AO185:AQ185" si="1658">E185/Z185</f>
        <v>0.15098777046095954</v>
      </c>
      <c r="AP185" s="2">
        <f t="shared" si="1658"/>
        <v>0.12954777286637198</v>
      </c>
      <c r="AQ185" s="2">
        <f t="shared" si="1658"/>
        <v>0.13854351687388988</v>
      </c>
      <c r="AR185" s="2">
        <f t="shared" si="11"/>
        <v>7.9492003762935096E-2</v>
      </c>
      <c r="AS185" s="2">
        <f t="shared" ref="AS185:AT185" si="1659">R185/AA185</f>
        <v>5.7463447806868413E-2</v>
      </c>
      <c r="AT185" s="2">
        <f t="shared" si="1659"/>
        <v>6.2364318136964671E-2</v>
      </c>
      <c r="AU185" s="2">
        <f t="shared" ref="AU185:AW185" si="1660">T185/W185</f>
        <v>2.3426734037666513E-2</v>
      </c>
      <c r="AV185" s="2">
        <f t="shared" si="1597"/>
        <v>1.2755958375293723E-2</v>
      </c>
      <c r="AW185" s="2">
        <f t="shared" si="1597"/>
        <v>1.7261442979053531E-2</v>
      </c>
    </row>
    <row r="186" spans="1:49" ht="13" x14ac:dyDescent="0.15">
      <c r="A186" s="1">
        <v>2023</v>
      </c>
      <c r="B186" s="1" t="s">
        <v>69</v>
      </c>
      <c r="C186" s="1" t="s">
        <v>129</v>
      </c>
      <c r="D186" s="1" t="s">
        <v>129</v>
      </c>
      <c r="E186" s="1">
        <v>4787</v>
      </c>
      <c r="F186" s="1">
        <v>4302</v>
      </c>
      <c r="G186" s="1">
        <v>9089</v>
      </c>
      <c r="H186" s="1">
        <v>7448</v>
      </c>
      <c r="I186" s="1">
        <v>8788</v>
      </c>
      <c r="J186" s="1">
        <v>16236</v>
      </c>
      <c r="K186" s="1">
        <v>1414</v>
      </c>
      <c r="L186" s="1">
        <v>1988</v>
      </c>
      <c r="M186" s="1">
        <v>3402</v>
      </c>
      <c r="N186" s="1">
        <v>659</v>
      </c>
      <c r="O186" s="1">
        <v>916</v>
      </c>
      <c r="P186" s="1">
        <v>1575</v>
      </c>
      <c r="Q186" s="1">
        <v>516</v>
      </c>
      <c r="R186" s="1">
        <v>702</v>
      </c>
      <c r="S186" s="1">
        <v>1218</v>
      </c>
      <c r="T186" s="1">
        <v>193</v>
      </c>
      <c r="U186" s="1">
        <v>189</v>
      </c>
      <c r="V186" s="1">
        <v>382</v>
      </c>
      <c r="W186" s="1">
        <f t="shared" ref="W186:X186" si="1661">SUM(E186,H186,K186,N186,Q186,T186)</f>
        <v>15017</v>
      </c>
      <c r="X186" s="1">
        <f t="shared" si="1661"/>
        <v>16885</v>
      </c>
      <c r="Y186" s="1">
        <f t="shared" si="1"/>
        <v>31902</v>
      </c>
      <c r="Z186" s="1">
        <f t="shared" ref="Z186:AA186" si="1662">W186-T186</f>
        <v>14824</v>
      </c>
      <c r="AA186" s="1">
        <f t="shared" si="1662"/>
        <v>16696</v>
      </c>
      <c r="AB186" s="1">
        <f t="shared" si="3"/>
        <v>31520</v>
      </c>
      <c r="AC186" s="1">
        <f t="shared" ref="AC186:AD186" si="1663">SUM(E186,H186,K186,N186)</f>
        <v>14308</v>
      </c>
      <c r="AD186" s="1">
        <f t="shared" si="1663"/>
        <v>15994</v>
      </c>
      <c r="AE186" s="1">
        <f t="shared" si="5"/>
        <v>30302</v>
      </c>
      <c r="AF186" s="2">
        <f t="shared" ref="AF186:AH186" si="1664">AC186/Z186</f>
        <v>0.96519158121964377</v>
      </c>
      <c r="AG186" s="2">
        <f t="shared" si="1664"/>
        <v>0.9579540009583134</v>
      </c>
      <c r="AH186" s="2">
        <f t="shared" si="1664"/>
        <v>0.96135786802030454</v>
      </c>
      <c r="AI186" s="1">
        <f t="shared" ref="AI186:AJ186" si="1665">SUM(E186,H186,K186)</f>
        <v>13649</v>
      </c>
      <c r="AJ186" s="1">
        <f t="shared" si="1665"/>
        <v>15078</v>
      </c>
      <c r="AK186" s="1">
        <f t="shared" si="8"/>
        <v>28727</v>
      </c>
      <c r="AL186" s="2">
        <f t="shared" ref="AL186:AN186" si="1666">AI186/Z186</f>
        <v>0.92073664328116567</v>
      </c>
      <c r="AM186" s="2">
        <f t="shared" si="1666"/>
        <v>0.9030905606133206</v>
      </c>
      <c r="AN186" s="2">
        <f t="shared" si="1666"/>
        <v>0.91138959390862939</v>
      </c>
      <c r="AO186" s="2">
        <f t="shared" ref="AO186:AQ186" si="1667">E186/Z186</f>
        <v>0.32292228818132757</v>
      </c>
      <c r="AP186" s="2">
        <f t="shared" si="1667"/>
        <v>0.25766650694777193</v>
      </c>
      <c r="AQ186" s="2">
        <f t="shared" si="1667"/>
        <v>0.28835659898477156</v>
      </c>
      <c r="AR186" s="2">
        <f t="shared" si="11"/>
        <v>4.7355639503507824E-2</v>
      </c>
      <c r="AS186" s="2">
        <f t="shared" ref="AS186:AT186" si="1668">R186/AA186</f>
        <v>4.2045999041686634E-2</v>
      </c>
      <c r="AT186" s="2">
        <f t="shared" si="1668"/>
        <v>3.8642131979695432E-2</v>
      </c>
      <c r="AU186" s="2">
        <f t="shared" ref="AU186:AW186" si="1669">T186/W186</f>
        <v>1.2852100952254112E-2</v>
      </c>
      <c r="AV186" s="2">
        <f t="shared" si="1597"/>
        <v>1.1193366893692627E-2</v>
      </c>
      <c r="AW186" s="2">
        <f t="shared" si="1597"/>
        <v>1.1974170898376277E-2</v>
      </c>
    </row>
    <row r="187" spans="1:49" ht="13" x14ac:dyDescent="0.15">
      <c r="A187" s="1">
        <v>2023</v>
      </c>
      <c r="B187" s="1" t="s">
        <v>69</v>
      </c>
      <c r="C187" s="1" t="s">
        <v>89</v>
      </c>
      <c r="D187" s="1" t="s">
        <v>130</v>
      </c>
      <c r="E187" s="1">
        <v>529</v>
      </c>
      <c r="F187" s="1">
        <v>365</v>
      </c>
      <c r="G187" s="1">
        <v>894</v>
      </c>
      <c r="H187" s="1">
        <v>2312</v>
      </c>
      <c r="I187" s="1">
        <v>2818</v>
      </c>
      <c r="J187" s="1">
        <v>5130</v>
      </c>
      <c r="K187" s="1">
        <v>1063</v>
      </c>
      <c r="L187" s="1">
        <v>1547</v>
      </c>
      <c r="M187" s="1">
        <v>2610</v>
      </c>
      <c r="N187" s="1">
        <v>519</v>
      </c>
      <c r="O187" s="1">
        <v>706</v>
      </c>
      <c r="P187" s="1">
        <v>1225</v>
      </c>
      <c r="Q187" s="1">
        <v>621</v>
      </c>
      <c r="R187" s="1">
        <v>872</v>
      </c>
      <c r="S187" s="1">
        <v>1493</v>
      </c>
      <c r="T187" s="1">
        <v>74</v>
      </c>
      <c r="U187" s="1">
        <v>72</v>
      </c>
      <c r="V187" s="1">
        <v>146</v>
      </c>
      <c r="W187" s="1">
        <f t="shared" ref="W187:X187" si="1670">SUM(E187,H187,K187,N187,Q187,T187)</f>
        <v>5118</v>
      </c>
      <c r="X187" s="1">
        <f t="shared" si="1670"/>
        <v>6380</v>
      </c>
      <c r="Y187" s="1">
        <f t="shared" si="1"/>
        <v>11498</v>
      </c>
      <c r="Z187" s="1">
        <f t="shared" ref="Z187:AA187" si="1671">W187-T187</f>
        <v>5044</v>
      </c>
      <c r="AA187" s="1">
        <f t="shared" si="1671"/>
        <v>6308</v>
      </c>
      <c r="AB187" s="1">
        <f t="shared" si="3"/>
        <v>11352</v>
      </c>
      <c r="AC187" s="1">
        <f t="shared" ref="AC187:AD187" si="1672">SUM(E187,H187,K187,N187)</f>
        <v>4423</v>
      </c>
      <c r="AD187" s="1">
        <f t="shared" si="1672"/>
        <v>5436</v>
      </c>
      <c r="AE187" s="1">
        <f t="shared" si="5"/>
        <v>9859</v>
      </c>
      <c r="AF187" s="2">
        <f t="shared" ref="AF187:AH187" si="1673">AC187/Z187</f>
        <v>0.87688342585249801</v>
      </c>
      <c r="AG187" s="2">
        <f t="shared" si="1673"/>
        <v>0.86176284083703236</v>
      </c>
      <c r="AH187" s="2">
        <f t="shared" si="1673"/>
        <v>0.86848132487667373</v>
      </c>
      <c r="AI187" s="1">
        <f t="shared" ref="AI187:AJ187" si="1674">SUM(E187,H187,K187)</f>
        <v>3904</v>
      </c>
      <c r="AJ187" s="1">
        <f t="shared" si="1674"/>
        <v>4730</v>
      </c>
      <c r="AK187" s="1">
        <f t="shared" si="8"/>
        <v>8634</v>
      </c>
      <c r="AL187" s="2">
        <f t="shared" ref="AL187:AN187" si="1675">AI187/Z187</f>
        <v>0.77398889770023793</v>
      </c>
      <c r="AM187" s="2">
        <f t="shared" si="1675"/>
        <v>0.74984147114774891</v>
      </c>
      <c r="AN187" s="2">
        <f t="shared" si="1675"/>
        <v>0.76057082452431291</v>
      </c>
      <c r="AO187" s="2">
        <f t="shared" ref="AO187:AQ187" si="1676">E187/Z187</f>
        <v>0.10487708168120539</v>
      </c>
      <c r="AP187" s="2">
        <f t="shared" si="1676"/>
        <v>5.7863031071655038E-2</v>
      </c>
      <c r="AQ187" s="2">
        <f t="shared" si="1676"/>
        <v>7.8752642706131082E-2</v>
      </c>
      <c r="AR187" s="2">
        <f t="shared" si="11"/>
        <v>0.17287866772402855</v>
      </c>
      <c r="AS187" s="2">
        <f t="shared" ref="AS187:AT187" si="1677">R187/AA187</f>
        <v>0.13823715916296767</v>
      </c>
      <c r="AT187" s="2">
        <f t="shared" si="1677"/>
        <v>0.1315186751233263</v>
      </c>
      <c r="AU187" s="2">
        <f t="shared" ref="AU187:AW187" si="1678">T187/W187</f>
        <v>1.4458772958186792E-2</v>
      </c>
      <c r="AV187" s="2">
        <f t="shared" si="1597"/>
        <v>1.128526645768025E-2</v>
      </c>
      <c r="AW187" s="2">
        <f t="shared" si="1597"/>
        <v>1.2697860497477823E-2</v>
      </c>
    </row>
    <row r="188" spans="1:49" ht="13" x14ac:dyDescent="0.15">
      <c r="A188" s="1">
        <v>2023</v>
      </c>
      <c r="B188" s="1" t="s">
        <v>117</v>
      </c>
      <c r="C188" s="1" t="s">
        <v>101</v>
      </c>
      <c r="D188" s="1" t="s">
        <v>131</v>
      </c>
      <c r="E188" s="1">
        <v>251</v>
      </c>
      <c r="F188" s="1">
        <v>172</v>
      </c>
      <c r="G188" s="1">
        <v>423</v>
      </c>
      <c r="H188" s="1">
        <v>1193</v>
      </c>
      <c r="I188" s="1">
        <v>1200</v>
      </c>
      <c r="J188" s="1">
        <v>2393</v>
      </c>
      <c r="K188" s="1">
        <v>396</v>
      </c>
      <c r="L188" s="1">
        <v>556</v>
      </c>
      <c r="M188" s="1">
        <v>952</v>
      </c>
      <c r="N188" s="1">
        <v>126</v>
      </c>
      <c r="O188" s="1">
        <v>167</v>
      </c>
      <c r="P188" s="1">
        <v>293</v>
      </c>
      <c r="Q188" s="1">
        <v>127</v>
      </c>
      <c r="R188" s="1">
        <v>224</v>
      </c>
      <c r="S188" s="1">
        <v>351</v>
      </c>
      <c r="T188" s="1">
        <v>42</v>
      </c>
      <c r="U188" s="1">
        <v>42</v>
      </c>
      <c r="V188" s="1">
        <v>84</v>
      </c>
      <c r="W188" s="1">
        <f t="shared" ref="W188:X188" si="1679">SUM(E188,H188,K188,N188,Q188,T188)</f>
        <v>2135</v>
      </c>
      <c r="X188" s="1">
        <f t="shared" si="1679"/>
        <v>2361</v>
      </c>
      <c r="Y188" s="1">
        <f t="shared" si="1"/>
        <v>4496</v>
      </c>
      <c r="Z188" s="1">
        <f t="shared" ref="Z188:AA188" si="1680">W188-T188</f>
        <v>2093</v>
      </c>
      <c r="AA188" s="1">
        <f t="shared" si="1680"/>
        <v>2319</v>
      </c>
      <c r="AB188" s="1">
        <f t="shared" si="3"/>
        <v>4412</v>
      </c>
      <c r="AC188" s="1">
        <f t="shared" ref="AC188:AD188" si="1681">SUM(E188,H188,K188,N188)</f>
        <v>1966</v>
      </c>
      <c r="AD188" s="1">
        <f t="shared" si="1681"/>
        <v>2095</v>
      </c>
      <c r="AE188" s="1">
        <f t="shared" si="5"/>
        <v>4061</v>
      </c>
      <c r="AF188" s="2">
        <f t="shared" ref="AF188:AH188" si="1682">AC188/Z188</f>
        <v>0.93932154801720014</v>
      </c>
      <c r="AG188" s="2">
        <f t="shared" si="1682"/>
        <v>0.90340664079344546</v>
      </c>
      <c r="AH188" s="2">
        <f t="shared" si="1682"/>
        <v>0.92044424297370808</v>
      </c>
      <c r="AI188" s="1">
        <f t="shared" ref="AI188:AJ188" si="1683">SUM(E188,H188,K188)</f>
        <v>1840</v>
      </c>
      <c r="AJ188" s="1">
        <f t="shared" si="1683"/>
        <v>1928</v>
      </c>
      <c r="AK188" s="1">
        <f t="shared" si="8"/>
        <v>3768</v>
      </c>
      <c r="AL188" s="2">
        <f t="shared" ref="AL188:AN188" si="1684">AI188/Z188</f>
        <v>0.87912087912087911</v>
      </c>
      <c r="AM188" s="2">
        <f t="shared" si="1684"/>
        <v>0.83139284174213024</v>
      </c>
      <c r="AN188" s="2">
        <f t="shared" si="1684"/>
        <v>0.85403445149592017</v>
      </c>
      <c r="AO188" s="2">
        <f t="shared" ref="AO188:AQ188" si="1685">E188/Z188</f>
        <v>0.11992355470616341</v>
      </c>
      <c r="AP188" s="2">
        <f t="shared" si="1685"/>
        <v>7.4169900819318665E-2</v>
      </c>
      <c r="AQ188" s="2">
        <f t="shared" si="1685"/>
        <v>9.5874886672710782E-2</v>
      </c>
      <c r="AR188" s="2">
        <f t="shared" si="11"/>
        <v>0.10702341137123746</v>
      </c>
      <c r="AS188" s="2">
        <f t="shared" ref="AS188:AT188" si="1686">R188/AA188</f>
        <v>9.6593359206554555E-2</v>
      </c>
      <c r="AT188" s="2">
        <f t="shared" si="1686"/>
        <v>7.9555757026291932E-2</v>
      </c>
      <c r="AU188" s="2">
        <f t="shared" ref="AU188:AW188" si="1687">T188/W188</f>
        <v>1.9672131147540985E-2</v>
      </c>
      <c r="AV188" s="2">
        <f t="shared" si="1597"/>
        <v>1.7789072426937738E-2</v>
      </c>
      <c r="AW188" s="2">
        <f t="shared" si="1597"/>
        <v>1.8683274021352312E-2</v>
      </c>
    </row>
    <row r="189" spans="1:49" ht="13" x14ac:dyDescent="0.15">
      <c r="A189" s="1">
        <v>2023</v>
      </c>
      <c r="B189" s="1" t="s">
        <v>49</v>
      </c>
      <c r="C189" s="1" t="s">
        <v>52</v>
      </c>
      <c r="D189" s="1" t="s">
        <v>132</v>
      </c>
      <c r="E189" s="1">
        <v>291</v>
      </c>
      <c r="F189" s="1">
        <v>240</v>
      </c>
      <c r="G189" s="1">
        <v>531</v>
      </c>
      <c r="H189" s="1">
        <v>1082</v>
      </c>
      <c r="I189" s="1">
        <v>1266</v>
      </c>
      <c r="J189" s="1">
        <v>2348</v>
      </c>
      <c r="K189" s="1">
        <v>535</v>
      </c>
      <c r="L189" s="1">
        <v>901</v>
      </c>
      <c r="M189" s="1">
        <v>1436</v>
      </c>
      <c r="N189" s="1">
        <v>216</v>
      </c>
      <c r="O189" s="1">
        <v>297</v>
      </c>
      <c r="P189" s="1">
        <v>513</v>
      </c>
      <c r="Q189" s="1">
        <v>218</v>
      </c>
      <c r="R189" s="1">
        <v>374</v>
      </c>
      <c r="S189" s="1">
        <v>592</v>
      </c>
      <c r="T189" s="1">
        <v>53</v>
      </c>
      <c r="U189" s="1">
        <v>35</v>
      </c>
      <c r="V189" s="1">
        <v>88</v>
      </c>
      <c r="W189" s="1">
        <f t="shared" ref="W189:X189" si="1688">SUM(E189,H189,K189,N189,Q189,T189)</f>
        <v>2395</v>
      </c>
      <c r="X189" s="1">
        <f t="shared" si="1688"/>
        <v>3113</v>
      </c>
      <c r="Y189" s="1">
        <f t="shared" si="1"/>
        <v>5508</v>
      </c>
      <c r="Z189" s="1">
        <f t="shared" ref="Z189:AA189" si="1689">W189-T189</f>
        <v>2342</v>
      </c>
      <c r="AA189" s="1">
        <f t="shared" si="1689"/>
        <v>3078</v>
      </c>
      <c r="AB189" s="1">
        <f t="shared" si="3"/>
        <v>5420</v>
      </c>
      <c r="AC189" s="1">
        <f t="shared" ref="AC189:AD189" si="1690">SUM(E189,H189,K189,N189)</f>
        <v>2124</v>
      </c>
      <c r="AD189" s="1">
        <f t="shared" si="1690"/>
        <v>2704</v>
      </c>
      <c r="AE189" s="1">
        <f t="shared" si="5"/>
        <v>4828</v>
      </c>
      <c r="AF189" s="2">
        <f t="shared" ref="AF189:AH189" si="1691">AC189/Z189</f>
        <v>0.90691716481639628</v>
      </c>
      <c r="AG189" s="2">
        <f t="shared" si="1691"/>
        <v>0.87849252761533458</v>
      </c>
      <c r="AH189" s="2">
        <f t="shared" si="1691"/>
        <v>0.89077490774907753</v>
      </c>
      <c r="AI189" s="1">
        <f t="shared" ref="AI189:AJ189" si="1692">SUM(E189,H189,K189)</f>
        <v>1908</v>
      </c>
      <c r="AJ189" s="1">
        <f t="shared" si="1692"/>
        <v>2407</v>
      </c>
      <c r="AK189" s="1">
        <f t="shared" si="8"/>
        <v>4315</v>
      </c>
      <c r="AL189" s="2">
        <f t="shared" ref="AL189:AN189" si="1693">AI189/Z189</f>
        <v>0.81468830059777964</v>
      </c>
      <c r="AM189" s="2">
        <f t="shared" si="1693"/>
        <v>0.78200129954515918</v>
      </c>
      <c r="AN189" s="2">
        <f t="shared" si="1693"/>
        <v>0.79612546125461259</v>
      </c>
      <c r="AO189" s="2">
        <f t="shared" ref="AO189:AQ189" si="1694">E189/Z189</f>
        <v>0.12425277540563621</v>
      </c>
      <c r="AP189" s="2">
        <f t="shared" si="1694"/>
        <v>7.7972709551656916E-2</v>
      </c>
      <c r="AQ189" s="2">
        <f t="shared" si="1694"/>
        <v>9.7970479704797053E-2</v>
      </c>
      <c r="AR189" s="2">
        <f t="shared" si="11"/>
        <v>0.1596925704526046</v>
      </c>
      <c r="AS189" s="2">
        <f t="shared" ref="AS189:AT189" si="1695">R189/AA189</f>
        <v>0.12150747238466536</v>
      </c>
      <c r="AT189" s="2">
        <f t="shared" si="1695"/>
        <v>0.10922509225092251</v>
      </c>
      <c r="AU189" s="2">
        <f t="shared" ref="AU189:AW189" si="1696">T189/W189</f>
        <v>2.2129436325678497E-2</v>
      </c>
      <c r="AV189" s="2">
        <f t="shared" si="1597"/>
        <v>1.1243173787343399E-2</v>
      </c>
      <c r="AW189" s="2">
        <f t="shared" si="1597"/>
        <v>1.597676107480029E-2</v>
      </c>
    </row>
    <row r="190" spans="1:49" ht="13" x14ac:dyDescent="0.15">
      <c r="A190" s="1">
        <v>2023</v>
      </c>
      <c r="B190" s="1" t="s">
        <v>49</v>
      </c>
      <c r="C190" s="1" t="s">
        <v>62</v>
      </c>
      <c r="D190" s="1" t="s">
        <v>133</v>
      </c>
      <c r="E190" s="1">
        <v>148</v>
      </c>
      <c r="F190" s="1">
        <v>91</v>
      </c>
      <c r="G190" s="1">
        <v>239</v>
      </c>
      <c r="H190" s="1">
        <v>504</v>
      </c>
      <c r="I190" s="1">
        <v>494</v>
      </c>
      <c r="J190" s="1">
        <v>998</v>
      </c>
      <c r="K190" s="1">
        <v>418</v>
      </c>
      <c r="L190" s="1">
        <v>468</v>
      </c>
      <c r="M190" s="1">
        <v>886</v>
      </c>
      <c r="N190" s="1">
        <v>241</v>
      </c>
      <c r="O190" s="1">
        <v>341</v>
      </c>
      <c r="P190" s="1">
        <v>582</v>
      </c>
      <c r="Q190" s="1">
        <v>322</v>
      </c>
      <c r="R190" s="1">
        <v>523</v>
      </c>
      <c r="S190" s="1">
        <v>845</v>
      </c>
      <c r="T190" s="1">
        <v>9</v>
      </c>
      <c r="U190" s="1">
        <v>15</v>
      </c>
      <c r="V190" s="1">
        <v>24</v>
      </c>
      <c r="W190" s="1">
        <f t="shared" ref="W190:X190" si="1697">SUM(E190,H190,K190,N190,Q190,T190)</f>
        <v>1642</v>
      </c>
      <c r="X190" s="1">
        <f t="shared" si="1697"/>
        <v>1932</v>
      </c>
      <c r="Y190" s="1">
        <f t="shared" si="1"/>
        <v>3574</v>
      </c>
      <c r="Z190" s="1">
        <f t="shared" ref="Z190:AA190" si="1698">W190-T190</f>
        <v>1633</v>
      </c>
      <c r="AA190" s="1">
        <f t="shared" si="1698"/>
        <v>1917</v>
      </c>
      <c r="AB190" s="1">
        <f t="shared" si="3"/>
        <v>3550</v>
      </c>
      <c r="AC190" s="1">
        <f t="shared" ref="AC190:AD190" si="1699">SUM(E190,H190,K190,N190)</f>
        <v>1311</v>
      </c>
      <c r="AD190" s="1">
        <f t="shared" si="1699"/>
        <v>1394</v>
      </c>
      <c r="AE190" s="1">
        <f t="shared" si="5"/>
        <v>2705</v>
      </c>
      <c r="AF190" s="2">
        <f t="shared" ref="AF190:AH190" si="1700">AC190/Z190</f>
        <v>0.80281690140845074</v>
      </c>
      <c r="AG190" s="2">
        <f t="shared" si="1700"/>
        <v>0.72717788210745959</v>
      </c>
      <c r="AH190" s="2">
        <f t="shared" si="1700"/>
        <v>0.76197183098591548</v>
      </c>
      <c r="AI190" s="1">
        <f t="shared" ref="AI190:AJ190" si="1701">SUM(E190,H190,K190)</f>
        <v>1070</v>
      </c>
      <c r="AJ190" s="1">
        <f t="shared" si="1701"/>
        <v>1053</v>
      </c>
      <c r="AK190" s="1">
        <f t="shared" si="8"/>
        <v>2123</v>
      </c>
      <c r="AL190" s="2">
        <f t="shared" ref="AL190:AN190" si="1702">AI190/Z190</f>
        <v>0.65523576240048986</v>
      </c>
      <c r="AM190" s="2">
        <f t="shared" si="1702"/>
        <v>0.54929577464788737</v>
      </c>
      <c r="AN190" s="2">
        <f t="shared" si="1702"/>
        <v>0.59802816901408451</v>
      </c>
      <c r="AO190" s="2">
        <f t="shared" ref="AO190:AQ190" si="1703">E190/Z190</f>
        <v>9.0630740967544393E-2</v>
      </c>
      <c r="AP190" s="2">
        <f t="shared" si="1703"/>
        <v>4.747000521648409E-2</v>
      </c>
      <c r="AQ190" s="2">
        <f t="shared" si="1703"/>
        <v>6.7323943661971836E-2</v>
      </c>
      <c r="AR190" s="2">
        <f t="shared" si="11"/>
        <v>0.32026944274341701</v>
      </c>
      <c r="AS190" s="2">
        <f t="shared" ref="AS190:AT190" si="1704">R190/AA190</f>
        <v>0.27282211789254041</v>
      </c>
      <c r="AT190" s="2">
        <f t="shared" si="1704"/>
        <v>0.2380281690140845</v>
      </c>
      <c r="AU190" s="2">
        <f t="shared" ref="AU190:AW190" si="1705">T190/W190</f>
        <v>5.4811205846528625E-3</v>
      </c>
      <c r="AV190" s="2">
        <f t="shared" si="1597"/>
        <v>7.763975155279503E-3</v>
      </c>
      <c r="AW190" s="2">
        <f t="shared" si="1597"/>
        <v>6.7151650811415782E-3</v>
      </c>
    </row>
    <row r="191" spans="1:49" ht="13" x14ac:dyDescent="0.15">
      <c r="A191" s="1">
        <v>2023</v>
      </c>
      <c r="B191" s="1" t="s">
        <v>49</v>
      </c>
      <c r="C191" s="1" t="s">
        <v>59</v>
      </c>
      <c r="D191" s="1" t="s">
        <v>134</v>
      </c>
      <c r="E191" s="1">
        <v>14</v>
      </c>
      <c r="F191" s="1">
        <v>10</v>
      </c>
      <c r="G191" s="1">
        <v>24</v>
      </c>
      <c r="H191" s="1">
        <v>320</v>
      </c>
      <c r="I191" s="1">
        <v>233</v>
      </c>
      <c r="J191" s="1">
        <v>553</v>
      </c>
      <c r="K191" s="1">
        <v>208</v>
      </c>
      <c r="L191" s="1">
        <v>273</v>
      </c>
      <c r="M191" s="1">
        <v>481</v>
      </c>
      <c r="N191" s="1">
        <v>92</v>
      </c>
      <c r="O191" s="1">
        <v>85</v>
      </c>
      <c r="P191" s="1">
        <v>177</v>
      </c>
      <c r="Q191" s="1">
        <v>90</v>
      </c>
      <c r="R191" s="1">
        <v>117</v>
      </c>
      <c r="S191" s="1">
        <v>207</v>
      </c>
      <c r="T191" s="1">
        <v>8</v>
      </c>
      <c r="U191" s="1">
        <v>6</v>
      </c>
      <c r="V191" s="1">
        <v>14</v>
      </c>
      <c r="W191" s="1">
        <f t="shared" ref="W191:X191" si="1706">SUM(E191,H191,K191,N191,Q191,T191)</f>
        <v>732</v>
      </c>
      <c r="X191" s="1">
        <f t="shared" si="1706"/>
        <v>724</v>
      </c>
      <c r="Y191" s="1">
        <f t="shared" si="1"/>
        <v>1456</v>
      </c>
      <c r="Z191" s="1">
        <f t="shared" ref="Z191:AA191" si="1707">W191-T191</f>
        <v>724</v>
      </c>
      <c r="AA191" s="1">
        <f t="shared" si="1707"/>
        <v>718</v>
      </c>
      <c r="AB191" s="1">
        <f t="shared" si="3"/>
        <v>1442</v>
      </c>
      <c r="AC191" s="1">
        <f t="shared" ref="AC191:AD191" si="1708">SUM(E191,H191,K191,N191)</f>
        <v>634</v>
      </c>
      <c r="AD191" s="1">
        <f t="shared" si="1708"/>
        <v>601</v>
      </c>
      <c r="AE191" s="1">
        <f t="shared" si="5"/>
        <v>1235</v>
      </c>
      <c r="AF191" s="2">
        <f t="shared" ref="AF191:AH191" si="1709">AC191/Z191</f>
        <v>0.87569060773480667</v>
      </c>
      <c r="AG191" s="2">
        <f t="shared" si="1709"/>
        <v>0.8370473537604457</v>
      </c>
      <c r="AH191" s="2">
        <f t="shared" si="1709"/>
        <v>0.85644937586685155</v>
      </c>
      <c r="AI191" s="1">
        <f t="shared" ref="AI191:AJ191" si="1710">SUM(E191,H191,K191)</f>
        <v>542</v>
      </c>
      <c r="AJ191" s="1">
        <f t="shared" si="1710"/>
        <v>516</v>
      </c>
      <c r="AK191" s="1">
        <f t="shared" si="8"/>
        <v>1058</v>
      </c>
      <c r="AL191" s="2">
        <f t="shared" ref="AL191:AN191" si="1711">AI191/Z191</f>
        <v>0.74861878453038677</v>
      </c>
      <c r="AM191" s="2">
        <f t="shared" si="1711"/>
        <v>0.71866295264623958</v>
      </c>
      <c r="AN191" s="2">
        <f t="shared" si="1711"/>
        <v>0.73370319001386963</v>
      </c>
      <c r="AO191" s="2">
        <f t="shared" ref="AO191:AQ191" si="1712">E191/Z191</f>
        <v>1.9337016574585635E-2</v>
      </c>
      <c r="AP191" s="2">
        <f t="shared" si="1712"/>
        <v>1.3927576601671309E-2</v>
      </c>
      <c r="AQ191" s="2">
        <f t="shared" si="1712"/>
        <v>1.6643550624133148E-2</v>
      </c>
      <c r="AR191" s="2">
        <f t="shared" si="11"/>
        <v>0.16160220994475138</v>
      </c>
      <c r="AS191" s="2">
        <f t="shared" ref="AS191:AT191" si="1713">R191/AA191</f>
        <v>0.16295264623955433</v>
      </c>
      <c r="AT191" s="2">
        <f t="shared" si="1713"/>
        <v>0.1435506241331484</v>
      </c>
      <c r="AU191" s="2">
        <f t="shared" ref="AU191:AW191" si="1714">T191/W191</f>
        <v>1.092896174863388E-2</v>
      </c>
      <c r="AV191" s="2">
        <f t="shared" si="1597"/>
        <v>8.2872928176795577E-3</v>
      </c>
      <c r="AW191" s="2">
        <f t="shared" si="1597"/>
        <v>9.6153846153846159E-3</v>
      </c>
    </row>
    <row r="192" spans="1:49" ht="13" x14ac:dyDescent="0.15">
      <c r="A192" s="1">
        <v>2024</v>
      </c>
      <c r="B192" s="1" t="s">
        <v>74</v>
      </c>
      <c r="C192" s="1" t="s">
        <v>75</v>
      </c>
      <c r="D192" s="1" t="s">
        <v>199</v>
      </c>
      <c r="E192" s="1">
        <v>33</v>
      </c>
      <c r="F192" s="1">
        <v>6</v>
      </c>
      <c r="G192" s="1">
        <v>39</v>
      </c>
      <c r="H192" s="1">
        <v>321</v>
      </c>
      <c r="I192" s="1">
        <v>197</v>
      </c>
      <c r="J192" s="1">
        <v>518</v>
      </c>
      <c r="K192" s="1">
        <v>76</v>
      </c>
      <c r="L192" s="1">
        <v>99</v>
      </c>
      <c r="M192" s="1">
        <v>175</v>
      </c>
      <c r="N192" s="1">
        <v>33</v>
      </c>
      <c r="O192" s="1">
        <v>29</v>
      </c>
      <c r="P192" s="1">
        <v>62</v>
      </c>
      <c r="Q192" s="1">
        <v>8</v>
      </c>
      <c r="R192" s="1">
        <v>17</v>
      </c>
      <c r="S192" s="1">
        <v>25</v>
      </c>
      <c r="T192" s="1">
        <v>12</v>
      </c>
      <c r="U192" s="1">
        <v>5</v>
      </c>
      <c r="V192" s="1">
        <v>17</v>
      </c>
      <c r="W192" s="1">
        <f t="shared" ref="W192:X192" si="1715">SUM(E192,H192,K192,N192,Q192,T192)</f>
        <v>483</v>
      </c>
      <c r="X192" s="1">
        <f t="shared" si="1715"/>
        <v>353</v>
      </c>
      <c r="Y192" s="1">
        <f t="shared" si="1"/>
        <v>836</v>
      </c>
      <c r="Z192" s="1">
        <f t="shared" ref="Z192:AA192" si="1716">W192-T192</f>
        <v>471</v>
      </c>
      <c r="AA192" s="1">
        <f t="shared" si="1716"/>
        <v>348</v>
      </c>
      <c r="AB192" s="1">
        <f t="shared" si="3"/>
        <v>819</v>
      </c>
      <c r="AC192" s="1">
        <f t="shared" ref="AC192:AD192" si="1717">SUM(E192,H192,K192,N192)</f>
        <v>463</v>
      </c>
      <c r="AD192" s="1">
        <f t="shared" si="1717"/>
        <v>331</v>
      </c>
      <c r="AE192" s="1">
        <f t="shared" si="5"/>
        <v>794</v>
      </c>
      <c r="AF192" s="2">
        <f t="shared" ref="AF192:AH192" si="1718">AC192/Z192</f>
        <v>0.98301486199575372</v>
      </c>
      <c r="AG192" s="2">
        <f t="shared" si="1718"/>
        <v>0.95114942528735635</v>
      </c>
      <c r="AH192" s="2">
        <f t="shared" si="1718"/>
        <v>0.96947496947496947</v>
      </c>
      <c r="AI192" s="1">
        <f t="shared" ref="AI192:AJ192" si="1719">SUM(E192,H192,K192)</f>
        <v>430</v>
      </c>
      <c r="AJ192" s="1">
        <f t="shared" si="1719"/>
        <v>302</v>
      </c>
      <c r="AK192" s="1">
        <f t="shared" si="8"/>
        <v>732</v>
      </c>
      <c r="AL192" s="2">
        <f t="shared" ref="AL192:AN192" si="1720">AI192/Z192</f>
        <v>0.91295116772823781</v>
      </c>
      <c r="AM192" s="2">
        <f t="shared" si="1720"/>
        <v>0.86781609195402298</v>
      </c>
      <c r="AN192" s="2">
        <f t="shared" si="1720"/>
        <v>0.89377289377289382</v>
      </c>
      <c r="AO192" s="2">
        <f t="shared" ref="AO192:AQ192" si="1721">E192/Z192</f>
        <v>7.0063694267515922E-2</v>
      </c>
      <c r="AP192" s="2">
        <f t="shared" si="1721"/>
        <v>1.7241379310344827E-2</v>
      </c>
      <c r="AQ192" s="2">
        <f t="shared" si="1721"/>
        <v>4.7619047619047616E-2</v>
      </c>
      <c r="AR192" s="2">
        <f t="shared" si="11"/>
        <v>3.6093418259023353E-2</v>
      </c>
      <c r="AS192" s="2">
        <f t="shared" ref="AS192:AT192" si="1722">R192/AA192</f>
        <v>4.8850574712643681E-2</v>
      </c>
      <c r="AT192" s="2">
        <f t="shared" si="1722"/>
        <v>3.0525030525030524E-2</v>
      </c>
      <c r="AU192" s="2">
        <f t="shared" ref="AU192:AW192" si="1723">T192/W192</f>
        <v>2.4844720496894408E-2</v>
      </c>
      <c r="AV192" s="2">
        <f t="shared" si="1597"/>
        <v>1.4164305949008499E-2</v>
      </c>
      <c r="AW192" s="2">
        <f t="shared" si="1597"/>
        <v>2.033492822966507E-2</v>
      </c>
    </row>
    <row r="193" spans="1:49" ht="13" x14ac:dyDescent="0.15">
      <c r="A193" s="1">
        <v>2023</v>
      </c>
      <c r="B193" s="1" t="s">
        <v>117</v>
      </c>
      <c r="C193" s="1" t="s">
        <v>101</v>
      </c>
      <c r="D193" s="1" t="s">
        <v>136</v>
      </c>
      <c r="E193" s="1">
        <v>802</v>
      </c>
      <c r="F193" s="1">
        <v>706</v>
      </c>
      <c r="G193" s="1">
        <v>1508</v>
      </c>
      <c r="H193" s="1">
        <v>3821</v>
      </c>
      <c r="I193" s="1">
        <v>4190</v>
      </c>
      <c r="J193" s="1">
        <v>8011</v>
      </c>
      <c r="K193" s="1">
        <v>1296</v>
      </c>
      <c r="L193" s="1">
        <v>1569</v>
      </c>
      <c r="M193" s="1">
        <v>2865</v>
      </c>
      <c r="N193" s="1">
        <v>497</v>
      </c>
      <c r="O193" s="1">
        <v>576</v>
      </c>
      <c r="P193" s="1">
        <v>1073</v>
      </c>
      <c r="Q193" s="1">
        <v>311</v>
      </c>
      <c r="R193" s="1">
        <v>398</v>
      </c>
      <c r="S193" s="1">
        <v>709</v>
      </c>
      <c r="T193" s="1">
        <v>105</v>
      </c>
      <c r="U193" s="1">
        <v>138</v>
      </c>
      <c r="V193" s="1">
        <v>243</v>
      </c>
      <c r="W193" s="1">
        <f t="shared" ref="W193:X193" si="1724">SUM(E193,H193,K193,N193,Q193,T193)</f>
        <v>6832</v>
      </c>
      <c r="X193" s="1">
        <f t="shared" si="1724"/>
        <v>7577</v>
      </c>
      <c r="Y193" s="1">
        <f t="shared" si="1"/>
        <v>14409</v>
      </c>
      <c r="Z193" s="1">
        <f t="shared" ref="Z193:AA193" si="1725">W193-T193</f>
        <v>6727</v>
      </c>
      <c r="AA193" s="1">
        <f t="shared" si="1725"/>
        <v>7439</v>
      </c>
      <c r="AB193" s="1">
        <f t="shared" si="3"/>
        <v>14166</v>
      </c>
      <c r="AC193" s="1">
        <f t="shared" ref="AC193:AD193" si="1726">SUM(E193,H193,K193,N193)</f>
        <v>6416</v>
      </c>
      <c r="AD193" s="1">
        <f t="shared" si="1726"/>
        <v>7041</v>
      </c>
      <c r="AE193" s="1">
        <f t="shared" si="5"/>
        <v>13457</v>
      </c>
      <c r="AF193" s="2">
        <f t="shared" ref="AF193:AH193" si="1727">AC193/Z193</f>
        <v>0.95376839601605468</v>
      </c>
      <c r="AG193" s="2">
        <f t="shared" si="1727"/>
        <v>0.94649818523995166</v>
      </c>
      <c r="AH193" s="2">
        <f t="shared" si="1727"/>
        <v>0.9499505859099252</v>
      </c>
      <c r="AI193" s="1">
        <f t="shared" ref="AI193:AJ193" si="1728">SUM(E193,H193,K193)</f>
        <v>5919</v>
      </c>
      <c r="AJ193" s="1">
        <f t="shared" si="1728"/>
        <v>6465</v>
      </c>
      <c r="AK193" s="1">
        <f t="shared" si="8"/>
        <v>12384</v>
      </c>
      <c r="AL193" s="2">
        <f t="shared" ref="AL193:AN193" si="1729">AI193/Z193</f>
        <v>0.8798870224468559</v>
      </c>
      <c r="AM193" s="2">
        <f t="shared" si="1729"/>
        <v>0.86906842317515798</v>
      </c>
      <c r="AN193" s="2">
        <f t="shared" si="1729"/>
        <v>0.87420584498094023</v>
      </c>
      <c r="AO193" s="2">
        <f t="shared" ref="AO193:AQ193" si="1730">E193/Z193</f>
        <v>0.11922104950200683</v>
      </c>
      <c r="AP193" s="2">
        <f t="shared" si="1730"/>
        <v>9.4905229197472782E-2</v>
      </c>
      <c r="AQ193" s="2">
        <f t="shared" si="1730"/>
        <v>0.10645206833262742</v>
      </c>
      <c r="AR193" s="2">
        <f t="shared" si="11"/>
        <v>5.9164560725434814E-2</v>
      </c>
      <c r="AS193" s="2">
        <f t="shared" ref="AS193:AT193" si="1731">R193/AA193</f>
        <v>5.3501814760048394E-2</v>
      </c>
      <c r="AT193" s="2">
        <f t="shared" si="1731"/>
        <v>5.004941409007483E-2</v>
      </c>
      <c r="AU193" s="2">
        <f t="shared" ref="AU193:AW193" si="1732">T193/W193</f>
        <v>1.5368852459016393E-2</v>
      </c>
      <c r="AV193" s="2">
        <f t="shared" si="1597"/>
        <v>1.8213013065857198E-2</v>
      </c>
      <c r="AW193" s="2">
        <f t="shared" si="1597"/>
        <v>1.6864459712679577E-2</v>
      </c>
    </row>
    <row r="194" spans="1:49" ht="13" x14ac:dyDescent="0.15">
      <c r="A194" s="1">
        <v>2023</v>
      </c>
      <c r="B194" s="1" t="s">
        <v>49</v>
      </c>
      <c r="C194" s="1" t="s">
        <v>93</v>
      </c>
      <c r="D194" s="1" t="s">
        <v>137</v>
      </c>
      <c r="E194" s="1">
        <v>186</v>
      </c>
      <c r="F194" s="1">
        <v>177</v>
      </c>
      <c r="G194" s="1">
        <v>363</v>
      </c>
      <c r="H194" s="1">
        <v>1173</v>
      </c>
      <c r="I194" s="1">
        <v>1379</v>
      </c>
      <c r="J194" s="1">
        <v>2552</v>
      </c>
      <c r="K194" s="1">
        <v>501</v>
      </c>
      <c r="L194" s="1">
        <v>615</v>
      </c>
      <c r="M194" s="1">
        <v>1116</v>
      </c>
      <c r="N194" s="1">
        <v>210</v>
      </c>
      <c r="O194" s="1">
        <v>260</v>
      </c>
      <c r="P194" s="1">
        <v>470</v>
      </c>
      <c r="Q194" s="1">
        <v>206</v>
      </c>
      <c r="R194" s="1">
        <v>260</v>
      </c>
      <c r="S194" s="1">
        <v>466</v>
      </c>
      <c r="T194" s="1">
        <v>36</v>
      </c>
      <c r="U194" s="1">
        <v>67</v>
      </c>
      <c r="V194" s="1">
        <v>103</v>
      </c>
      <c r="W194" s="1">
        <f t="shared" ref="W194:X194" si="1733">SUM(E194,H194,K194,N194,Q194,T194)</f>
        <v>2312</v>
      </c>
      <c r="X194" s="1">
        <f t="shared" si="1733"/>
        <v>2758</v>
      </c>
      <c r="Y194" s="1">
        <f t="shared" si="1"/>
        <v>5070</v>
      </c>
      <c r="Z194" s="1">
        <f t="shared" ref="Z194:AA194" si="1734">W194-T194</f>
        <v>2276</v>
      </c>
      <c r="AA194" s="1">
        <f t="shared" si="1734"/>
        <v>2691</v>
      </c>
      <c r="AB194" s="1">
        <f t="shared" si="3"/>
        <v>4967</v>
      </c>
      <c r="AC194" s="1">
        <f t="shared" ref="AC194:AD194" si="1735">SUM(E194,H194,K194,N194)</f>
        <v>2070</v>
      </c>
      <c r="AD194" s="1">
        <f t="shared" si="1735"/>
        <v>2431</v>
      </c>
      <c r="AE194" s="1">
        <f t="shared" si="5"/>
        <v>4501</v>
      </c>
      <c r="AF194" s="2">
        <f t="shared" ref="AF194:AH194" si="1736">AC194/Z194</f>
        <v>0.90949033391915646</v>
      </c>
      <c r="AG194" s="2">
        <f t="shared" si="1736"/>
        <v>0.90338164251207731</v>
      </c>
      <c r="AH194" s="2">
        <f t="shared" si="1736"/>
        <v>0.90618079323535328</v>
      </c>
      <c r="AI194" s="1">
        <f t="shared" ref="AI194:AJ194" si="1737">SUM(E194,H194,K194)</f>
        <v>1860</v>
      </c>
      <c r="AJ194" s="1">
        <f t="shared" si="1737"/>
        <v>2171</v>
      </c>
      <c r="AK194" s="1">
        <f t="shared" si="8"/>
        <v>4031</v>
      </c>
      <c r="AL194" s="2">
        <f t="shared" ref="AL194:AN194" si="1738">AI194/Z194</f>
        <v>0.81722319859402459</v>
      </c>
      <c r="AM194" s="2">
        <f t="shared" si="1738"/>
        <v>0.80676328502415462</v>
      </c>
      <c r="AN194" s="2">
        <f t="shared" si="1738"/>
        <v>0.8115562713911818</v>
      </c>
      <c r="AO194" s="2">
        <f t="shared" ref="AO194:AQ194" si="1739">E194/Z194</f>
        <v>8.1722319859402454E-2</v>
      </c>
      <c r="AP194" s="2">
        <f t="shared" si="1739"/>
        <v>6.5774804905239681E-2</v>
      </c>
      <c r="AQ194" s="2">
        <f t="shared" si="1739"/>
        <v>7.3082343466881416E-2</v>
      </c>
      <c r="AR194" s="2">
        <f t="shared" si="11"/>
        <v>0.11423550087873462</v>
      </c>
      <c r="AS194" s="2">
        <f t="shared" ref="AS194:AT194" si="1740">R194/AA194</f>
        <v>9.6618357487922704E-2</v>
      </c>
      <c r="AT194" s="2">
        <f t="shared" si="1740"/>
        <v>9.3819206764646668E-2</v>
      </c>
      <c r="AU194" s="2">
        <f t="shared" ref="AU194:AW209" si="1741">T194/W194</f>
        <v>1.5570934256055362E-2</v>
      </c>
      <c r="AV194" s="2">
        <f t="shared" si="1741"/>
        <v>2.4292965917331398E-2</v>
      </c>
      <c r="AW194" s="2">
        <f t="shared" si="1741"/>
        <v>2.0315581854043391E-2</v>
      </c>
    </row>
    <row r="195" spans="1:49" ht="13" x14ac:dyDescent="0.15">
      <c r="A195" s="1">
        <v>2023</v>
      </c>
      <c r="B195" s="1" t="s">
        <v>49</v>
      </c>
      <c r="C195" s="1" t="s">
        <v>59</v>
      </c>
      <c r="D195" s="1" t="s">
        <v>138</v>
      </c>
      <c r="E195" s="1">
        <v>59</v>
      </c>
      <c r="F195" s="1">
        <v>32</v>
      </c>
      <c r="G195" s="1">
        <v>91</v>
      </c>
      <c r="H195" s="1">
        <v>620</v>
      </c>
      <c r="I195" s="1">
        <v>656</v>
      </c>
      <c r="J195" s="1">
        <v>1276</v>
      </c>
      <c r="K195" s="1">
        <v>358</v>
      </c>
      <c r="L195" s="1">
        <v>453</v>
      </c>
      <c r="M195" s="1">
        <v>811</v>
      </c>
      <c r="N195" s="1">
        <v>131</v>
      </c>
      <c r="O195" s="1">
        <v>146</v>
      </c>
      <c r="P195" s="1">
        <v>277</v>
      </c>
      <c r="Q195" s="1">
        <v>251</v>
      </c>
      <c r="R195" s="1">
        <v>259</v>
      </c>
      <c r="S195" s="1">
        <v>510</v>
      </c>
      <c r="T195" s="1">
        <v>17</v>
      </c>
      <c r="U195" s="1">
        <v>17</v>
      </c>
      <c r="V195" s="1">
        <v>34</v>
      </c>
      <c r="W195" s="1">
        <f t="shared" ref="W195:X195" si="1742">SUM(E195,H195,K195,N195,Q195,T195)</f>
        <v>1436</v>
      </c>
      <c r="X195" s="1">
        <f t="shared" si="1742"/>
        <v>1563</v>
      </c>
      <c r="Y195" s="1">
        <f t="shared" si="1"/>
        <v>2999</v>
      </c>
      <c r="Z195" s="1">
        <f t="shared" ref="Z195:AA195" si="1743">W195-T195</f>
        <v>1419</v>
      </c>
      <c r="AA195" s="1">
        <f t="shared" si="1743"/>
        <v>1546</v>
      </c>
      <c r="AB195" s="1">
        <f t="shared" si="3"/>
        <v>2965</v>
      </c>
      <c r="AC195" s="1">
        <f t="shared" ref="AC195:AD195" si="1744">SUM(E195,H195,K195,N195)</f>
        <v>1168</v>
      </c>
      <c r="AD195" s="1">
        <f t="shared" si="1744"/>
        <v>1287</v>
      </c>
      <c r="AE195" s="1">
        <f t="shared" si="5"/>
        <v>2455</v>
      </c>
      <c r="AF195" s="2">
        <f t="shared" ref="AF195:AH195" si="1745">AC195/Z195</f>
        <v>0.82311486962649749</v>
      </c>
      <c r="AG195" s="2">
        <f t="shared" si="1745"/>
        <v>0.83247089262613194</v>
      </c>
      <c r="AH195" s="2">
        <f t="shared" si="1745"/>
        <v>0.82799325463743678</v>
      </c>
      <c r="AI195" s="1">
        <f t="shared" ref="AI195:AJ195" si="1746">SUM(E195,H195,K195)</f>
        <v>1037</v>
      </c>
      <c r="AJ195" s="1">
        <f t="shared" si="1746"/>
        <v>1141</v>
      </c>
      <c r="AK195" s="1">
        <f t="shared" si="8"/>
        <v>2178</v>
      </c>
      <c r="AL195" s="2">
        <f t="shared" ref="AL195:AN195" si="1747">AI195/Z195</f>
        <v>0.73079633544749822</v>
      </c>
      <c r="AM195" s="2">
        <f t="shared" si="1747"/>
        <v>0.73803363518758081</v>
      </c>
      <c r="AN195" s="2">
        <f t="shared" si="1747"/>
        <v>0.73456998313659361</v>
      </c>
      <c r="AO195" s="2">
        <f t="shared" ref="AO195:AQ195" si="1748">E195/Z195</f>
        <v>4.1578576462297394E-2</v>
      </c>
      <c r="AP195" s="2">
        <f t="shared" si="1748"/>
        <v>2.0698576972833119E-2</v>
      </c>
      <c r="AQ195" s="2">
        <f t="shared" si="1748"/>
        <v>3.0691399662731871E-2</v>
      </c>
      <c r="AR195" s="2">
        <f t="shared" si="11"/>
        <v>0.18252290345313602</v>
      </c>
      <c r="AS195" s="2">
        <f t="shared" ref="AS195:AT195" si="1749">R195/AA195</f>
        <v>0.16752910737386806</v>
      </c>
      <c r="AT195" s="2">
        <f t="shared" si="1749"/>
        <v>0.17200674536256325</v>
      </c>
      <c r="AU195" s="2">
        <f t="shared" ref="AU195:AW195" si="1750">T195/W195</f>
        <v>1.1838440111420613E-2</v>
      </c>
      <c r="AV195" s="2">
        <f t="shared" si="1741"/>
        <v>1.0876519513755598E-2</v>
      </c>
      <c r="AW195" s="2">
        <f t="shared" si="1741"/>
        <v>1.1337112370790263E-2</v>
      </c>
    </row>
    <row r="196" spans="1:49" ht="13" x14ac:dyDescent="0.15">
      <c r="A196" s="1">
        <v>2023</v>
      </c>
      <c r="B196" s="1" t="s">
        <v>49</v>
      </c>
      <c r="C196" s="1" t="s">
        <v>93</v>
      </c>
      <c r="D196" s="1" t="s">
        <v>139</v>
      </c>
      <c r="E196" s="1">
        <v>346</v>
      </c>
      <c r="F196" s="1">
        <v>294</v>
      </c>
      <c r="G196" s="1">
        <v>640</v>
      </c>
      <c r="H196" s="1">
        <v>1545</v>
      </c>
      <c r="I196" s="1">
        <v>1928</v>
      </c>
      <c r="J196" s="1">
        <v>3473</v>
      </c>
      <c r="K196" s="1">
        <v>709</v>
      </c>
      <c r="L196" s="1">
        <v>933</v>
      </c>
      <c r="M196" s="1">
        <v>1642</v>
      </c>
      <c r="N196" s="1">
        <v>389</v>
      </c>
      <c r="O196" s="1">
        <v>516</v>
      </c>
      <c r="P196" s="1">
        <v>905</v>
      </c>
      <c r="Q196" s="1">
        <v>590</v>
      </c>
      <c r="R196" s="1">
        <v>866</v>
      </c>
      <c r="S196" s="1">
        <v>1456</v>
      </c>
      <c r="T196" s="1">
        <v>109</v>
      </c>
      <c r="U196" s="1">
        <v>147</v>
      </c>
      <c r="V196" s="1">
        <v>256</v>
      </c>
      <c r="W196" s="1">
        <f t="shared" ref="W196:X196" si="1751">SUM(E196,H196,K196,N196,Q196,T196)</f>
        <v>3688</v>
      </c>
      <c r="X196" s="1">
        <f t="shared" si="1751"/>
        <v>4684</v>
      </c>
      <c r="Y196" s="1">
        <f t="shared" si="1"/>
        <v>8372</v>
      </c>
      <c r="Z196" s="1">
        <f t="shared" ref="Z196:AA196" si="1752">W196-T196</f>
        <v>3579</v>
      </c>
      <c r="AA196" s="1">
        <f t="shared" si="1752"/>
        <v>4537</v>
      </c>
      <c r="AB196" s="1">
        <f t="shared" si="3"/>
        <v>8116</v>
      </c>
      <c r="AC196" s="1">
        <f t="shared" ref="AC196:AD196" si="1753">SUM(E196,H196,K196,N196)</f>
        <v>2989</v>
      </c>
      <c r="AD196" s="1">
        <f t="shared" si="1753"/>
        <v>3671</v>
      </c>
      <c r="AE196" s="1">
        <f t="shared" si="5"/>
        <v>6660</v>
      </c>
      <c r="AF196" s="2">
        <f t="shared" ref="AF196:AH196" si="1754">AC196/Z196</f>
        <v>0.83514948309583681</v>
      </c>
      <c r="AG196" s="2">
        <f t="shared" si="1754"/>
        <v>0.8091249724487547</v>
      </c>
      <c r="AH196" s="2">
        <f t="shared" si="1754"/>
        <v>0.82060128141941846</v>
      </c>
      <c r="AI196" s="1">
        <f t="shared" ref="AI196:AJ196" si="1755">SUM(E196,H196,K196)</f>
        <v>2600</v>
      </c>
      <c r="AJ196" s="1">
        <f t="shared" si="1755"/>
        <v>3155</v>
      </c>
      <c r="AK196" s="1">
        <f t="shared" si="8"/>
        <v>5755</v>
      </c>
      <c r="AL196" s="2">
        <f t="shared" ref="AL196:AN196" si="1756">AI196/Z196</f>
        <v>0.72645990500139701</v>
      </c>
      <c r="AM196" s="2">
        <f t="shared" si="1756"/>
        <v>0.69539343178311663</v>
      </c>
      <c r="AN196" s="2">
        <f t="shared" si="1756"/>
        <v>0.70909314933464762</v>
      </c>
      <c r="AO196" s="2">
        <f t="shared" ref="AO196:AQ196" si="1757">E196/Z196</f>
        <v>9.6675048896339766E-2</v>
      </c>
      <c r="AP196" s="2">
        <f t="shared" si="1757"/>
        <v>6.4800528983910075E-2</v>
      </c>
      <c r="AQ196" s="2">
        <f t="shared" si="1757"/>
        <v>7.8856579595860024E-2</v>
      </c>
      <c r="AR196" s="2">
        <f t="shared" si="11"/>
        <v>0.24196702989661917</v>
      </c>
      <c r="AS196" s="2">
        <f t="shared" ref="AS196:AT196" si="1758">R196/AA196</f>
        <v>0.19087502755124533</v>
      </c>
      <c r="AT196" s="2">
        <f t="shared" si="1758"/>
        <v>0.17939871858058157</v>
      </c>
      <c r="AU196" s="2">
        <f t="shared" ref="AU196:AW196" si="1759">T196/W196</f>
        <v>2.9555314533622559E-2</v>
      </c>
      <c r="AV196" s="2">
        <f t="shared" si="1741"/>
        <v>3.1383432963279251E-2</v>
      </c>
      <c r="AW196" s="2">
        <f t="shared" si="1741"/>
        <v>3.0578117534639272E-2</v>
      </c>
    </row>
    <row r="197" spans="1:49" ht="13" x14ac:dyDescent="0.15">
      <c r="A197" s="1">
        <v>2023</v>
      </c>
      <c r="B197" s="1" t="s">
        <v>49</v>
      </c>
      <c r="C197" s="1" t="s">
        <v>54</v>
      </c>
      <c r="D197" s="1" t="s">
        <v>140</v>
      </c>
      <c r="E197" s="1">
        <v>305</v>
      </c>
      <c r="F197" s="1">
        <v>253</v>
      </c>
      <c r="G197" s="1">
        <v>558</v>
      </c>
      <c r="H197" s="1">
        <v>847</v>
      </c>
      <c r="I197" s="1">
        <v>1005</v>
      </c>
      <c r="J197" s="1">
        <v>1852</v>
      </c>
      <c r="K197" s="1">
        <v>157</v>
      </c>
      <c r="L197" s="1">
        <v>232</v>
      </c>
      <c r="M197" s="1">
        <v>389</v>
      </c>
      <c r="N197" s="1">
        <v>51</v>
      </c>
      <c r="O197" s="1">
        <v>56</v>
      </c>
      <c r="P197" s="1">
        <v>107</v>
      </c>
      <c r="Q197" s="1">
        <v>29</v>
      </c>
      <c r="R197" s="1">
        <v>36</v>
      </c>
      <c r="S197" s="1">
        <v>65</v>
      </c>
      <c r="T197" s="1">
        <v>11</v>
      </c>
      <c r="U197" s="1">
        <v>16</v>
      </c>
      <c r="V197" s="1">
        <v>27</v>
      </c>
      <c r="W197" s="1">
        <f t="shared" ref="W197:X197" si="1760">SUM(E197,H197,K197,N197,Q197,T197)</f>
        <v>1400</v>
      </c>
      <c r="X197" s="1">
        <f t="shared" si="1760"/>
        <v>1598</v>
      </c>
      <c r="Y197" s="1">
        <f t="shared" si="1"/>
        <v>2998</v>
      </c>
      <c r="Z197" s="1">
        <f t="shared" ref="Z197:AA197" si="1761">W197-T197</f>
        <v>1389</v>
      </c>
      <c r="AA197" s="1">
        <f t="shared" si="1761"/>
        <v>1582</v>
      </c>
      <c r="AB197" s="1">
        <f t="shared" si="3"/>
        <v>2971</v>
      </c>
      <c r="AC197" s="1">
        <f t="shared" ref="AC197:AD197" si="1762">SUM(E197,H197,K197,N197)</f>
        <v>1360</v>
      </c>
      <c r="AD197" s="1">
        <f t="shared" si="1762"/>
        <v>1546</v>
      </c>
      <c r="AE197" s="1">
        <f t="shared" si="5"/>
        <v>2906</v>
      </c>
      <c r="AF197" s="2">
        <f t="shared" ref="AF197:AH197" si="1763">AC197/Z197</f>
        <v>0.97912167026637864</v>
      </c>
      <c r="AG197" s="2">
        <f t="shared" si="1763"/>
        <v>0.97724399494310998</v>
      </c>
      <c r="AH197" s="2">
        <f t="shared" si="1763"/>
        <v>0.9781218444968024</v>
      </c>
      <c r="AI197" s="1">
        <f t="shared" ref="AI197:AJ197" si="1764">SUM(E197,H197,K197)</f>
        <v>1309</v>
      </c>
      <c r="AJ197" s="1">
        <f t="shared" si="1764"/>
        <v>1490</v>
      </c>
      <c r="AK197" s="1">
        <f t="shared" si="8"/>
        <v>2799</v>
      </c>
      <c r="AL197" s="2">
        <f t="shared" ref="AL197:AN197" si="1765">AI197/Z197</f>
        <v>0.94240460763138945</v>
      </c>
      <c r="AM197" s="2">
        <f t="shared" si="1765"/>
        <v>0.94184576485461446</v>
      </c>
      <c r="AN197" s="2">
        <f t="shared" si="1765"/>
        <v>0.9421070346684618</v>
      </c>
      <c r="AO197" s="2">
        <f t="shared" ref="AO197:AQ197" si="1766">E197/Z197</f>
        <v>0.21958243340532757</v>
      </c>
      <c r="AP197" s="2">
        <f t="shared" si="1766"/>
        <v>0.15992414664981036</v>
      </c>
      <c r="AQ197" s="2">
        <f t="shared" si="1766"/>
        <v>0.18781555031975766</v>
      </c>
      <c r="AR197" s="2">
        <f t="shared" si="11"/>
        <v>2.591792656587473E-2</v>
      </c>
      <c r="AS197" s="2">
        <f t="shared" ref="AS197:AT197" si="1767">R197/AA197</f>
        <v>2.2756005056890013E-2</v>
      </c>
      <c r="AT197" s="2">
        <f t="shared" si="1767"/>
        <v>2.1878155503197577E-2</v>
      </c>
      <c r="AU197" s="2">
        <f t="shared" ref="AU197:AW197" si="1768">T197/W197</f>
        <v>7.8571428571428577E-3</v>
      </c>
      <c r="AV197" s="2">
        <f t="shared" si="1741"/>
        <v>1.0012515644555695E-2</v>
      </c>
      <c r="AW197" s="2">
        <f t="shared" si="1741"/>
        <v>9.0060040026684451E-3</v>
      </c>
    </row>
    <row r="198" spans="1:49" ht="13" x14ac:dyDescent="0.15">
      <c r="A198" s="1">
        <v>2023</v>
      </c>
      <c r="B198" s="1" t="s">
        <v>49</v>
      </c>
      <c r="C198" s="1" t="s">
        <v>99</v>
      </c>
      <c r="D198" s="1" t="s">
        <v>141</v>
      </c>
      <c r="E198" s="1">
        <v>77</v>
      </c>
      <c r="F198" s="1">
        <v>61</v>
      </c>
      <c r="G198" s="1">
        <v>138</v>
      </c>
      <c r="H198" s="1">
        <v>527</v>
      </c>
      <c r="I198" s="1">
        <v>519</v>
      </c>
      <c r="J198" s="1">
        <v>1046</v>
      </c>
      <c r="K198" s="1">
        <v>280</v>
      </c>
      <c r="L198" s="1">
        <v>374</v>
      </c>
      <c r="M198" s="1">
        <v>654</v>
      </c>
      <c r="N198" s="1">
        <v>107</v>
      </c>
      <c r="O198" s="1">
        <v>134</v>
      </c>
      <c r="P198" s="1">
        <v>241</v>
      </c>
      <c r="Q198" s="1">
        <v>107</v>
      </c>
      <c r="R198" s="1">
        <v>128</v>
      </c>
      <c r="S198" s="1">
        <v>235</v>
      </c>
      <c r="T198" s="1">
        <v>8</v>
      </c>
      <c r="U198" s="1">
        <v>11</v>
      </c>
      <c r="V198" s="1">
        <v>19</v>
      </c>
      <c r="W198" s="1">
        <f t="shared" ref="W198:X198" si="1769">SUM(E198,H198,K198,N198,Q198,T198)</f>
        <v>1106</v>
      </c>
      <c r="X198" s="1">
        <f t="shared" si="1769"/>
        <v>1227</v>
      </c>
      <c r="Y198" s="1">
        <f t="shared" si="1"/>
        <v>2333</v>
      </c>
      <c r="Z198" s="1">
        <f t="shared" ref="Z198:AA198" si="1770">W198-T198</f>
        <v>1098</v>
      </c>
      <c r="AA198" s="1">
        <f t="shared" si="1770"/>
        <v>1216</v>
      </c>
      <c r="AB198" s="1">
        <f t="shared" si="3"/>
        <v>2314</v>
      </c>
      <c r="AC198" s="1">
        <f t="shared" ref="AC198:AD198" si="1771">SUM(E198,H198,K198,N198)</f>
        <v>991</v>
      </c>
      <c r="AD198" s="1">
        <f t="shared" si="1771"/>
        <v>1088</v>
      </c>
      <c r="AE198" s="1">
        <f t="shared" si="5"/>
        <v>2079</v>
      </c>
      <c r="AF198" s="2">
        <f t="shared" ref="AF198:AH198" si="1772">AC198/Z198</f>
        <v>0.9025500910746812</v>
      </c>
      <c r="AG198" s="2">
        <f t="shared" si="1772"/>
        <v>0.89473684210526316</v>
      </c>
      <c r="AH198" s="2">
        <f t="shared" si="1772"/>
        <v>0.89844425237683667</v>
      </c>
      <c r="AI198" s="1">
        <f t="shared" ref="AI198:AJ198" si="1773">SUM(E198,H198,K198)</f>
        <v>884</v>
      </c>
      <c r="AJ198" s="1">
        <f t="shared" si="1773"/>
        <v>954</v>
      </c>
      <c r="AK198" s="1">
        <f t="shared" si="8"/>
        <v>1838</v>
      </c>
      <c r="AL198" s="2">
        <f t="shared" ref="AL198:AN198" si="1774">AI198/Z198</f>
        <v>0.80510018214936252</v>
      </c>
      <c r="AM198" s="2">
        <f t="shared" si="1774"/>
        <v>0.78453947368421051</v>
      </c>
      <c r="AN198" s="2">
        <f t="shared" si="1774"/>
        <v>0.79429559204840106</v>
      </c>
      <c r="AO198" s="2">
        <f t="shared" ref="AO198:AQ198" si="1775">E198/Z198</f>
        <v>7.0127504553734066E-2</v>
      </c>
      <c r="AP198" s="2">
        <f t="shared" si="1775"/>
        <v>5.016447368421053E-2</v>
      </c>
      <c r="AQ198" s="2">
        <f t="shared" si="1775"/>
        <v>5.9636992221261884E-2</v>
      </c>
      <c r="AR198" s="2">
        <f t="shared" si="11"/>
        <v>0.11657559198542805</v>
      </c>
      <c r="AS198" s="2">
        <f t="shared" ref="AS198:AT198" si="1776">R198/AA198</f>
        <v>0.10526315789473684</v>
      </c>
      <c r="AT198" s="2">
        <f t="shared" si="1776"/>
        <v>0.10155574762316336</v>
      </c>
      <c r="AU198" s="2">
        <f t="shared" ref="AU198:AW198" si="1777">T198/W198</f>
        <v>7.2332730560578659E-3</v>
      </c>
      <c r="AV198" s="2">
        <f t="shared" si="1741"/>
        <v>8.9649551752241236E-3</v>
      </c>
      <c r="AW198" s="2">
        <f t="shared" si="1741"/>
        <v>8.144020574367767E-3</v>
      </c>
    </row>
    <row r="199" spans="1:49" ht="13" x14ac:dyDescent="0.15">
      <c r="A199" s="1">
        <v>2023</v>
      </c>
      <c r="B199" s="1" t="s">
        <v>49</v>
      </c>
      <c r="C199" s="1" t="s">
        <v>93</v>
      </c>
      <c r="D199" s="1" t="s">
        <v>142</v>
      </c>
      <c r="E199" s="1">
        <v>137</v>
      </c>
      <c r="F199" s="1">
        <v>73</v>
      </c>
      <c r="G199" s="1">
        <v>210</v>
      </c>
      <c r="H199" s="1">
        <v>619</v>
      </c>
      <c r="I199" s="1">
        <v>722</v>
      </c>
      <c r="J199" s="1">
        <v>1341</v>
      </c>
      <c r="K199" s="1">
        <v>293</v>
      </c>
      <c r="L199" s="1">
        <v>371</v>
      </c>
      <c r="M199" s="1">
        <v>664</v>
      </c>
      <c r="N199" s="1">
        <v>124</v>
      </c>
      <c r="O199" s="1">
        <v>180</v>
      </c>
      <c r="P199" s="1">
        <v>304</v>
      </c>
      <c r="Q199" s="1">
        <v>170</v>
      </c>
      <c r="R199" s="1">
        <v>290</v>
      </c>
      <c r="S199" s="1">
        <v>460</v>
      </c>
      <c r="T199" s="1">
        <v>30</v>
      </c>
      <c r="U199" s="1">
        <v>45</v>
      </c>
      <c r="V199" s="1">
        <v>75</v>
      </c>
      <c r="W199" s="1">
        <f t="shared" ref="W199:X199" si="1778">SUM(E199,H199,K199,N199,Q199,T199)</f>
        <v>1373</v>
      </c>
      <c r="X199" s="1">
        <f t="shared" si="1778"/>
        <v>1681</v>
      </c>
      <c r="Y199" s="1">
        <f t="shared" si="1"/>
        <v>3054</v>
      </c>
      <c r="Z199" s="1">
        <f t="shared" ref="Z199:AA199" si="1779">W199-T199</f>
        <v>1343</v>
      </c>
      <c r="AA199" s="1">
        <f t="shared" si="1779"/>
        <v>1636</v>
      </c>
      <c r="AB199" s="1">
        <f t="shared" si="3"/>
        <v>2979</v>
      </c>
      <c r="AC199" s="1">
        <f t="shared" ref="AC199:AD199" si="1780">SUM(E199,H199,K199,N199)</f>
        <v>1173</v>
      </c>
      <c r="AD199" s="1">
        <f t="shared" si="1780"/>
        <v>1346</v>
      </c>
      <c r="AE199" s="1">
        <f t="shared" si="5"/>
        <v>2519</v>
      </c>
      <c r="AF199" s="2">
        <f t="shared" ref="AF199:AH199" si="1781">AC199/Z199</f>
        <v>0.87341772151898733</v>
      </c>
      <c r="AG199" s="2">
        <f t="shared" si="1781"/>
        <v>0.8227383863080685</v>
      </c>
      <c r="AH199" s="2">
        <f t="shared" si="1781"/>
        <v>0.84558576703591815</v>
      </c>
      <c r="AI199" s="1">
        <f t="shared" ref="AI199:AJ199" si="1782">SUM(E199,H199,K199)</f>
        <v>1049</v>
      </c>
      <c r="AJ199" s="1">
        <f t="shared" si="1782"/>
        <v>1166</v>
      </c>
      <c r="AK199" s="1">
        <f t="shared" si="8"/>
        <v>2215</v>
      </c>
      <c r="AL199" s="2">
        <f t="shared" ref="AL199:AN199" si="1783">AI199/Z199</f>
        <v>0.78108711839166045</v>
      </c>
      <c r="AM199" s="2">
        <f t="shared" si="1783"/>
        <v>0.71271393643031788</v>
      </c>
      <c r="AN199" s="2">
        <f t="shared" si="1783"/>
        <v>0.74353810003356835</v>
      </c>
      <c r="AO199" s="2">
        <f t="shared" ref="AO199:AQ199" si="1784">E199/Z199</f>
        <v>0.10201042442293373</v>
      </c>
      <c r="AP199" s="2">
        <f t="shared" si="1784"/>
        <v>4.4621026894865523E-2</v>
      </c>
      <c r="AQ199" s="2">
        <f t="shared" si="1784"/>
        <v>7.0493454179254789E-2</v>
      </c>
      <c r="AR199" s="2">
        <f t="shared" si="11"/>
        <v>0.21593447505584512</v>
      </c>
      <c r="AS199" s="2">
        <f t="shared" ref="AS199:AT199" si="1785">R199/AA199</f>
        <v>0.17726161369193155</v>
      </c>
      <c r="AT199" s="2">
        <f t="shared" si="1785"/>
        <v>0.15441423296408191</v>
      </c>
      <c r="AU199" s="2">
        <f t="shared" ref="AU199:AW199" si="1786">T199/W199</f>
        <v>2.1849963583394028E-2</v>
      </c>
      <c r="AV199" s="2">
        <f t="shared" si="1741"/>
        <v>2.676977989292088E-2</v>
      </c>
      <c r="AW199" s="2">
        <f t="shared" si="1741"/>
        <v>2.4557956777996069E-2</v>
      </c>
    </row>
    <row r="200" spans="1:49" ht="13" x14ac:dyDescent="0.15">
      <c r="A200" s="1">
        <v>2023</v>
      </c>
      <c r="B200" s="1" t="s">
        <v>49</v>
      </c>
      <c r="C200" s="1" t="s">
        <v>89</v>
      </c>
      <c r="D200" s="1" t="s">
        <v>143</v>
      </c>
      <c r="E200" s="1">
        <v>60</v>
      </c>
      <c r="F200" s="1">
        <v>16</v>
      </c>
      <c r="G200" s="1">
        <v>76</v>
      </c>
      <c r="H200" s="1">
        <v>669</v>
      </c>
      <c r="I200" s="1">
        <v>577</v>
      </c>
      <c r="J200" s="1">
        <v>1246</v>
      </c>
      <c r="K200" s="1">
        <v>731</v>
      </c>
      <c r="L200" s="1">
        <v>679</v>
      </c>
      <c r="M200" s="1">
        <v>1410</v>
      </c>
      <c r="N200" s="1">
        <v>384</v>
      </c>
      <c r="O200" s="1">
        <v>363</v>
      </c>
      <c r="P200" s="1">
        <v>747</v>
      </c>
      <c r="Q200" s="1">
        <v>798</v>
      </c>
      <c r="R200" s="1">
        <v>828</v>
      </c>
      <c r="S200" s="1">
        <v>1626</v>
      </c>
      <c r="T200" s="1">
        <v>23</v>
      </c>
      <c r="U200" s="1">
        <v>23</v>
      </c>
      <c r="V200" s="1">
        <v>46</v>
      </c>
      <c r="W200" s="1">
        <f t="shared" ref="W200:X200" si="1787">SUM(E200,H200,K200,N200,Q200,T200)</f>
        <v>2665</v>
      </c>
      <c r="X200" s="1">
        <f t="shared" si="1787"/>
        <v>2486</v>
      </c>
      <c r="Y200" s="1">
        <f t="shared" si="1"/>
        <v>5151</v>
      </c>
      <c r="Z200" s="1">
        <f t="shared" ref="Z200:AA200" si="1788">W200-T200</f>
        <v>2642</v>
      </c>
      <c r="AA200" s="1">
        <f t="shared" si="1788"/>
        <v>2463</v>
      </c>
      <c r="AB200" s="1">
        <f t="shared" si="3"/>
        <v>5105</v>
      </c>
      <c r="AC200" s="1">
        <f t="shared" ref="AC200:AD200" si="1789">SUM(E200,H200,K200,N200)</f>
        <v>1844</v>
      </c>
      <c r="AD200" s="1">
        <f t="shared" si="1789"/>
        <v>1635</v>
      </c>
      <c r="AE200" s="1">
        <f t="shared" si="5"/>
        <v>3479</v>
      </c>
      <c r="AF200" s="2">
        <f t="shared" ref="AF200:AH200" si="1790">AC200/Z200</f>
        <v>0.69795609386828161</v>
      </c>
      <c r="AG200" s="2">
        <f t="shared" si="1790"/>
        <v>0.66382460414129107</v>
      </c>
      <c r="AH200" s="2">
        <f t="shared" si="1790"/>
        <v>0.68148873653281095</v>
      </c>
      <c r="AI200" s="1">
        <f t="shared" ref="AI200:AJ200" si="1791">SUM(E200,H200,K200)</f>
        <v>1460</v>
      </c>
      <c r="AJ200" s="1">
        <f t="shared" si="1791"/>
        <v>1272</v>
      </c>
      <c r="AK200" s="1">
        <f t="shared" si="8"/>
        <v>2732</v>
      </c>
      <c r="AL200" s="2">
        <f t="shared" ref="AL200:AN200" si="1792">AI200/Z200</f>
        <v>0.55261165783497346</v>
      </c>
      <c r="AM200" s="2">
        <f t="shared" si="1792"/>
        <v>0.51644336175395855</v>
      </c>
      <c r="AN200" s="2">
        <f t="shared" si="1792"/>
        <v>0.5351616062683644</v>
      </c>
      <c r="AO200" s="2">
        <f t="shared" ref="AO200:AQ200" si="1793">E200/Z200</f>
        <v>2.2710068130204392E-2</v>
      </c>
      <c r="AP200" s="2">
        <f t="shared" si="1793"/>
        <v>6.4961429151441331E-3</v>
      </c>
      <c r="AQ200" s="2">
        <f t="shared" si="1793"/>
        <v>1.4887365328109697E-2</v>
      </c>
      <c r="AR200" s="2">
        <f t="shared" si="11"/>
        <v>0.31339894019682057</v>
      </c>
      <c r="AS200" s="2">
        <f t="shared" ref="AS200:AT200" si="1794">R200/AA200</f>
        <v>0.33617539585870887</v>
      </c>
      <c r="AT200" s="2">
        <f t="shared" si="1794"/>
        <v>0.31851126346718905</v>
      </c>
      <c r="AU200" s="2">
        <f t="shared" ref="AU200:AW200" si="1795">T200/W200</f>
        <v>8.6303939962476556E-3</v>
      </c>
      <c r="AV200" s="2">
        <f t="shared" si="1741"/>
        <v>9.2518101367658895E-3</v>
      </c>
      <c r="AW200" s="2">
        <f t="shared" si="1741"/>
        <v>8.9303047951854002E-3</v>
      </c>
    </row>
    <row r="201" spans="1:49" ht="13" x14ac:dyDescent="0.15">
      <c r="A201" s="1">
        <v>2023</v>
      </c>
      <c r="B201" s="1" t="s">
        <v>117</v>
      </c>
      <c r="C201" s="1" t="s">
        <v>99</v>
      </c>
      <c r="D201" s="1" t="s">
        <v>144</v>
      </c>
      <c r="E201" s="1">
        <v>153</v>
      </c>
      <c r="F201" s="1">
        <v>68</v>
      </c>
      <c r="G201" s="1">
        <v>221</v>
      </c>
      <c r="H201" s="1">
        <v>895</v>
      </c>
      <c r="I201" s="1">
        <v>683</v>
      </c>
      <c r="J201" s="1">
        <v>1578</v>
      </c>
      <c r="K201" s="1">
        <v>430</v>
      </c>
      <c r="L201" s="1">
        <v>575</v>
      </c>
      <c r="M201" s="1">
        <v>1005</v>
      </c>
      <c r="N201" s="1">
        <v>172</v>
      </c>
      <c r="O201" s="1">
        <v>228</v>
      </c>
      <c r="P201" s="1">
        <v>400</v>
      </c>
      <c r="Q201" s="1">
        <v>219</v>
      </c>
      <c r="R201" s="1">
        <v>391</v>
      </c>
      <c r="S201" s="1">
        <v>610</v>
      </c>
      <c r="T201" s="1">
        <v>73</v>
      </c>
      <c r="U201" s="1">
        <v>83</v>
      </c>
      <c r="V201" s="1">
        <v>156</v>
      </c>
      <c r="W201" s="1">
        <f t="shared" ref="W201:X201" si="1796">SUM(E201,H201,K201,N201,Q201,T201)</f>
        <v>1942</v>
      </c>
      <c r="X201" s="1">
        <f t="shared" si="1796"/>
        <v>2028</v>
      </c>
      <c r="Y201" s="1">
        <f t="shared" si="1"/>
        <v>3970</v>
      </c>
      <c r="Z201" s="1">
        <f t="shared" ref="Z201:AA201" si="1797">W201-T201</f>
        <v>1869</v>
      </c>
      <c r="AA201" s="1">
        <f t="shared" si="1797"/>
        <v>1945</v>
      </c>
      <c r="AB201" s="1">
        <f t="shared" si="3"/>
        <v>3814</v>
      </c>
      <c r="AC201" s="1">
        <f t="shared" ref="AC201:AD201" si="1798">SUM(E201,H201,K201,N201)</f>
        <v>1650</v>
      </c>
      <c r="AD201" s="1">
        <f t="shared" si="1798"/>
        <v>1554</v>
      </c>
      <c r="AE201" s="1">
        <f t="shared" si="5"/>
        <v>3204</v>
      </c>
      <c r="AF201" s="2">
        <f t="shared" ref="AF201:AH201" si="1799">AC201/Z201</f>
        <v>0.8828250401284109</v>
      </c>
      <c r="AG201" s="2">
        <f t="shared" si="1799"/>
        <v>0.79897172236503855</v>
      </c>
      <c r="AH201" s="2">
        <f t="shared" si="1799"/>
        <v>0.84006292606187727</v>
      </c>
      <c r="AI201" s="1">
        <f t="shared" ref="AI201:AJ201" si="1800">SUM(E201,H201,K201)</f>
        <v>1478</v>
      </c>
      <c r="AJ201" s="1">
        <f t="shared" si="1800"/>
        <v>1326</v>
      </c>
      <c r="AK201" s="1">
        <f t="shared" si="8"/>
        <v>2804</v>
      </c>
      <c r="AL201" s="2">
        <f t="shared" ref="AL201:AN201" si="1801">AI201/Z201</f>
        <v>0.79079721776350986</v>
      </c>
      <c r="AM201" s="2">
        <f t="shared" si="1801"/>
        <v>0.68174807197943443</v>
      </c>
      <c r="AN201" s="2">
        <f t="shared" si="1801"/>
        <v>0.73518615626638695</v>
      </c>
      <c r="AO201" s="2">
        <f t="shared" ref="AO201:AQ201" si="1802">E201/Z201</f>
        <v>8.186195826645265E-2</v>
      </c>
      <c r="AP201" s="2">
        <f t="shared" si="1802"/>
        <v>3.4961439588688949E-2</v>
      </c>
      <c r="AQ201" s="2">
        <f t="shared" si="1802"/>
        <v>5.794441531200839E-2</v>
      </c>
      <c r="AR201" s="2">
        <f t="shared" si="11"/>
        <v>0.20920278223649011</v>
      </c>
      <c r="AS201" s="2">
        <f t="shared" ref="AS201:AT201" si="1803">R201/AA201</f>
        <v>0.20102827763496145</v>
      </c>
      <c r="AT201" s="2">
        <f t="shared" si="1803"/>
        <v>0.1599370739381227</v>
      </c>
      <c r="AU201" s="2">
        <f t="shared" ref="AU201:AW201" si="1804">T201/W201</f>
        <v>3.7590113285272918E-2</v>
      </c>
      <c r="AV201" s="2">
        <f t="shared" si="1741"/>
        <v>4.0927021696252466E-2</v>
      </c>
      <c r="AW201" s="2">
        <f t="shared" si="1741"/>
        <v>3.929471032745592E-2</v>
      </c>
    </row>
    <row r="202" spans="1:49" ht="13" x14ac:dyDescent="0.15">
      <c r="A202" s="1">
        <v>2023</v>
      </c>
      <c r="B202" s="1" t="s">
        <v>49</v>
      </c>
      <c r="C202" s="1" t="s">
        <v>54</v>
      </c>
      <c r="D202" s="1" t="s">
        <v>145</v>
      </c>
      <c r="E202" s="1">
        <v>296</v>
      </c>
      <c r="F202" s="1">
        <v>224</v>
      </c>
      <c r="G202" s="1">
        <v>520</v>
      </c>
      <c r="H202" s="1">
        <v>905</v>
      </c>
      <c r="I202" s="1">
        <v>1099</v>
      </c>
      <c r="J202" s="1">
        <v>2004</v>
      </c>
      <c r="K202" s="1">
        <v>117</v>
      </c>
      <c r="L202" s="1">
        <v>170</v>
      </c>
      <c r="M202" s="1">
        <v>287</v>
      </c>
      <c r="N202" s="1">
        <v>35</v>
      </c>
      <c r="O202" s="1">
        <v>45</v>
      </c>
      <c r="P202" s="1">
        <v>80</v>
      </c>
      <c r="Q202" s="1">
        <v>17</v>
      </c>
      <c r="R202" s="1">
        <v>24</v>
      </c>
      <c r="S202" s="1">
        <v>41</v>
      </c>
      <c r="T202" s="1">
        <v>19</v>
      </c>
      <c r="U202" s="1">
        <v>27</v>
      </c>
      <c r="V202" s="1">
        <v>46</v>
      </c>
      <c r="W202" s="1">
        <f t="shared" ref="W202:X202" si="1805">SUM(E202,H202,K202,N202,Q202,T202)</f>
        <v>1389</v>
      </c>
      <c r="X202" s="1">
        <f t="shared" si="1805"/>
        <v>1589</v>
      </c>
      <c r="Y202" s="1">
        <f t="shared" si="1"/>
        <v>2978</v>
      </c>
      <c r="Z202" s="1">
        <f t="shared" ref="Z202:AA202" si="1806">W202-T202</f>
        <v>1370</v>
      </c>
      <c r="AA202" s="1">
        <f t="shared" si="1806"/>
        <v>1562</v>
      </c>
      <c r="AB202" s="1">
        <f t="shared" si="3"/>
        <v>2932</v>
      </c>
      <c r="AC202" s="1">
        <f t="shared" ref="AC202:AD202" si="1807">SUM(E202,H202,K202,N202)</f>
        <v>1353</v>
      </c>
      <c r="AD202" s="1">
        <f t="shared" si="1807"/>
        <v>1538</v>
      </c>
      <c r="AE202" s="1">
        <f t="shared" si="5"/>
        <v>2891</v>
      </c>
      <c r="AF202" s="2">
        <f t="shared" ref="AF202:AH202" si="1808">AC202/Z202</f>
        <v>0.98759124087591244</v>
      </c>
      <c r="AG202" s="2">
        <f t="shared" si="1808"/>
        <v>0.98463508322663251</v>
      </c>
      <c r="AH202" s="2">
        <f t="shared" si="1808"/>
        <v>0.98601637107776263</v>
      </c>
      <c r="AI202" s="1">
        <f t="shared" ref="AI202:AJ202" si="1809">SUM(E202,H202,K202)</f>
        <v>1318</v>
      </c>
      <c r="AJ202" s="1">
        <f t="shared" si="1809"/>
        <v>1493</v>
      </c>
      <c r="AK202" s="1">
        <f t="shared" si="8"/>
        <v>2811</v>
      </c>
      <c r="AL202" s="2">
        <f t="shared" ref="AL202:AN202" si="1810">AI202/Z202</f>
        <v>0.96204379562043796</v>
      </c>
      <c r="AM202" s="2">
        <f t="shared" si="1810"/>
        <v>0.95582586427656846</v>
      </c>
      <c r="AN202" s="2">
        <f t="shared" si="1810"/>
        <v>0.95873124147339694</v>
      </c>
      <c r="AO202" s="2">
        <f t="shared" ref="AO202:AQ202" si="1811">E202/Z202</f>
        <v>0.21605839416058395</v>
      </c>
      <c r="AP202" s="2">
        <f t="shared" si="1811"/>
        <v>0.14340588988476313</v>
      </c>
      <c r="AQ202" s="2">
        <f t="shared" si="1811"/>
        <v>0.17735334242837653</v>
      </c>
      <c r="AR202" s="2">
        <f t="shared" si="11"/>
        <v>1.7518248175182483E-2</v>
      </c>
      <c r="AS202" s="2">
        <f t="shared" ref="AS202:AT202" si="1812">R202/AA202</f>
        <v>1.5364916773367477E-2</v>
      </c>
      <c r="AT202" s="2">
        <f t="shared" si="1812"/>
        <v>1.398362892223738E-2</v>
      </c>
      <c r="AU202" s="2">
        <f t="shared" ref="AU202:AW202" si="1813">T202/W202</f>
        <v>1.3678905687544997E-2</v>
      </c>
      <c r="AV202" s="2">
        <f t="shared" si="1741"/>
        <v>1.6991818753933293E-2</v>
      </c>
      <c r="AW202" s="2">
        <f t="shared" si="1741"/>
        <v>1.544660846205507E-2</v>
      </c>
    </row>
    <row r="203" spans="1:49" ht="13" x14ac:dyDescent="0.15">
      <c r="A203" s="1">
        <v>2023</v>
      </c>
      <c r="B203" s="1" t="s">
        <v>66</v>
      </c>
      <c r="C203" s="1" t="s">
        <v>99</v>
      </c>
      <c r="D203" s="1" t="s">
        <v>146</v>
      </c>
      <c r="E203" s="1">
        <v>269</v>
      </c>
      <c r="F203" s="1">
        <v>93</v>
      </c>
      <c r="G203" s="1">
        <v>362</v>
      </c>
      <c r="H203" s="1">
        <v>1495</v>
      </c>
      <c r="I203" s="1">
        <v>1008</v>
      </c>
      <c r="J203" s="1">
        <v>2503</v>
      </c>
      <c r="K203" s="1">
        <v>652</v>
      </c>
      <c r="L203" s="1">
        <v>760</v>
      </c>
      <c r="M203" s="1">
        <v>1412</v>
      </c>
      <c r="N203" s="1">
        <v>241</v>
      </c>
      <c r="O203" s="1">
        <v>326</v>
      </c>
      <c r="P203" s="1">
        <v>567</v>
      </c>
      <c r="Q203" s="1">
        <v>221</v>
      </c>
      <c r="R203" s="1">
        <v>371</v>
      </c>
      <c r="S203" s="1">
        <v>592</v>
      </c>
      <c r="T203" s="1">
        <v>26</v>
      </c>
      <c r="U203" s="1">
        <v>37</v>
      </c>
      <c r="V203" s="1">
        <v>63</v>
      </c>
      <c r="W203" s="1">
        <f t="shared" ref="W203:X203" si="1814">SUM(E203,H203,K203,N203,Q203,T203)</f>
        <v>2904</v>
      </c>
      <c r="X203" s="1">
        <f t="shared" si="1814"/>
        <v>2595</v>
      </c>
      <c r="Y203" s="1">
        <f t="shared" si="1"/>
        <v>5499</v>
      </c>
      <c r="Z203" s="1">
        <f t="shared" ref="Z203:AA203" si="1815">W203-T203</f>
        <v>2878</v>
      </c>
      <c r="AA203" s="1">
        <f t="shared" si="1815"/>
        <v>2558</v>
      </c>
      <c r="AB203" s="1">
        <f t="shared" si="3"/>
        <v>5436</v>
      </c>
      <c r="AC203" s="1">
        <f t="shared" ref="AC203:AD203" si="1816">SUM(E203,H203,K203,N203)</f>
        <v>2657</v>
      </c>
      <c r="AD203" s="1">
        <f t="shared" si="1816"/>
        <v>2187</v>
      </c>
      <c r="AE203" s="1">
        <f t="shared" si="5"/>
        <v>4844</v>
      </c>
      <c r="AF203" s="2">
        <f t="shared" ref="AF203:AH203" si="1817">AC203/Z203</f>
        <v>0.92321056289089642</v>
      </c>
      <c r="AG203" s="2">
        <f t="shared" si="1817"/>
        <v>0.85496481626270526</v>
      </c>
      <c r="AH203" s="2">
        <f t="shared" si="1817"/>
        <v>0.89109639440765265</v>
      </c>
      <c r="AI203" s="1">
        <f t="shared" ref="AI203:AJ203" si="1818">SUM(E203,H203,K203)</f>
        <v>2416</v>
      </c>
      <c r="AJ203" s="1">
        <f t="shared" si="1818"/>
        <v>1861</v>
      </c>
      <c r="AK203" s="1">
        <f t="shared" si="8"/>
        <v>4277</v>
      </c>
      <c r="AL203" s="2">
        <f t="shared" ref="AL203:AN203" si="1819">AI203/Z203</f>
        <v>0.83947185545517722</v>
      </c>
      <c r="AM203" s="2">
        <f t="shared" si="1819"/>
        <v>0.72752150117279124</v>
      </c>
      <c r="AN203" s="2">
        <f t="shared" si="1819"/>
        <v>0.78679175864606332</v>
      </c>
      <c r="AO203" s="2">
        <f t="shared" ref="AO203:AQ203" si="1820">E203/Z203</f>
        <v>9.3467685892981239E-2</v>
      </c>
      <c r="AP203" s="2">
        <f t="shared" si="1820"/>
        <v>3.6356528537920249E-2</v>
      </c>
      <c r="AQ203" s="2">
        <f t="shared" si="1820"/>
        <v>6.6593083149374538E-2</v>
      </c>
      <c r="AR203" s="2">
        <f t="shared" si="11"/>
        <v>0.12890896455872133</v>
      </c>
      <c r="AS203" s="2">
        <f t="shared" ref="AS203:AT203" si="1821">R203/AA203</f>
        <v>0.14503518373729476</v>
      </c>
      <c r="AT203" s="2">
        <f t="shared" si="1821"/>
        <v>0.10890360559234731</v>
      </c>
      <c r="AU203" s="2">
        <f t="shared" ref="AU203:AW203" si="1822">T203/W203</f>
        <v>8.9531680440771352E-3</v>
      </c>
      <c r="AV203" s="2">
        <f t="shared" si="1741"/>
        <v>1.4258188824662813E-2</v>
      </c>
      <c r="AW203" s="2">
        <f t="shared" si="1741"/>
        <v>1.1456628477905073E-2</v>
      </c>
    </row>
    <row r="204" spans="1:49" ht="13" x14ac:dyDescent="0.15">
      <c r="A204" s="1">
        <v>2023</v>
      </c>
      <c r="B204" s="1" t="s">
        <v>49</v>
      </c>
      <c r="C204" s="1" t="s">
        <v>52</v>
      </c>
      <c r="D204" s="1" t="s">
        <v>147</v>
      </c>
      <c r="E204" s="1">
        <v>327</v>
      </c>
      <c r="F204" s="1">
        <v>251</v>
      </c>
      <c r="G204" s="1">
        <v>578</v>
      </c>
      <c r="H204" s="1">
        <v>947</v>
      </c>
      <c r="I204" s="1">
        <v>1067</v>
      </c>
      <c r="J204" s="1">
        <v>2014</v>
      </c>
      <c r="K204" s="1">
        <v>541</v>
      </c>
      <c r="L204" s="1">
        <v>903</v>
      </c>
      <c r="M204" s="1">
        <v>1444</v>
      </c>
      <c r="N204" s="1">
        <v>182</v>
      </c>
      <c r="O204" s="1">
        <v>319</v>
      </c>
      <c r="P204" s="1">
        <v>501</v>
      </c>
      <c r="Q204" s="1">
        <v>285</v>
      </c>
      <c r="R204" s="1">
        <v>666</v>
      </c>
      <c r="S204" s="1">
        <v>951</v>
      </c>
      <c r="T204" s="1">
        <v>61</v>
      </c>
      <c r="U204" s="1">
        <v>76</v>
      </c>
      <c r="V204" s="1">
        <v>137</v>
      </c>
      <c r="W204" s="1">
        <f t="shared" ref="W204:X204" si="1823">SUM(E204,H204,K204,N204,Q204,T204)</f>
        <v>2343</v>
      </c>
      <c r="X204" s="1">
        <f t="shared" si="1823"/>
        <v>3282</v>
      </c>
      <c r="Y204" s="1">
        <f t="shared" si="1"/>
        <v>5625</v>
      </c>
      <c r="Z204" s="1">
        <f t="shared" ref="Z204:AA204" si="1824">W204-T204</f>
        <v>2282</v>
      </c>
      <c r="AA204" s="1">
        <f t="shared" si="1824"/>
        <v>3206</v>
      </c>
      <c r="AB204" s="1">
        <f t="shared" si="3"/>
        <v>5488</v>
      </c>
      <c r="AC204" s="1">
        <f t="shared" ref="AC204:AD204" si="1825">SUM(E204,H204,K204,N204)</f>
        <v>1997</v>
      </c>
      <c r="AD204" s="1">
        <f t="shared" si="1825"/>
        <v>2540</v>
      </c>
      <c r="AE204" s="1">
        <f t="shared" si="5"/>
        <v>4537</v>
      </c>
      <c r="AF204" s="2">
        <f t="shared" ref="AF204:AH204" si="1826">AC204/Z204</f>
        <v>0.87510955302366344</v>
      </c>
      <c r="AG204" s="2">
        <f t="shared" si="1826"/>
        <v>0.79226450405489712</v>
      </c>
      <c r="AH204" s="2">
        <f t="shared" si="1826"/>
        <v>0.82671282798833823</v>
      </c>
      <c r="AI204" s="1">
        <f t="shared" ref="AI204:AJ204" si="1827">SUM(E204,H204,K204)</f>
        <v>1815</v>
      </c>
      <c r="AJ204" s="1">
        <f t="shared" si="1827"/>
        <v>2221</v>
      </c>
      <c r="AK204" s="1">
        <f t="shared" si="8"/>
        <v>4036</v>
      </c>
      <c r="AL204" s="2">
        <f t="shared" ref="AL204:AN204" si="1828">AI204/Z204</f>
        <v>0.7953549517966696</v>
      </c>
      <c r="AM204" s="2">
        <f t="shared" si="1828"/>
        <v>0.69276356830941987</v>
      </c>
      <c r="AN204" s="2">
        <f t="shared" si="1828"/>
        <v>0.73542274052478129</v>
      </c>
      <c r="AO204" s="2">
        <f t="shared" ref="AO204:AQ204" si="1829">E204/Z204</f>
        <v>0.14329535495179668</v>
      </c>
      <c r="AP204" s="2">
        <f t="shared" si="1829"/>
        <v>7.8290704928259514E-2</v>
      </c>
      <c r="AQ204" s="2">
        <f t="shared" si="1829"/>
        <v>0.10532069970845481</v>
      </c>
      <c r="AR204" s="2">
        <f t="shared" si="11"/>
        <v>0.29184925503943909</v>
      </c>
      <c r="AS204" s="2">
        <f t="shared" ref="AS204:AT204" si="1830">R204/AA204</f>
        <v>0.20773549594510293</v>
      </c>
      <c r="AT204" s="2">
        <f t="shared" si="1830"/>
        <v>0.1732871720116618</v>
      </c>
      <c r="AU204" s="2">
        <f t="shared" ref="AU204:AW204" si="1831">T204/W204</f>
        <v>2.6034997865983782E-2</v>
      </c>
      <c r="AV204" s="2">
        <f t="shared" si="1741"/>
        <v>2.3156611822059719E-2</v>
      </c>
      <c r="AW204" s="2">
        <f t="shared" si="1741"/>
        <v>2.4355555555555554E-2</v>
      </c>
    </row>
    <row r="205" spans="1:49" ht="13" x14ac:dyDescent="0.15">
      <c r="A205" s="1">
        <v>2023</v>
      </c>
      <c r="B205" s="1" t="s">
        <v>49</v>
      </c>
      <c r="C205" s="1" t="s">
        <v>101</v>
      </c>
      <c r="D205" s="1" t="s">
        <v>148</v>
      </c>
      <c r="E205" s="1">
        <v>144</v>
      </c>
      <c r="F205" s="1">
        <v>137</v>
      </c>
      <c r="G205" s="1">
        <v>281</v>
      </c>
      <c r="H205" s="1">
        <v>589</v>
      </c>
      <c r="I205" s="1">
        <v>575</v>
      </c>
      <c r="J205" s="1">
        <v>1164</v>
      </c>
      <c r="K205" s="1">
        <v>320</v>
      </c>
      <c r="L205" s="1">
        <v>434</v>
      </c>
      <c r="M205" s="1">
        <v>754</v>
      </c>
      <c r="N205" s="1">
        <v>101</v>
      </c>
      <c r="O205" s="1">
        <v>162</v>
      </c>
      <c r="P205" s="1">
        <v>263</v>
      </c>
      <c r="Q205" s="1">
        <v>143</v>
      </c>
      <c r="R205" s="1">
        <v>199</v>
      </c>
      <c r="S205" s="1">
        <v>342</v>
      </c>
      <c r="T205" s="1">
        <v>24</v>
      </c>
      <c r="U205" s="1">
        <v>25</v>
      </c>
      <c r="V205" s="1">
        <v>49</v>
      </c>
      <c r="W205" s="1">
        <f t="shared" ref="W205:X205" si="1832">SUM(E205,H205,K205,N205,Q205,T205)</f>
        <v>1321</v>
      </c>
      <c r="X205" s="1">
        <f t="shared" si="1832"/>
        <v>1532</v>
      </c>
      <c r="Y205" s="1">
        <f t="shared" si="1"/>
        <v>2853</v>
      </c>
      <c r="Z205" s="1">
        <f t="shared" ref="Z205:AA205" si="1833">W205-T205</f>
        <v>1297</v>
      </c>
      <c r="AA205" s="1">
        <f t="shared" si="1833"/>
        <v>1507</v>
      </c>
      <c r="AB205" s="1">
        <f t="shared" si="3"/>
        <v>2804</v>
      </c>
      <c r="AC205" s="1">
        <f t="shared" ref="AC205:AD205" si="1834">SUM(E205,H205,K205,N205)</f>
        <v>1154</v>
      </c>
      <c r="AD205" s="1">
        <f t="shared" si="1834"/>
        <v>1308</v>
      </c>
      <c r="AE205" s="1">
        <f t="shared" si="5"/>
        <v>2462</v>
      </c>
      <c r="AF205" s="2">
        <f t="shared" ref="AF205:AH205" si="1835">AC205/Z205</f>
        <v>0.88974556669236704</v>
      </c>
      <c r="AG205" s="2">
        <f t="shared" si="1835"/>
        <v>0.86794956867949569</v>
      </c>
      <c r="AH205" s="2">
        <f t="shared" si="1835"/>
        <v>0.87803138373751788</v>
      </c>
      <c r="AI205" s="1">
        <f t="shared" ref="AI205:AJ205" si="1836">SUM(E205,H205,K205)</f>
        <v>1053</v>
      </c>
      <c r="AJ205" s="1">
        <f t="shared" si="1836"/>
        <v>1146</v>
      </c>
      <c r="AK205" s="1">
        <f t="shared" si="8"/>
        <v>2199</v>
      </c>
      <c r="AL205" s="2">
        <f t="shared" ref="AL205:AN205" si="1837">AI205/Z205</f>
        <v>0.81187355435620667</v>
      </c>
      <c r="AM205" s="2">
        <f t="shared" si="1837"/>
        <v>0.76045122760451223</v>
      </c>
      <c r="AN205" s="2">
        <f t="shared" si="1837"/>
        <v>0.7842368045649073</v>
      </c>
      <c r="AO205" s="2">
        <f t="shared" ref="AO205:AQ205" si="1838">E205/Z205</f>
        <v>0.11102544333076329</v>
      </c>
      <c r="AP205" s="2">
        <f t="shared" si="1838"/>
        <v>9.0909090909090912E-2</v>
      </c>
      <c r="AQ205" s="2">
        <f t="shared" si="1838"/>
        <v>0.10021398002853067</v>
      </c>
      <c r="AR205" s="2">
        <f t="shared" si="11"/>
        <v>0.15343099460292983</v>
      </c>
      <c r="AS205" s="2">
        <f t="shared" ref="AS205:AT205" si="1839">R205/AA205</f>
        <v>0.13205043132050431</v>
      </c>
      <c r="AT205" s="2">
        <f t="shared" si="1839"/>
        <v>0.12196861626248216</v>
      </c>
      <c r="AU205" s="2">
        <f t="shared" ref="AU205:AW205" si="1840">T205/W205</f>
        <v>1.8168054504163512E-2</v>
      </c>
      <c r="AV205" s="2">
        <f t="shared" si="1741"/>
        <v>1.6318537859007835E-2</v>
      </c>
      <c r="AW205" s="2">
        <f t="shared" si="1741"/>
        <v>1.717490361023484E-2</v>
      </c>
    </row>
    <row r="206" spans="1:49" ht="13" x14ac:dyDescent="0.15">
      <c r="A206" s="1">
        <v>2023</v>
      </c>
      <c r="B206" s="1" t="s">
        <v>49</v>
      </c>
      <c r="C206" s="1" t="s">
        <v>78</v>
      </c>
      <c r="D206" s="1" t="s">
        <v>149</v>
      </c>
      <c r="E206" s="1">
        <v>147</v>
      </c>
      <c r="F206" s="1">
        <v>99</v>
      </c>
      <c r="G206" s="1">
        <v>246</v>
      </c>
      <c r="H206" s="1">
        <v>748</v>
      </c>
      <c r="I206" s="1">
        <v>644</v>
      </c>
      <c r="J206" s="1">
        <v>1392</v>
      </c>
      <c r="K206" s="1">
        <v>418</v>
      </c>
      <c r="L206" s="1">
        <v>472</v>
      </c>
      <c r="M206" s="1">
        <v>890</v>
      </c>
      <c r="N206" s="1">
        <v>306</v>
      </c>
      <c r="O206" s="1">
        <v>262</v>
      </c>
      <c r="P206" s="1">
        <v>568</v>
      </c>
      <c r="Q206" s="1">
        <v>469</v>
      </c>
      <c r="R206" s="1">
        <v>488</v>
      </c>
      <c r="S206" s="1">
        <v>957</v>
      </c>
      <c r="T206" s="1">
        <v>28</v>
      </c>
      <c r="U206" s="1">
        <v>36</v>
      </c>
      <c r="V206" s="1">
        <v>64</v>
      </c>
      <c r="W206" s="1">
        <f t="shared" ref="W206:X206" si="1841">SUM(E206,H206,K206,N206,Q206,T206)</f>
        <v>2116</v>
      </c>
      <c r="X206" s="1">
        <f t="shared" si="1841"/>
        <v>2001</v>
      </c>
      <c r="Y206" s="1">
        <f t="shared" si="1"/>
        <v>4117</v>
      </c>
      <c r="Z206" s="1">
        <f t="shared" ref="Z206:AA206" si="1842">W206-T206</f>
        <v>2088</v>
      </c>
      <c r="AA206" s="1">
        <f t="shared" si="1842"/>
        <v>1965</v>
      </c>
      <c r="AB206" s="1">
        <f t="shared" si="3"/>
        <v>4053</v>
      </c>
      <c r="AC206" s="1">
        <f t="shared" ref="AC206:AD206" si="1843">SUM(E206,H206,K206,N206)</f>
        <v>1619</v>
      </c>
      <c r="AD206" s="1">
        <f t="shared" si="1843"/>
        <v>1477</v>
      </c>
      <c r="AE206" s="1">
        <f t="shared" si="5"/>
        <v>3096</v>
      </c>
      <c r="AF206" s="2">
        <f t="shared" ref="AF206:AH206" si="1844">AC206/Z206</f>
        <v>0.77538314176245215</v>
      </c>
      <c r="AG206" s="2">
        <f t="shared" si="1844"/>
        <v>0.75165394402035624</v>
      </c>
      <c r="AH206" s="2">
        <f t="shared" si="1844"/>
        <v>0.76387860843819388</v>
      </c>
      <c r="AI206" s="1">
        <f t="shared" ref="AI206:AJ206" si="1845">SUM(E206,H206,K206)</f>
        <v>1313</v>
      </c>
      <c r="AJ206" s="1">
        <f t="shared" si="1845"/>
        <v>1215</v>
      </c>
      <c r="AK206" s="1">
        <f t="shared" si="8"/>
        <v>2528</v>
      </c>
      <c r="AL206" s="2">
        <f t="shared" ref="AL206:AN206" si="1846">AI206/Z206</f>
        <v>0.62883141762452111</v>
      </c>
      <c r="AM206" s="2">
        <f t="shared" si="1846"/>
        <v>0.61832061068702293</v>
      </c>
      <c r="AN206" s="2">
        <f t="shared" si="1846"/>
        <v>0.62373550456452009</v>
      </c>
      <c r="AO206" s="2">
        <f t="shared" ref="AO206:AQ206" si="1847">E206/Z206</f>
        <v>7.040229885057471E-2</v>
      </c>
      <c r="AP206" s="2">
        <f t="shared" si="1847"/>
        <v>5.0381679389312976E-2</v>
      </c>
      <c r="AQ206" s="2">
        <f t="shared" si="1847"/>
        <v>6.0695780903034791E-2</v>
      </c>
      <c r="AR206" s="2">
        <f t="shared" si="11"/>
        <v>0.23371647509578544</v>
      </c>
      <c r="AS206" s="2">
        <f t="shared" ref="AS206:AT206" si="1848">R206/AA206</f>
        <v>0.24834605597964376</v>
      </c>
      <c r="AT206" s="2">
        <f t="shared" si="1848"/>
        <v>0.23612139156180606</v>
      </c>
      <c r="AU206" s="2">
        <f t="shared" ref="AU206:AW206" si="1849">T206/W206</f>
        <v>1.3232514177693762E-2</v>
      </c>
      <c r="AV206" s="2">
        <f t="shared" si="1741"/>
        <v>1.7991004497751123E-2</v>
      </c>
      <c r="AW206" s="2">
        <f t="shared" si="1741"/>
        <v>1.5545299975710469E-2</v>
      </c>
    </row>
    <row r="207" spans="1:49" ht="13" x14ac:dyDescent="0.15">
      <c r="A207" s="1">
        <v>2023</v>
      </c>
      <c r="B207" s="1" t="s">
        <v>66</v>
      </c>
      <c r="C207" s="1" t="s">
        <v>67</v>
      </c>
      <c r="D207" s="1" t="s">
        <v>150</v>
      </c>
      <c r="E207" s="1">
        <v>120</v>
      </c>
      <c r="F207" s="1">
        <v>42</v>
      </c>
      <c r="G207" s="1">
        <v>162</v>
      </c>
      <c r="H207" s="1">
        <v>914</v>
      </c>
      <c r="I207" s="1">
        <v>567</v>
      </c>
      <c r="J207" s="1">
        <v>1481</v>
      </c>
      <c r="K207" s="1">
        <v>563</v>
      </c>
      <c r="L207" s="1">
        <v>582</v>
      </c>
      <c r="M207" s="1">
        <v>1145</v>
      </c>
      <c r="N207" s="1">
        <v>251</v>
      </c>
      <c r="O207" s="1">
        <v>286</v>
      </c>
      <c r="P207" s="1">
        <v>537</v>
      </c>
      <c r="Q207" s="1">
        <v>261</v>
      </c>
      <c r="R207" s="1">
        <v>279</v>
      </c>
      <c r="S207" s="1">
        <v>540</v>
      </c>
      <c r="T207" s="1">
        <v>56</v>
      </c>
      <c r="U207" s="1">
        <v>51</v>
      </c>
      <c r="V207" s="1">
        <v>107</v>
      </c>
      <c r="W207" s="1">
        <f t="shared" ref="W207:X207" si="1850">SUM(E207,H207,K207,N207,Q207,T207)</f>
        <v>2165</v>
      </c>
      <c r="X207" s="1">
        <f t="shared" si="1850"/>
        <v>1807</v>
      </c>
      <c r="Y207" s="1">
        <f t="shared" si="1"/>
        <v>3972</v>
      </c>
      <c r="Z207" s="1">
        <f t="shared" ref="Z207:AA207" si="1851">W207-T207</f>
        <v>2109</v>
      </c>
      <c r="AA207" s="1">
        <f t="shared" si="1851"/>
        <v>1756</v>
      </c>
      <c r="AB207" s="1">
        <f t="shared" si="3"/>
        <v>3865</v>
      </c>
      <c r="AC207" s="1">
        <f t="shared" ref="AC207:AD207" si="1852">SUM(E207,H207,K207,N207)</f>
        <v>1848</v>
      </c>
      <c r="AD207" s="1">
        <f t="shared" si="1852"/>
        <v>1477</v>
      </c>
      <c r="AE207" s="1">
        <f t="shared" si="5"/>
        <v>3325</v>
      </c>
      <c r="AF207" s="2">
        <f t="shared" ref="AF207:AH207" si="1853">AC207/Z207</f>
        <v>0.87624466571834991</v>
      </c>
      <c r="AG207" s="2">
        <f t="shared" si="1853"/>
        <v>0.84111617312072895</v>
      </c>
      <c r="AH207" s="2">
        <f t="shared" si="1853"/>
        <v>0.86028460543337648</v>
      </c>
      <c r="AI207" s="1">
        <f t="shared" ref="AI207:AJ207" si="1854">SUM(E207,H207,K207)</f>
        <v>1597</v>
      </c>
      <c r="AJ207" s="1">
        <f t="shared" si="1854"/>
        <v>1191</v>
      </c>
      <c r="AK207" s="1">
        <f t="shared" si="8"/>
        <v>2788</v>
      </c>
      <c r="AL207" s="2">
        <f t="shared" ref="AL207:AN207" si="1855">AI207/Z207</f>
        <v>0.75723091512565199</v>
      </c>
      <c r="AM207" s="2">
        <f t="shared" si="1855"/>
        <v>0.67824601366742598</v>
      </c>
      <c r="AN207" s="2">
        <f t="shared" si="1855"/>
        <v>0.72134540750323417</v>
      </c>
      <c r="AO207" s="2">
        <f t="shared" ref="AO207:AQ207" si="1856">E207/Z207</f>
        <v>5.6899004267425321E-2</v>
      </c>
      <c r="AP207" s="2">
        <f t="shared" si="1856"/>
        <v>2.3917995444191344E-2</v>
      </c>
      <c r="AQ207" s="2">
        <f t="shared" si="1856"/>
        <v>4.1914618369987063E-2</v>
      </c>
      <c r="AR207" s="2">
        <f t="shared" si="11"/>
        <v>0.13229018492176386</v>
      </c>
      <c r="AS207" s="2">
        <f t="shared" ref="AS207:AT207" si="1857">R207/AA207</f>
        <v>0.15888382687927108</v>
      </c>
      <c r="AT207" s="2">
        <f t="shared" si="1857"/>
        <v>0.13971539456662355</v>
      </c>
      <c r="AU207" s="2">
        <f t="shared" ref="AU207:AW207" si="1858">T207/W207</f>
        <v>2.5866050808314087E-2</v>
      </c>
      <c r="AV207" s="2">
        <f t="shared" si="1741"/>
        <v>2.8223574986164915E-2</v>
      </c>
      <c r="AW207" s="2">
        <f t="shared" si="1741"/>
        <v>2.6938569989929505E-2</v>
      </c>
    </row>
    <row r="208" spans="1:49" ht="13" x14ac:dyDescent="0.15">
      <c r="A208" s="1">
        <v>2023</v>
      </c>
      <c r="B208" s="1" t="s">
        <v>49</v>
      </c>
      <c r="C208" s="1" t="s">
        <v>80</v>
      </c>
      <c r="D208" s="1" t="s">
        <v>151</v>
      </c>
      <c r="E208" s="1">
        <v>107</v>
      </c>
      <c r="F208" s="1">
        <v>61</v>
      </c>
      <c r="G208" s="1">
        <v>168</v>
      </c>
      <c r="H208" s="1">
        <v>760</v>
      </c>
      <c r="I208" s="1">
        <v>647</v>
      </c>
      <c r="J208" s="1">
        <v>1407</v>
      </c>
      <c r="K208" s="1">
        <v>369</v>
      </c>
      <c r="L208" s="1">
        <v>387</v>
      </c>
      <c r="M208" s="1">
        <v>756</v>
      </c>
      <c r="N208" s="1">
        <v>185</v>
      </c>
      <c r="O208" s="1">
        <v>182</v>
      </c>
      <c r="P208" s="1">
        <v>367</v>
      </c>
      <c r="Q208" s="1">
        <v>314</v>
      </c>
      <c r="R208" s="1">
        <v>359</v>
      </c>
      <c r="S208" s="1">
        <v>673</v>
      </c>
      <c r="T208" s="1">
        <v>25</v>
      </c>
      <c r="U208" s="1">
        <v>23</v>
      </c>
      <c r="V208" s="1">
        <v>48</v>
      </c>
      <c r="W208" s="1">
        <f t="shared" ref="W208:X208" si="1859">SUM(E208,H208,K208,N208,Q208,T208)</f>
        <v>1760</v>
      </c>
      <c r="X208" s="1">
        <f t="shared" si="1859"/>
        <v>1659</v>
      </c>
      <c r="Y208" s="1">
        <f t="shared" si="1"/>
        <v>3419</v>
      </c>
      <c r="Z208" s="1">
        <f t="shared" ref="Z208:AA208" si="1860">W208-T208</f>
        <v>1735</v>
      </c>
      <c r="AA208" s="1">
        <f t="shared" si="1860"/>
        <v>1636</v>
      </c>
      <c r="AB208" s="1">
        <f t="shared" si="3"/>
        <v>3371</v>
      </c>
      <c r="AC208" s="1">
        <f t="shared" ref="AC208:AD208" si="1861">SUM(E208,H208,K208,N208)</f>
        <v>1421</v>
      </c>
      <c r="AD208" s="1">
        <f t="shared" si="1861"/>
        <v>1277</v>
      </c>
      <c r="AE208" s="1">
        <f t="shared" si="5"/>
        <v>2698</v>
      </c>
      <c r="AF208" s="2">
        <f t="shared" ref="AF208:AH208" si="1862">AC208/Z208</f>
        <v>0.81902017291066287</v>
      </c>
      <c r="AG208" s="2">
        <f t="shared" si="1862"/>
        <v>0.78056234718826401</v>
      </c>
      <c r="AH208" s="2">
        <f t="shared" si="1862"/>
        <v>0.80035597745476117</v>
      </c>
      <c r="AI208" s="1">
        <f t="shared" ref="AI208:AJ208" si="1863">SUM(E208,H208,K208)</f>
        <v>1236</v>
      </c>
      <c r="AJ208" s="1">
        <f t="shared" si="1863"/>
        <v>1095</v>
      </c>
      <c r="AK208" s="1">
        <f t="shared" si="8"/>
        <v>2331</v>
      </c>
      <c r="AL208" s="2">
        <f t="shared" ref="AL208:AN208" si="1864">AI208/Z208</f>
        <v>0.71239193083573482</v>
      </c>
      <c r="AM208" s="2">
        <f t="shared" si="1864"/>
        <v>0.6693154034229829</v>
      </c>
      <c r="AN208" s="2">
        <f t="shared" si="1864"/>
        <v>0.69148620587362797</v>
      </c>
      <c r="AO208" s="2">
        <f t="shared" ref="AO208:AQ208" si="1865">E208/Z208</f>
        <v>6.1671469740634005E-2</v>
      </c>
      <c r="AP208" s="2">
        <f t="shared" si="1865"/>
        <v>3.728606356968215E-2</v>
      </c>
      <c r="AQ208" s="2">
        <f t="shared" si="1865"/>
        <v>4.9836843666567786E-2</v>
      </c>
      <c r="AR208" s="2">
        <f t="shared" si="11"/>
        <v>0.20691642651296829</v>
      </c>
      <c r="AS208" s="2">
        <f t="shared" ref="AS208:AT208" si="1866">R208/AA208</f>
        <v>0.21943765281173594</v>
      </c>
      <c r="AT208" s="2">
        <f t="shared" si="1866"/>
        <v>0.1996440225452388</v>
      </c>
      <c r="AU208" s="2">
        <f t="shared" ref="AU208:AW208" si="1867">T208/W208</f>
        <v>1.4204545454545454E-2</v>
      </c>
      <c r="AV208" s="2">
        <f t="shared" si="1741"/>
        <v>1.3863773357444244E-2</v>
      </c>
      <c r="AW208" s="2">
        <f t="shared" si="1741"/>
        <v>1.4039192746417082E-2</v>
      </c>
    </row>
    <row r="209" spans="1:49" ht="13" x14ac:dyDescent="0.15">
      <c r="A209" s="1">
        <v>2023</v>
      </c>
      <c r="B209" s="1" t="s">
        <v>74</v>
      </c>
      <c r="C209" s="1" t="s">
        <v>75</v>
      </c>
      <c r="D209" s="1" t="s">
        <v>199</v>
      </c>
      <c r="E209" s="1">
        <v>59</v>
      </c>
      <c r="F209" s="1">
        <v>12</v>
      </c>
      <c r="G209" s="1">
        <v>71</v>
      </c>
      <c r="H209" s="1">
        <v>299</v>
      </c>
      <c r="I209" s="1">
        <v>186</v>
      </c>
      <c r="J209" s="1">
        <v>485</v>
      </c>
      <c r="K209" s="1">
        <v>73</v>
      </c>
      <c r="L209" s="1">
        <v>67</v>
      </c>
      <c r="M209" s="1">
        <v>140</v>
      </c>
      <c r="N209" s="1">
        <v>23</v>
      </c>
      <c r="O209" s="1">
        <v>30</v>
      </c>
      <c r="P209" s="1">
        <v>53</v>
      </c>
      <c r="Q209" s="1">
        <v>15</v>
      </c>
      <c r="R209" s="1">
        <v>25</v>
      </c>
      <c r="S209" s="1">
        <v>40</v>
      </c>
      <c r="T209" s="1">
        <v>13</v>
      </c>
      <c r="U209" s="1">
        <v>3</v>
      </c>
      <c r="V209" s="1">
        <v>16</v>
      </c>
      <c r="W209" s="1">
        <f t="shared" ref="W209:X209" si="1868">SUM(E209,H209,K209,N209,Q209,T209)</f>
        <v>482</v>
      </c>
      <c r="X209" s="1">
        <f t="shared" si="1868"/>
        <v>323</v>
      </c>
      <c r="Y209" s="1">
        <f t="shared" si="1"/>
        <v>805</v>
      </c>
      <c r="Z209" s="1">
        <f t="shared" ref="Z209:AA209" si="1869">W209-T209</f>
        <v>469</v>
      </c>
      <c r="AA209" s="1">
        <f t="shared" si="1869"/>
        <v>320</v>
      </c>
      <c r="AB209" s="1">
        <f t="shared" si="3"/>
        <v>789</v>
      </c>
      <c r="AC209" s="1">
        <f t="shared" ref="AC209:AD209" si="1870">SUM(E209,H209,K209,N209)</f>
        <v>454</v>
      </c>
      <c r="AD209" s="1">
        <f t="shared" si="1870"/>
        <v>295</v>
      </c>
      <c r="AE209" s="1">
        <f t="shared" si="5"/>
        <v>749</v>
      </c>
      <c r="AF209" s="2">
        <f t="shared" ref="AF209:AH209" si="1871">AC209/Z209</f>
        <v>0.96801705756929635</v>
      </c>
      <c r="AG209" s="2">
        <f t="shared" si="1871"/>
        <v>0.921875</v>
      </c>
      <c r="AH209" s="2">
        <f t="shared" si="1871"/>
        <v>0.94930291508238274</v>
      </c>
      <c r="AI209" s="1">
        <f t="shared" ref="AI209:AJ209" si="1872">SUM(E209,H209,K209)</f>
        <v>431</v>
      </c>
      <c r="AJ209" s="1">
        <f t="shared" si="1872"/>
        <v>265</v>
      </c>
      <c r="AK209" s="1">
        <f t="shared" si="8"/>
        <v>696</v>
      </c>
      <c r="AL209" s="2">
        <f t="shared" ref="AL209:AN209" si="1873">AI209/Z209</f>
        <v>0.91897654584221744</v>
      </c>
      <c r="AM209" s="2">
        <f t="shared" si="1873"/>
        <v>0.828125</v>
      </c>
      <c r="AN209" s="2">
        <f t="shared" si="1873"/>
        <v>0.88212927756653992</v>
      </c>
      <c r="AO209" s="2">
        <f t="shared" ref="AO209:AQ209" si="1874">E209/Z209</f>
        <v>0.1257995735607676</v>
      </c>
      <c r="AP209" s="2">
        <f t="shared" si="1874"/>
        <v>3.7499999999999999E-2</v>
      </c>
      <c r="AQ209" s="2">
        <f t="shared" si="1874"/>
        <v>8.9987325728770592E-2</v>
      </c>
      <c r="AR209" s="2">
        <f t="shared" si="11"/>
        <v>5.3304904051172705E-2</v>
      </c>
      <c r="AS209" s="2">
        <f t="shared" ref="AS209:AT209" si="1875">R209/AA209</f>
        <v>7.8125E-2</v>
      </c>
      <c r="AT209" s="2">
        <f t="shared" si="1875"/>
        <v>5.0697084917617236E-2</v>
      </c>
      <c r="AU209" s="2">
        <f t="shared" ref="AU209:AW209" si="1876">T209/W209</f>
        <v>2.6970954356846474E-2</v>
      </c>
      <c r="AV209" s="2">
        <f t="shared" si="1741"/>
        <v>9.2879256965944269E-3</v>
      </c>
      <c r="AW209" s="2">
        <f t="shared" si="1741"/>
        <v>1.9875776397515529E-2</v>
      </c>
    </row>
    <row r="210" spans="1:49" ht="13" x14ac:dyDescent="0.15">
      <c r="A210" s="1">
        <v>2023</v>
      </c>
      <c r="B210" s="1" t="s">
        <v>49</v>
      </c>
      <c r="C210" s="1" t="s">
        <v>59</v>
      </c>
      <c r="D210" s="1" t="s">
        <v>152</v>
      </c>
      <c r="E210" s="1">
        <v>215</v>
      </c>
      <c r="F210" s="1">
        <v>151</v>
      </c>
      <c r="G210" s="1">
        <v>366</v>
      </c>
      <c r="H210" s="1">
        <v>1167</v>
      </c>
      <c r="I210" s="1">
        <v>1071</v>
      </c>
      <c r="J210" s="1">
        <v>2238</v>
      </c>
      <c r="K210" s="1">
        <v>732</v>
      </c>
      <c r="L210" s="1">
        <v>831</v>
      </c>
      <c r="M210" s="1">
        <v>1563</v>
      </c>
      <c r="N210" s="1">
        <v>237</v>
      </c>
      <c r="O210" s="1">
        <v>352</v>
      </c>
      <c r="P210" s="1">
        <v>589</v>
      </c>
      <c r="Q210" s="1">
        <v>332</v>
      </c>
      <c r="R210" s="1">
        <v>465</v>
      </c>
      <c r="S210" s="1">
        <v>797</v>
      </c>
      <c r="T210" s="1">
        <v>16</v>
      </c>
      <c r="U210" s="1">
        <v>22</v>
      </c>
      <c r="V210" s="1">
        <v>38</v>
      </c>
      <c r="W210" s="1">
        <f t="shared" ref="W210:X210" si="1877">SUM(E210,H210,K210,N210,Q210,T210)</f>
        <v>2699</v>
      </c>
      <c r="X210" s="1">
        <f t="shared" si="1877"/>
        <v>2892</v>
      </c>
      <c r="Y210" s="1">
        <f t="shared" si="1"/>
        <v>5591</v>
      </c>
      <c r="Z210" s="1">
        <f t="shared" ref="Z210:AA210" si="1878">W210-T210</f>
        <v>2683</v>
      </c>
      <c r="AA210" s="1">
        <f t="shared" si="1878"/>
        <v>2870</v>
      </c>
      <c r="AB210" s="1">
        <f t="shared" si="3"/>
        <v>5553</v>
      </c>
      <c r="AC210" s="1">
        <f t="shared" ref="AC210:AD210" si="1879">SUM(E210,H210,K210,N210)</f>
        <v>2351</v>
      </c>
      <c r="AD210" s="1">
        <f t="shared" si="1879"/>
        <v>2405</v>
      </c>
      <c r="AE210" s="1">
        <f t="shared" si="5"/>
        <v>4756</v>
      </c>
      <c r="AF210" s="2">
        <f t="shared" ref="AF210:AH210" si="1880">AC210/Z210</f>
        <v>0.87625792023853899</v>
      </c>
      <c r="AG210" s="2">
        <f t="shared" si="1880"/>
        <v>0.83797909407665505</v>
      </c>
      <c r="AH210" s="2">
        <f t="shared" si="1880"/>
        <v>0.85647397802989378</v>
      </c>
      <c r="AI210" s="1">
        <f t="shared" ref="AI210:AJ210" si="1881">SUM(E210,H210,K210)</f>
        <v>2114</v>
      </c>
      <c r="AJ210" s="1">
        <f t="shared" si="1881"/>
        <v>2053</v>
      </c>
      <c r="AK210" s="1">
        <f t="shared" si="8"/>
        <v>4167</v>
      </c>
      <c r="AL210" s="2">
        <f t="shared" ref="AL210:AN210" si="1882">AI210/Z210</f>
        <v>0.7879239657100261</v>
      </c>
      <c r="AM210" s="2">
        <f t="shared" si="1882"/>
        <v>0.71533101045296166</v>
      </c>
      <c r="AN210" s="2">
        <f t="shared" si="1882"/>
        <v>0.75040518638573739</v>
      </c>
      <c r="AO210" s="2">
        <f t="shared" ref="AO210:AQ210" si="1883">E210/Z210</f>
        <v>8.0134178158777492E-2</v>
      </c>
      <c r="AP210" s="2">
        <f t="shared" si="1883"/>
        <v>5.2613240418118469E-2</v>
      </c>
      <c r="AQ210" s="2">
        <f t="shared" si="1883"/>
        <v>6.5910318746623453E-2</v>
      </c>
      <c r="AR210" s="2">
        <f t="shared" si="11"/>
        <v>0.17331345508758852</v>
      </c>
      <c r="AS210" s="2">
        <f t="shared" ref="AS210:AT210" si="1884">R210/AA210</f>
        <v>0.16202090592334495</v>
      </c>
      <c r="AT210" s="2">
        <f t="shared" si="1884"/>
        <v>0.14352602197010625</v>
      </c>
      <c r="AU210" s="2">
        <f t="shared" ref="AU210:AW225" si="1885">T210/W210</f>
        <v>5.928121526491293E-3</v>
      </c>
      <c r="AV210" s="2">
        <f t="shared" si="1885"/>
        <v>7.6071922544951589E-3</v>
      </c>
      <c r="AW210" s="2">
        <f t="shared" si="1885"/>
        <v>6.7966374530495435E-3</v>
      </c>
    </row>
    <row r="211" spans="1:49" ht="13" x14ac:dyDescent="0.15">
      <c r="A211" s="1">
        <v>2023</v>
      </c>
      <c r="B211" s="1" t="s">
        <v>49</v>
      </c>
      <c r="C211" s="1" t="s">
        <v>80</v>
      </c>
      <c r="D211" s="1" t="s">
        <v>153</v>
      </c>
      <c r="E211" s="1">
        <v>87</v>
      </c>
      <c r="F211" s="1">
        <v>21</v>
      </c>
      <c r="G211" s="1">
        <v>108</v>
      </c>
      <c r="H211" s="1">
        <v>582</v>
      </c>
      <c r="I211" s="1">
        <v>425</v>
      </c>
      <c r="J211" s="1">
        <v>1007</v>
      </c>
      <c r="K211" s="1">
        <v>267</v>
      </c>
      <c r="L211" s="1">
        <v>305</v>
      </c>
      <c r="M211" s="1">
        <v>572</v>
      </c>
      <c r="N211" s="1">
        <v>132</v>
      </c>
      <c r="O211" s="1">
        <v>140</v>
      </c>
      <c r="P211" s="1">
        <v>272</v>
      </c>
      <c r="Q211" s="1">
        <v>205</v>
      </c>
      <c r="R211" s="1">
        <v>246</v>
      </c>
      <c r="S211" s="1">
        <v>451</v>
      </c>
      <c r="T211" s="1">
        <v>15</v>
      </c>
      <c r="U211" s="1">
        <v>10</v>
      </c>
      <c r="V211" s="1">
        <v>25</v>
      </c>
      <c r="W211" s="1">
        <f t="shared" ref="W211:X211" si="1886">SUM(E211,H211,K211,N211,Q211,T211)</f>
        <v>1288</v>
      </c>
      <c r="X211" s="1">
        <f t="shared" si="1886"/>
        <v>1147</v>
      </c>
      <c r="Y211" s="1">
        <f t="shared" si="1"/>
        <v>2435</v>
      </c>
      <c r="Z211" s="1">
        <f t="shared" ref="Z211:AA211" si="1887">W211-T211</f>
        <v>1273</v>
      </c>
      <c r="AA211" s="1">
        <f t="shared" si="1887"/>
        <v>1137</v>
      </c>
      <c r="AB211" s="1">
        <f t="shared" si="3"/>
        <v>2410</v>
      </c>
      <c r="AC211" s="1">
        <f t="shared" ref="AC211:AD211" si="1888">SUM(E211,H211,K211,N211)</f>
        <v>1068</v>
      </c>
      <c r="AD211" s="1">
        <f t="shared" si="1888"/>
        <v>891</v>
      </c>
      <c r="AE211" s="1">
        <f t="shared" si="5"/>
        <v>1959</v>
      </c>
      <c r="AF211" s="2">
        <f t="shared" ref="AF211:AH211" si="1889">AC211/Z211</f>
        <v>0.83896307934014136</v>
      </c>
      <c r="AG211" s="2">
        <f t="shared" si="1889"/>
        <v>0.78364116094986802</v>
      </c>
      <c r="AH211" s="2">
        <f t="shared" si="1889"/>
        <v>0.81286307053941909</v>
      </c>
      <c r="AI211" s="1">
        <f t="shared" ref="AI211:AJ211" si="1890">SUM(E211,H211,K211)</f>
        <v>936</v>
      </c>
      <c r="AJ211" s="1">
        <f t="shared" si="1890"/>
        <v>751</v>
      </c>
      <c r="AK211" s="1">
        <f t="shared" si="8"/>
        <v>1687</v>
      </c>
      <c r="AL211" s="2">
        <f t="shared" ref="AL211:AN211" si="1891">AI211/Z211</f>
        <v>0.73527101335428124</v>
      </c>
      <c r="AM211" s="2">
        <f t="shared" si="1891"/>
        <v>0.66051011433597184</v>
      </c>
      <c r="AN211" s="2">
        <f t="shared" si="1891"/>
        <v>0.7</v>
      </c>
      <c r="AO211" s="2">
        <f t="shared" ref="AO211:AQ211" si="1892">E211/Z211</f>
        <v>6.834249803613511E-2</v>
      </c>
      <c r="AP211" s="2">
        <f t="shared" si="1892"/>
        <v>1.8469656992084433E-2</v>
      </c>
      <c r="AQ211" s="2">
        <f t="shared" si="1892"/>
        <v>4.4813278008298756E-2</v>
      </c>
      <c r="AR211" s="2">
        <f t="shared" si="11"/>
        <v>0.19324430479183033</v>
      </c>
      <c r="AS211" s="2">
        <f t="shared" ref="AS211:AT211" si="1893">R211/AA211</f>
        <v>0.21635883905013192</v>
      </c>
      <c r="AT211" s="2">
        <f t="shared" si="1893"/>
        <v>0.18713692946058091</v>
      </c>
      <c r="AU211" s="2">
        <f t="shared" ref="AU211:AW211" si="1894">T211/W211</f>
        <v>1.1645962732919254E-2</v>
      </c>
      <c r="AV211" s="2">
        <f t="shared" si="1885"/>
        <v>8.7183958151700082E-3</v>
      </c>
      <c r="AW211" s="2">
        <f t="shared" si="1885"/>
        <v>1.0266940451745379E-2</v>
      </c>
    </row>
    <row r="212" spans="1:49" ht="13" x14ac:dyDescent="0.15">
      <c r="A212" s="1">
        <v>2023</v>
      </c>
      <c r="B212" s="1" t="s">
        <v>49</v>
      </c>
      <c r="C212" s="1" t="s">
        <v>62</v>
      </c>
      <c r="D212" s="1" t="s">
        <v>154</v>
      </c>
      <c r="E212" s="1">
        <v>45</v>
      </c>
      <c r="F212" s="1">
        <v>10</v>
      </c>
      <c r="G212" s="1">
        <v>55</v>
      </c>
      <c r="H212" s="1">
        <v>327</v>
      </c>
      <c r="I212" s="1">
        <v>273</v>
      </c>
      <c r="J212" s="1">
        <v>600</v>
      </c>
      <c r="K212" s="1">
        <v>292</v>
      </c>
      <c r="L212" s="1">
        <v>359</v>
      </c>
      <c r="M212" s="1">
        <v>651</v>
      </c>
      <c r="N212" s="1">
        <v>116</v>
      </c>
      <c r="O212" s="1">
        <v>150</v>
      </c>
      <c r="P212" s="1">
        <v>266</v>
      </c>
      <c r="Q212" s="1">
        <v>204</v>
      </c>
      <c r="R212" s="1">
        <v>418</v>
      </c>
      <c r="S212" s="1">
        <v>622</v>
      </c>
      <c r="T212" s="1">
        <v>0</v>
      </c>
      <c r="U212" s="1">
        <v>4</v>
      </c>
      <c r="V212" s="1">
        <v>4</v>
      </c>
      <c r="W212" s="1">
        <f t="shared" ref="W212:X212" si="1895">SUM(E212,H212,K212,N212,Q212,T212)</f>
        <v>984</v>
      </c>
      <c r="X212" s="1">
        <f t="shared" si="1895"/>
        <v>1214</v>
      </c>
      <c r="Y212" s="1">
        <f t="shared" si="1"/>
        <v>2198</v>
      </c>
      <c r="Z212" s="1">
        <f t="shared" ref="Z212:AA212" si="1896">W212-T212</f>
        <v>984</v>
      </c>
      <c r="AA212" s="1">
        <f t="shared" si="1896"/>
        <v>1210</v>
      </c>
      <c r="AB212" s="1">
        <f t="shared" si="3"/>
        <v>2194</v>
      </c>
      <c r="AC212" s="1">
        <f t="shared" ref="AC212:AD212" si="1897">SUM(E212,H212,K212,N212)</f>
        <v>780</v>
      </c>
      <c r="AD212" s="1">
        <f t="shared" si="1897"/>
        <v>792</v>
      </c>
      <c r="AE212" s="1">
        <f t="shared" si="5"/>
        <v>1572</v>
      </c>
      <c r="AF212" s="2">
        <f t="shared" ref="AF212:AH212" si="1898">AC212/Z212</f>
        <v>0.79268292682926833</v>
      </c>
      <c r="AG212" s="2">
        <f t="shared" si="1898"/>
        <v>0.65454545454545454</v>
      </c>
      <c r="AH212" s="2">
        <f t="shared" si="1898"/>
        <v>0.71649954421148587</v>
      </c>
      <c r="AI212" s="1">
        <f t="shared" ref="AI212:AJ212" si="1899">SUM(E212,H212,K212)</f>
        <v>664</v>
      </c>
      <c r="AJ212" s="1">
        <f t="shared" si="1899"/>
        <v>642</v>
      </c>
      <c r="AK212" s="1">
        <f t="shared" si="8"/>
        <v>1306</v>
      </c>
      <c r="AL212" s="2">
        <f t="shared" ref="AL212:AN212" si="1900">AI212/Z212</f>
        <v>0.67479674796747968</v>
      </c>
      <c r="AM212" s="2">
        <f t="shared" si="1900"/>
        <v>0.53057851239669418</v>
      </c>
      <c r="AN212" s="2">
        <f t="shared" si="1900"/>
        <v>0.59525979945305374</v>
      </c>
      <c r="AO212" s="2">
        <f t="shared" ref="AO212:AQ212" si="1901">E212/Z212</f>
        <v>4.573170731707317E-2</v>
      </c>
      <c r="AP212" s="2">
        <f t="shared" si="1901"/>
        <v>8.2644628099173556E-3</v>
      </c>
      <c r="AQ212" s="2">
        <f t="shared" si="1901"/>
        <v>2.5068368277119418E-2</v>
      </c>
      <c r="AR212" s="2">
        <f t="shared" si="11"/>
        <v>0.42479674796747968</v>
      </c>
      <c r="AS212" s="2">
        <f t="shared" ref="AS212:AT212" si="1902">R212/AA212</f>
        <v>0.34545454545454546</v>
      </c>
      <c r="AT212" s="2">
        <f t="shared" si="1902"/>
        <v>0.28350045578851413</v>
      </c>
      <c r="AU212" s="2">
        <f t="shared" ref="AU212:AW212" si="1903">T212/W212</f>
        <v>0</v>
      </c>
      <c r="AV212" s="2">
        <f t="shared" si="1885"/>
        <v>3.2948929159802307E-3</v>
      </c>
      <c r="AW212" s="2">
        <f t="shared" si="1885"/>
        <v>1.8198362147406734E-3</v>
      </c>
    </row>
    <row r="213" spans="1:49" ht="13" x14ac:dyDescent="0.15">
      <c r="A213" s="1">
        <v>2023</v>
      </c>
      <c r="B213" s="1" t="s">
        <v>49</v>
      </c>
      <c r="C213" s="1" t="s">
        <v>93</v>
      </c>
      <c r="D213" s="1" t="s">
        <v>155</v>
      </c>
      <c r="E213" s="1">
        <v>135</v>
      </c>
      <c r="F213" s="1">
        <v>103</v>
      </c>
      <c r="G213" s="1">
        <v>238</v>
      </c>
      <c r="H213" s="1">
        <v>728</v>
      </c>
      <c r="I213" s="1">
        <v>802</v>
      </c>
      <c r="J213" s="1">
        <v>1530</v>
      </c>
      <c r="K213" s="1">
        <v>319</v>
      </c>
      <c r="L213" s="1">
        <v>450</v>
      </c>
      <c r="M213" s="1">
        <v>769</v>
      </c>
      <c r="N213" s="1">
        <v>191</v>
      </c>
      <c r="O213" s="1">
        <v>244</v>
      </c>
      <c r="P213" s="1">
        <v>435</v>
      </c>
      <c r="Q213" s="1">
        <v>270</v>
      </c>
      <c r="R213" s="1">
        <v>385</v>
      </c>
      <c r="S213" s="1">
        <v>655</v>
      </c>
      <c r="T213" s="1">
        <v>41</v>
      </c>
      <c r="U213" s="1">
        <v>58</v>
      </c>
      <c r="V213" s="1">
        <v>99</v>
      </c>
      <c r="W213" s="1">
        <f t="shared" ref="W213:X213" si="1904">SUM(E213,H213,K213,N213,Q213,T213)</f>
        <v>1684</v>
      </c>
      <c r="X213" s="1">
        <f t="shared" si="1904"/>
        <v>2042</v>
      </c>
      <c r="Y213" s="1">
        <f t="shared" si="1"/>
        <v>3726</v>
      </c>
      <c r="Z213" s="1">
        <f t="shared" ref="Z213:AA213" si="1905">W213-T213</f>
        <v>1643</v>
      </c>
      <c r="AA213" s="1">
        <f t="shared" si="1905"/>
        <v>1984</v>
      </c>
      <c r="AB213" s="1">
        <f t="shared" si="3"/>
        <v>3627</v>
      </c>
      <c r="AC213" s="1">
        <f t="shared" ref="AC213:AD213" si="1906">SUM(E213,H213,K213,N213)</f>
        <v>1373</v>
      </c>
      <c r="AD213" s="1">
        <f t="shared" si="1906"/>
        <v>1599</v>
      </c>
      <c r="AE213" s="1">
        <f t="shared" si="5"/>
        <v>2972</v>
      </c>
      <c r="AF213" s="2">
        <f t="shared" ref="AF213:AH213" si="1907">AC213/Z213</f>
        <v>0.83566646378575771</v>
      </c>
      <c r="AG213" s="2">
        <f t="shared" si="1907"/>
        <v>0.80594758064516125</v>
      </c>
      <c r="AH213" s="2">
        <f t="shared" si="1907"/>
        <v>0.81940998070030324</v>
      </c>
      <c r="AI213" s="1">
        <f t="shared" ref="AI213:AJ213" si="1908">SUM(E213,H213,K213)</f>
        <v>1182</v>
      </c>
      <c r="AJ213" s="1">
        <f t="shared" si="1908"/>
        <v>1355</v>
      </c>
      <c r="AK213" s="1">
        <f t="shared" si="8"/>
        <v>2537</v>
      </c>
      <c r="AL213" s="2">
        <f t="shared" ref="AL213:AN213" si="1909">AI213/Z213</f>
        <v>0.71941570298234936</v>
      </c>
      <c r="AM213" s="2">
        <f t="shared" si="1909"/>
        <v>0.68296370967741937</v>
      </c>
      <c r="AN213" s="2">
        <f t="shared" si="1909"/>
        <v>0.69947615108905437</v>
      </c>
      <c r="AO213" s="2">
        <f t="shared" ref="AO213:AQ213" si="1910">E213/Z213</f>
        <v>8.2166768107121119E-2</v>
      </c>
      <c r="AP213" s="2">
        <f t="shared" si="1910"/>
        <v>5.1915322580645164E-2</v>
      </c>
      <c r="AQ213" s="2">
        <f t="shared" si="1910"/>
        <v>6.5618968844775291E-2</v>
      </c>
      <c r="AR213" s="2">
        <f t="shared" si="11"/>
        <v>0.23432744978697503</v>
      </c>
      <c r="AS213" s="2">
        <f t="shared" ref="AS213:AT213" si="1911">R213/AA213</f>
        <v>0.19405241935483872</v>
      </c>
      <c r="AT213" s="2">
        <f t="shared" si="1911"/>
        <v>0.18059001929969673</v>
      </c>
      <c r="AU213" s="2">
        <f t="shared" ref="AU213:AW213" si="1912">T213/W213</f>
        <v>2.4346793349168647E-2</v>
      </c>
      <c r="AV213" s="2">
        <f t="shared" si="1885"/>
        <v>2.8403525954946131E-2</v>
      </c>
      <c r="AW213" s="2">
        <f t="shared" si="1885"/>
        <v>2.6570048309178744E-2</v>
      </c>
    </row>
    <row r="214" spans="1:49" ht="13" x14ac:dyDescent="0.15">
      <c r="A214" s="1">
        <v>2023</v>
      </c>
      <c r="B214" s="1" t="s">
        <v>117</v>
      </c>
      <c r="C214" s="1" t="s">
        <v>101</v>
      </c>
      <c r="D214" s="1" t="s">
        <v>156</v>
      </c>
      <c r="E214" s="1">
        <v>319</v>
      </c>
      <c r="F214" s="1">
        <v>230</v>
      </c>
      <c r="G214" s="1">
        <v>549</v>
      </c>
      <c r="H214" s="1">
        <v>1474</v>
      </c>
      <c r="I214" s="1">
        <v>1559</v>
      </c>
      <c r="J214" s="1">
        <v>3033</v>
      </c>
      <c r="K214" s="1">
        <v>348</v>
      </c>
      <c r="L214" s="1">
        <v>487</v>
      </c>
      <c r="M214" s="1">
        <v>835</v>
      </c>
      <c r="N214" s="1">
        <v>151</v>
      </c>
      <c r="O214" s="1">
        <v>180</v>
      </c>
      <c r="P214" s="1">
        <v>331</v>
      </c>
      <c r="Q214" s="1">
        <v>62</v>
      </c>
      <c r="R214" s="1">
        <v>69</v>
      </c>
      <c r="S214" s="1">
        <v>131</v>
      </c>
      <c r="T214" s="1">
        <v>33</v>
      </c>
      <c r="U214" s="1">
        <v>44</v>
      </c>
      <c r="V214" s="1">
        <v>77</v>
      </c>
      <c r="W214" s="1">
        <f t="shared" ref="W214:X214" si="1913">SUM(E214,H214,K214,N214,Q214,T214)</f>
        <v>2387</v>
      </c>
      <c r="X214" s="1">
        <f t="shared" si="1913"/>
        <v>2569</v>
      </c>
      <c r="Y214" s="1">
        <f t="shared" si="1"/>
        <v>4956</v>
      </c>
      <c r="Z214" s="1">
        <f t="shared" ref="Z214:AA214" si="1914">W214-T214</f>
        <v>2354</v>
      </c>
      <c r="AA214" s="1">
        <f t="shared" si="1914"/>
        <v>2525</v>
      </c>
      <c r="AB214" s="1">
        <f t="shared" si="3"/>
        <v>4879</v>
      </c>
      <c r="AC214" s="1">
        <f t="shared" ref="AC214:AD214" si="1915">SUM(E214,H214,K214,N214)</f>
        <v>2292</v>
      </c>
      <c r="AD214" s="1">
        <f t="shared" si="1915"/>
        <v>2456</v>
      </c>
      <c r="AE214" s="1">
        <f t="shared" si="5"/>
        <v>4748</v>
      </c>
      <c r="AF214" s="2">
        <f t="shared" ref="AF214:AH214" si="1916">AC214/Z214</f>
        <v>0.97366185216652501</v>
      </c>
      <c r="AG214" s="2">
        <f t="shared" si="1916"/>
        <v>0.97267326732673265</v>
      </c>
      <c r="AH214" s="2">
        <f t="shared" si="1916"/>
        <v>0.97315023570403769</v>
      </c>
      <c r="AI214" s="1">
        <f t="shared" ref="AI214:AJ214" si="1917">SUM(E214,H214,K214)</f>
        <v>2141</v>
      </c>
      <c r="AJ214" s="1">
        <f t="shared" si="1917"/>
        <v>2276</v>
      </c>
      <c r="AK214" s="1">
        <f t="shared" si="8"/>
        <v>4417</v>
      </c>
      <c r="AL214" s="2">
        <f t="shared" ref="AL214:AN214" si="1918">AI214/Z214</f>
        <v>0.90951571792693287</v>
      </c>
      <c r="AM214" s="2">
        <f t="shared" si="1918"/>
        <v>0.90138613861386141</v>
      </c>
      <c r="AN214" s="2">
        <f t="shared" si="1918"/>
        <v>0.90530846484935434</v>
      </c>
      <c r="AO214" s="2">
        <f t="shared" ref="AO214:AQ214" si="1919">E214/Z214</f>
        <v>0.13551401869158877</v>
      </c>
      <c r="AP214" s="2">
        <f t="shared" si="1919"/>
        <v>9.1089108910891087E-2</v>
      </c>
      <c r="AQ214" s="2">
        <f t="shared" si="1919"/>
        <v>0.11252305800368928</v>
      </c>
      <c r="AR214" s="2">
        <f t="shared" si="11"/>
        <v>2.9311809685641461E-2</v>
      </c>
      <c r="AS214" s="2">
        <f t="shared" ref="AS214:AT214" si="1920">R214/AA214</f>
        <v>2.7326732673267327E-2</v>
      </c>
      <c r="AT214" s="2">
        <f t="shared" si="1920"/>
        <v>2.6849764295962288E-2</v>
      </c>
      <c r="AU214" s="2">
        <f t="shared" ref="AU214:AW214" si="1921">T214/W214</f>
        <v>1.3824884792626729E-2</v>
      </c>
      <c r="AV214" s="2">
        <f t="shared" si="1885"/>
        <v>1.7127286882055275E-2</v>
      </c>
      <c r="AW214" s="2">
        <f t="shared" si="1885"/>
        <v>1.5536723163841809E-2</v>
      </c>
    </row>
    <row r="215" spans="1:49" ht="13" x14ac:dyDescent="0.15">
      <c r="A215" s="1">
        <v>2023</v>
      </c>
      <c r="B215" s="1" t="s">
        <v>49</v>
      </c>
      <c r="C215" s="1" t="s">
        <v>101</v>
      </c>
      <c r="D215" s="1" t="s">
        <v>157</v>
      </c>
      <c r="E215" s="1">
        <v>277</v>
      </c>
      <c r="F215" s="1">
        <v>333</v>
      </c>
      <c r="G215" s="1">
        <v>610</v>
      </c>
      <c r="H215" s="1">
        <v>2329</v>
      </c>
      <c r="I215" s="1">
        <v>2732</v>
      </c>
      <c r="J215" s="1">
        <v>5061</v>
      </c>
      <c r="K215" s="1">
        <v>534</v>
      </c>
      <c r="L215" s="1">
        <v>634</v>
      </c>
      <c r="M215" s="1">
        <v>1168</v>
      </c>
      <c r="N215" s="1">
        <v>245</v>
      </c>
      <c r="O215" s="1">
        <v>247</v>
      </c>
      <c r="P215" s="1">
        <v>492</v>
      </c>
      <c r="Q215" s="1">
        <v>152</v>
      </c>
      <c r="R215" s="1">
        <v>176</v>
      </c>
      <c r="S215" s="1">
        <v>328</v>
      </c>
      <c r="T215" s="1">
        <v>38</v>
      </c>
      <c r="U215" s="1">
        <v>34</v>
      </c>
      <c r="V215" s="1">
        <v>72</v>
      </c>
      <c r="W215" s="1">
        <f t="shared" ref="W215:X215" si="1922">SUM(E215,H215,K215,N215,Q215,T215)</f>
        <v>3575</v>
      </c>
      <c r="X215" s="1">
        <f t="shared" si="1922"/>
        <v>4156</v>
      </c>
      <c r="Y215" s="1">
        <f t="shared" si="1"/>
        <v>7731</v>
      </c>
      <c r="Z215" s="1">
        <f t="shared" ref="Z215:AA215" si="1923">W215-T215</f>
        <v>3537</v>
      </c>
      <c r="AA215" s="1">
        <f t="shared" si="1923"/>
        <v>4122</v>
      </c>
      <c r="AB215" s="1">
        <f t="shared" si="3"/>
        <v>7659</v>
      </c>
      <c r="AC215" s="1">
        <f t="shared" ref="AC215:AD215" si="1924">SUM(E215,H215,K215,N215)</f>
        <v>3385</v>
      </c>
      <c r="AD215" s="1">
        <f t="shared" si="1924"/>
        <v>3946</v>
      </c>
      <c r="AE215" s="1">
        <f t="shared" si="5"/>
        <v>7331</v>
      </c>
      <c r="AF215" s="2">
        <f t="shared" ref="AF215:AH215" si="1925">AC215/Z215</f>
        <v>0.95702572801809438</v>
      </c>
      <c r="AG215" s="2">
        <f t="shared" si="1925"/>
        <v>0.95730228044638521</v>
      </c>
      <c r="AH215" s="2">
        <f t="shared" si="1925"/>
        <v>0.9571745658702181</v>
      </c>
      <c r="AI215" s="1">
        <f t="shared" ref="AI215:AJ215" si="1926">SUM(E215,H215,K215)</f>
        <v>3140</v>
      </c>
      <c r="AJ215" s="1">
        <f t="shared" si="1926"/>
        <v>3699</v>
      </c>
      <c r="AK215" s="1">
        <f t="shared" si="8"/>
        <v>6839</v>
      </c>
      <c r="AL215" s="2">
        <f t="shared" ref="AL215:AN215" si="1927">AI215/Z215</f>
        <v>0.88775798699462827</v>
      </c>
      <c r="AM215" s="2">
        <f t="shared" si="1927"/>
        <v>0.8973799126637555</v>
      </c>
      <c r="AN215" s="2">
        <f t="shared" si="1927"/>
        <v>0.89293641467554508</v>
      </c>
      <c r="AO215" s="2">
        <f t="shared" ref="AO215:AQ215" si="1928">E215/Z215</f>
        <v>7.8314956177551603E-2</v>
      </c>
      <c r="AP215" s="2">
        <f t="shared" si="1928"/>
        <v>8.0786026200873357E-2</v>
      </c>
      <c r="AQ215" s="2">
        <f t="shared" si="1928"/>
        <v>7.9644862253557908E-2</v>
      </c>
      <c r="AR215" s="2">
        <f t="shared" si="11"/>
        <v>4.9759683347469608E-2</v>
      </c>
      <c r="AS215" s="2">
        <f t="shared" ref="AS215:AT215" si="1929">R215/AA215</f>
        <v>4.2697719553614753E-2</v>
      </c>
      <c r="AT215" s="2">
        <f t="shared" si="1929"/>
        <v>4.2825434129781959E-2</v>
      </c>
      <c r="AU215" s="2">
        <f t="shared" ref="AU215:AW215" si="1930">T215/W215</f>
        <v>1.0629370629370629E-2</v>
      </c>
      <c r="AV215" s="2">
        <f t="shared" si="1885"/>
        <v>8.1809432146294509E-3</v>
      </c>
      <c r="AW215" s="2">
        <f t="shared" si="1885"/>
        <v>9.3131548311990685E-3</v>
      </c>
    </row>
    <row r="216" spans="1:49" ht="13" x14ac:dyDescent="0.15">
      <c r="A216" s="1">
        <v>2023</v>
      </c>
      <c r="B216" s="1" t="s">
        <v>49</v>
      </c>
      <c r="C216" s="1" t="s">
        <v>50</v>
      </c>
      <c r="D216" s="1" t="s">
        <v>158</v>
      </c>
      <c r="E216" s="1">
        <v>582</v>
      </c>
      <c r="F216" s="1">
        <v>522</v>
      </c>
      <c r="G216" s="1">
        <v>1104</v>
      </c>
      <c r="H216" s="1">
        <v>1506</v>
      </c>
      <c r="I216" s="1">
        <v>1912</v>
      </c>
      <c r="J216" s="1">
        <v>3418</v>
      </c>
      <c r="K216" s="1">
        <v>387</v>
      </c>
      <c r="L216" s="1">
        <v>518</v>
      </c>
      <c r="M216" s="1">
        <v>905</v>
      </c>
      <c r="N216" s="1">
        <v>168</v>
      </c>
      <c r="O216" s="1">
        <v>201</v>
      </c>
      <c r="P216" s="1">
        <v>369</v>
      </c>
      <c r="Q216" s="1">
        <v>108</v>
      </c>
      <c r="R216" s="1">
        <v>142</v>
      </c>
      <c r="S216" s="1">
        <v>250</v>
      </c>
      <c r="T216" s="1">
        <v>76</v>
      </c>
      <c r="U216" s="1">
        <v>75</v>
      </c>
      <c r="V216" s="1">
        <v>151</v>
      </c>
      <c r="W216" s="1">
        <f t="shared" ref="W216:X216" si="1931">SUM(E216,H216,K216,N216,Q216,T216)</f>
        <v>2827</v>
      </c>
      <c r="X216" s="1">
        <f t="shared" si="1931"/>
        <v>3370</v>
      </c>
      <c r="Y216" s="1">
        <f t="shared" si="1"/>
        <v>6197</v>
      </c>
      <c r="Z216" s="1">
        <f t="shared" ref="Z216:AA216" si="1932">W216-T216</f>
        <v>2751</v>
      </c>
      <c r="AA216" s="1">
        <f t="shared" si="1932"/>
        <v>3295</v>
      </c>
      <c r="AB216" s="1">
        <f t="shared" si="3"/>
        <v>6046</v>
      </c>
      <c r="AC216" s="1">
        <f t="shared" ref="AC216:AD216" si="1933">SUM(E216,H216,K216,N216)</f>
        <v>2643</v>
      </c>
      <c r="AD216" s="1">
        <f t="shared" si="1933"/>
        <v>3153</v>
      </c>
      <c r="AE216" s="1">
        <f t="shared" si="5"/>
        <v>5796</v>
      </c>
      <c r="AF216" s="2">
        <f t="shared" ref="AF216:AH216" si="1934">AC216/Z216</f>
        <v>0.96074154852780802</v>
      </c>
      <c r="AG216" s="2">
        <f t="shared" si="1934"/>
        <v>0.95690440060698023</v>
      </c>
      <c r="AH216" s="2">
        <f t="shared" si="1934"/>
        <v>0.95865034733708232</v>
      </c>
      <c r="AI216" s="1">
        <f t="shared" ref="AI216:AJ216" si="1935">SUM(E216,H216,K216)</f>
        <v>2475</v>
      </c>
      <c r="AJ216" s="1">
        <f t="shared" si="1935"/>
        <v>2952</v>
      </c>
      <c r="AK216" s="1">
        <f t="shared" si="8"/>
        <v>5427</v>
      </c>
      <c r="AL216" s="2">
        <f t="shared" ref="AL216:AN216" si="1936">AI216/Z216</f>
        <v>0.89967284623773169</v>
      </c>
      <c r="AM216" s="2">
        <f t="shared" si="1936"/>
        <v>0.8959028831562974</v>
      </c>
      <c r="AN216" s="2">
        <f t="shared" si="1936"/>
        <v>0.89761826000661593</v>
      </c>
      <c r="AO216" s="2">
        <f t="shared" ref="AO216:AQ216" si="1937">E216/Z216</f>
        <v>0.21155943293347873</v>
      </c>
      <c r="AP216" s="2">
        <f t="shared" si="1937"/>
        <v>0.15842185128983308</v>
      </c>
      <c r="AQ216" s="2">
        <f t="shared" si="1937"/>
        <v>0.18260006615944427</v>
      </c>
      <c r="AR216" s="2">
        <f t="shared" si="11"/>
        <v>5.1617593602326428E-2</v>
      </c>
      <c r="AS216" s="2">
        <f t="shared" ref="AS216:AT216" si="1938">R216/AA216</f>
        <v>4.3095599393019726E-2</v>
      </c>
      <c r="AT216" s="2">
        <f t="shared" si="1938"/>
        <v>4.1349652662917631E-2</v>
      </c>
      <c r="AU216" s="2">
        <f t="shared" ref="AU216:AW216" si="1939">T216/W216</f>
        <v>2.6883622214361514E-2</v>
      </c>
      <c r="AV216" s="2">
        <f t="shared" si="1885"/>
        <v>2.2255192878338281E-2</v>
      </c>
      <c r="AW216" s="2">
        <f t="shared" si="1885"/>
        <v>2.4366629014039052E-2</v>
      </c>
    </row>
    <row r="217" spans="1:49" ht="13" x14ac:dyDescent="0.15">
      <c r="A217" s="1">
        <v>2023</v>
      </c>
      <c r="B217" s="1" t="s">
        <v>66</v>
      </c>
      <c r="C217" s="1" t="s">
        <v>78</v>
      </c>
      <c r="D217" s="1" t="s">
        <v>159</v>
      </c>
      <c r="E217" s="1">
        <v>22</v>
      </c>
      <c r="F217" s="1">
        <v>9</v>
      </c>
      <c r="G217" s="1">
        <v>31</v>
      </c>
      <c r="H217" s="1">
        <v>668</v>
      </c>
      <c r="I217" s="1">
        <v>334</v>
      </c>
      <c r="J217" s="1">
        <v>1002</v>
      </c>
      <c r="K217" s="1">
        <v>503</v>
      </c>
      <c r="L217" s="1">
        <v>478</v>
      </c>
      <c r="M217" s="1">
        <v>981</v>
      </c>
      <c r="N217" s="1">
        <v>337</v>
      </c>
      <c r="O217" s="1">
        <v>271</v>
      </c>
      <c r="P217" s="1">
        <v>608</v>
      </c>
      <c r="Q217" s="1">
        <v>349</v>
      </c>
      <c r="R217" s="1">
        <v>447</v>
      </c>
      <c r="S217" s="1">
        <v>796</v>
      </c>
      <c r="T217" s="1">
        <v>29</v>
      </c>
      <c r="U217" s="1">
        <v>24</v>
      </c>
      <c r="V217" s="1">
        <v>53</v>
      </c>
      <c r="W217" s="1">
        <f t="shared" ref="W217:X217" si="1940">SUM(E217,H217,K217,N217,Q217,T217)</f>
        <v>1908</v>
      </c>
      <c r="X217" s="1">
        <f t="shared" si="1940"/>
        <v>1563</v>
      </c>
      <c r="Y217" s="1">
        <f t="shared" si="1"/>
        <v>3471</v>
      </c>
      <c r="Z217" s="1">
        <f t="shared" ref="Z217:AA217" si="1941">W217-T217</f>
        <v>1879</v>
      </c>
      <c r="AA217" s="1">
        <f t="shared" si="1941"/>
        <v>1539</v>
      </c>
      <c r="AB217" s="1">
        <f t="shared" si="3"/>
        <v>3418</v>
      </c>
      <c r="AC217" s="1">
        <f t="shared" ref="AC217:AD217" si="1942">SUM(E217,H217,K217,N217)</f>
        <v>1530</v>
      </c>
      <c r="AD217" s="1">
        <f t="shared" si="1942"/>
        <v>1092</v>
      </c>
      <c r="AE217" s="1">
        <f t="shared" si="5"/>
        <v>2622</v>
      </c>
      <c r="AF217" s="2">
        <f t="shared" ref="AF217:AH217" si="1943">AC217/Z217</f>
        <v>0.81426290580095795</v>
      </c>
      <c r="AG217" s="2">
        <f t="shared" si="1943"/>
        <v>0.70955165692007793</v>
      </c>
      <c r="AH217" s="2">
        <f t="shared" si="1943"/>
        <v>0.76711527208894092</v>
      </c>
      <c r="AI217" s="1">
        <f t="shared" ref="AI217:AJ217" si="1944">SUM(E217,H217,K217)</f>
        <v>1193</v>
      </c>
      <c r="AJ217" s="1">
        <f t="shared" si="1944"/>
        <v>821</v>
      </c>
      <c r="AK217" s="1">
        <f t="shared" si="8"/>
        <v>2014</v>
      </c>
      <c r="AL217" s="2">
        <f t="shared" ref="AL217:AN217" si="1945">AI217/Z217</f>
        <v>0.63491218733368815</v>
      </c>
      <c r="AM217" s="2">
        <f t="shared" si="1945"/>
        <v>0.53346328784925279</v>
      </c>
      <c r="AN217" s="2">
        <f t="shared" si="1945"/>
        <v>0.58923346986541836</v>
      </c>
      <c r="AO217" s="2">
        <f t="shared" ref="AO217:AQ217" si="1946">E217/Z217</f>
        <v>1.1708355508249068E-2</v>
      </c>
      <c r="AP217" s="2">
        <f t="shared" si="1946"/>
        <v>5.8479532163742687E-3</v>
      </c>
      <c r="AQ217" s="2">
        <f t="shared" si="1946"/>
        <v>9.0696313633703927E-3</v>
      </c>
      <c r="AR217" s="2">
        <f t="shared" si="11"/>
        <v>0.23789249600851517</v>
      </c>
      <c r="AS217" s="2">
        <f t="shared" ref="AS217:AT217" si="1947">R217/AA217</f>
        <v>0.29044834307992201</v>
      </c>
      <c r="AT217" s="2">
        <f t="shared" si="1947"/>
        <v>0.2328847279110591</v>
      </c>
      <c r="AU217" s="2">
        <f t="shared" ref="AU217:AW217" si="1948">T217/W217</f>
        <v>1.5199161425576519E-2</v>
      </c>
      <c r="AV217" s="2">
        <f t="shared" si="1885"/>
        <v>1.5355086372360844E-2</v>
      </c>
      <c r="AW217" s="2">
        <f t="shared" si="1885"/>
        <v>1.5269374819936617E-2</v>
      </c>
    </row>
    <row r="218" spans="1:49" ht="13" x14ac:dyDescent="0.15">
      <c r="A218" s="1">
        <v>2023</v>
      </c>
      <c r="B218" s="1" t="s">
        <v>49</v>
      </c>
      <c r="C218" s="1" t="s">
        <v>80</v>
      </c>
      <c r="D218" s="1" t="s">
        <v>160</v>
      </c>
      <c r="E218" s="1">
        <v>696</v>
      </c>
      <c r="F218" s="1">
        <v>542</v>
      </c>
      <c r="G218" s="1">
        <v>1238</v>
      </c>
      <c r="H218" s="1">
        <v>1892</v>
      </c>
      <c r="I218" s="1">
        <v>1813</v>
      </c>
      <c r="J218" s="1">
        <v>3705</v>
      </c>
      <c r="K218" s="1">
        <v>705</v>
      </c>
      <c r="L218" s="1">
        <v>877</v>
      </c>
      <c r="M218" s="1">
        <v>1582</v>
      </c>
      <c r="N218" s="1">
        <v>298</v>
      </c>
      <c r="O218" s="1">
        <v>401</v>
      </c>
      <c r="P218" s="1">
        <v>699</v>
      </c>
      <c r="Q218" s="1">
        <v>581</v>
      </c>
      <c r="R218" s="1">
        <v>720</v>
      </c>
      <c r="S218" s="1">
        <v>1301</v>
      </c>
      <c r="T218" s="1">
        <v>54</v>
      </c>
      <c r="U218" s="1">
        <v>59</v>
      </c>
      <c r="V218" s="1">
        <v>113</v>
      </c>
      <c r="W218" s="1">
        <f t="shared" ref="W218:X218" si="1949">SUM(E218,H218,K218,N218,Q218,T218)</f>
        <v>4226</v>
      </c>
      <c r="X218" s="1">
        <f t="shared" si="1949"/>
        <v>4412</v>
      </c>
      <c r="Y218" s="1">
        <f t="shared" si="1"/>
        <v>8638</v>
      </c>
      <c r="Z218" s="1">
        <f t="shared" ref="Z218:AA218" si="1950">W218-T218</f>
        <v>4172</v>
      </c>
      <c r="AA218" s="1">
        <f t="shared" si="1950"/>
        <v>4353</v>
      </c>
      <c r="AB218" s="1">
        <f t="shared" si="3"/>
        <v>8525</v>
      </c>
      <c r="AC218" s="1">
        <f t="shared" ref="AC218:AD218" si="1951">SUM(E218,H218,K218,N218)</f>
        <v>3591</v>
      </c>
      <c r="AD218" s="1">
        <f t="shared" si="1951"/>
        <v>3633</v>
      </c>
      <c r="AE218" s="1">
        <f t="shared" si="5"/>
        <v>7224</v>
      </c>
      <c r="AF218" s="2">
        <f t="shared" ref="AF218:AH218" si="1952">AC218/Z218</f>
        <v>0.86073825503355705</v>
      </c>
      <c r="AG218" s="2">
        <f t="shared" si="1952"/>
        <v>0.83459682977257066</v>
      </c>
      <c r="AH218" s="2">
        <f t="shared" si="1952"/>
        <v>0.84739002932551322</v>
      </c>
      <c r="AI218" s="1">
        <f t="shared" ref="AI218:AJ218" si="1953">SUM(E218,H218,K218)</f>
        <v>3293</v>
      </c>
      <c r="AJ218" s="1">
        <f t="shared" si="1953"/>
        <v>3232</v>
      </c>
      <c r="AK218" s="1">
        <f t="shared" si="8"/>
        <v>6525</v>
      </c>
      <c r="AL218" s="2">
        <f t="shared" ref="AL218:AN218" si="1954">AI218/Z218</f>
        <v>0.78930968360498566</v>
      </c>
      <c r="AM218" s="2">
        <f t="shared" si="1954"/>
        <v>0.74247645302090515</v>
      </c>
      <c r="AN218" s="2">
        <f t="shared" si="1954"/>
        <v>0.76539589442815248</v>
      </c>
      <c r="AO218" s="2">
        <f t="shared" ref="AO218:AQ218" si="1955">E218/Z218</f>
        <v>0.16682646212847554</v>
      </c>
      <c r="AP218" s="2">
        <f t="shared" si="1955"/>
        <v>0.12451183092120377</v>
      </c>
      <c r="AQ218" s="2">
        <f t="shared" si="1955"/>
        <v>0.14521994134897362</v>
      </c>
      <c r="AR218" s="2">
        <f t="shared" si="11"/>
        <v>0.17257909875359539</v>
      </c>
      <c r="AS218" s="2">
        <f t="shared" ref="AS218:AT218" si="1956">R218/AA218</f>
        <v>0.16540317022742937</v>
      </c>
      <c r="AT218" s="2">
        <f t="shared" si="1956"/>
        <v>0.15260997067448681</v>
      </c>
      <c r="AU218" s="2">
        <f t="shared" ref="AU218:AW218" si="1957">T218/W218</f>
        <v>1.2778040700425935E-2</v>
      </c>
      <c r="AV218" s="2">
        <f t="shared" si="1885"/>
        <v>1.3372620126926565E-2</v>
      </c>
      <c r="AW218" s="2">
        <f t="shared" si="1885"/>
        <v>1.308173188238018E-2</v>
      </c>
    </row>
    <row r="219" spans="1:49" ht="13" x14ac:dyDescent="0.15">
      <c r="A219" s="1">
        <v>2023</v>
      </c>
      <c r="B219" s="1" t="s">
        <v>49</v>
      </c>
      <c r="C219" s="1" t="s">
        <v>89</v>
      </c>
      <c r="D219" s="1" t="s">
        <v>161</v>
      </c>
      <c r="E219" s="1">
        <v>90</v>
      </c>
      <c r="F219" s="1">
        <v>48</v>
      </c>
      <c r="G219" s="1">
        <v>138</v>
      </c>
      <c r="H219" s="1">
        <v>1042</v>
      </c>
      <c r="I219" s="1">
        <v>1154</v>
      </c>
      <c r="J219" s="1">
        <v>2196</v>
      </c>
      <c r="K219" s="1">
        <v>616</v>
      </c>
      <c r="L219" s="1">
        <v>799</v>
      </c>
      <c r="M219" s="1">
        <v>1415</v>
      </c>
      <c r="N219" s="1">
        <v>328</v>
      </c>
      <c r="O219" s="1">
        <v>452</v>
      </c>
      <c r="P219" s="1">
        <v>780</v>
      </c>
      <c r="Q219" s="1">
        <v>448</v>
      </c>
      <c r="R219" s="1">
        <v>567</v>
      </c>
      <c r="S219" s="1">
        <v>1015</v>
      </c>
      <c r="T219" s="1">
        <v>45</v>
      </c>
      <c r="U219" s="1">
        <v>56</v>
      </c>
      <c r="V219" s="1">
        <v>101</v>
      </c>
      <c r="W219" s="1">
        <f t="shared" ref="W219:X219" si="1958">SUM(E219,H219,K219,N219,Q219,T219)</f>
        <v>2569</v>
      </c>
      <c r="X219" s="1">
        <f t="shared" si="1958"/>
        <v>3076</v>
      </c>
      <c r="Y219" s="1">
        <f t="shared" si="1"/>
        <v>5645</v>
      </c>
      <c r="Z219" s="1">
        <f t="shared" ref="Z219:AA219" si="1959">W219-T219</f>
        <v>2524</v>
      </c>
      <c r="AA219" s="1">
        <f t="shared" si="1959"/>
        <v>3020</v>
      </c>
      <c r="AB219" s="1">
        <f t="shared" si="3"/>
        <v>5544</v>
      </c>
      <c r="AC219" s="1">
        <f t="shared" ref="AC219:AD219" si="1960">SUM(E219,H219,K219,N219)</f>
        <v>2076</v>
      </c>
      <c r="AD219" s="1">
        <f t="shared" si="1960"/>
        <v>2453</v>
      </c>
      <c r="AE219" s="1">
        <f t="shared" si="5"/>
        <v>4529</v>
      </c>
      <c r="AF219" s="2">
        <f t="shared" ref="AF219:AH219" si="1961">AC219/Z219</f>
        <v>0.82250396196513476</v>
      </c>
      <c r="AG219" s="2">
        <f t="shared" si="1961"/>
        <v>0.81225165562913904</v>
      </c>
      <c r="AH219" s="2">
        <f t="shared" si="1961"/>
        <v>0.81691919191919193</v>
      </c>
      <c r="AI219" s="1">
        <f t="shared" ref="AI219:AJ219" si="1962">SUM(E219,H219,K219)</f>
        <v>1748</v>
      </c>
      <c r="AJ219" s="1">
        <f t="shared" si="1962"/>
        <v>2001</v>
      </c>
      <c r="AK219" s="1">
        <f t="shared" si="8"/>
        <v>3749</v>
      </c>
      <c r="AL219" s="2">
        <f t="shared" ref="AL219:AN219" si="1963">AI219/Z219</f>
        <v>0.69255150554675116</v>
      </c>
      <c r="AM219" s="2">
        <f t="shared" si="1963"/>
        <v>0.6625827814569536</v>
      </c>
      <c r="AN219" s="2">
        <f t="shared" si="1963"/>
        <v>0.67622655122655118</v>
      </c>
      <c r="AO219" s="2">
        <f t="shared" ref="AO219:AQ219" si="1964">E219/Z219</f>
        <v>3.5657686212361331E-2</v>
      </c>
      <c r="AP219" s="2">
        <f t="shared" si="1964"/>
        <v>1.5894039735099338E-2</v>
      </c>
      <c r="AQ219" s="2">
        <f t="shared" si="1964"/>
        <v>2.4891774891774892E-2</v>
      </c>
      <c r="AR219" s="2">
        <f t="shared" si="11"/>
        <v>0.22464342313787639</v>
      </c>
      <c r="AS219" s="2">
        <f t="shared" ref="AS219:AT219" si="1965">R219/AA219</f>
        <v>0.18774834437086094</v>
      </c>
      <c r="AT219" s="2">
        <f t="shared" si="1965"/>
        <v>0.18308080808080809</v>
      </c>
      <c r="AU219" s="2">
        <f t="shared" ref="AU219:AW219" si="1966">T219/W219</f>
        <v>1.7516543402101986E-2</v>
      </c>
      <c r="AV219" s="2">
        <f t="shared" si="1885"/>
        <v>1.8205461638491547E-2</v>
      </c>
      <c r="AW219" s="2">
        <f t="shared" si="1885"/>
        <v>1.7891939769707706E-2</v>
      </c>
    </row>
    <row r="220" spans="1:49" ht="13" x14ac:dyDescent="0.15">
      <c r="A220" s="1">
        <v>2023</v>
      </c>
      <c r="B220" s="1" t="s">
        <v>49</v>
      </c>
      <c r="C220" s="1" t="s">
        <v>93</v>
      </c>
      <c r="D220" s="1" t="s">
        <v>162</v>
      </c>
      <c r="E220" s="1">
        <v>916</v>
      </c>
      <c r="F220" s="1">
        <v>747</v>
      </c>
      <c r="G220" s="1">
        <v>1663</v>
      </c>
      <c r="H220" s="1">
        <v>3202</v>
      </c>
      <c r="I220" s="1">
        <v>3989</v>
      </c>
      <c r="J220" s="1">
        <v>7191</v>
      </c>
      <c r="K220" s="1">
        <v>1140</v>
      </c>
      <c r="L220" s="1">
        <v>1598</v>
      </c>
      <c r="M220" s="1">
        <v>2738</v>
      </c>
      <c r="N220" s="1">
        <v>542</v>
      </c>
      <c r="O220" s="1">
        <v>759</v>
      </c>
      <c r="P220" s="1">
        <v>1301</v>
      </c>
      <c r="Q220" s="1">
        <v>610</v>
      </c>
      <c r="R220" s="1">
        <v>828</v>
      </c>
      <c r="S220" s="1">
        <v>1438</v>
      </c>
      <c r="T220" s="1">
        <v>175</v>
      </c>
      <c r="U220" s="1">
        <v>163</v>
      </c>
      <c r="V220" s="1">
        <v>338</v>
      </c>
      <c r="W220" s="1">
        <f t="shared" ref="W220:X220" si="1967">SUM(E220,H220,K220,N220,Q220,T220)</f>
        <v>6585</v>
      </c>
      <c r="X220" s="1">
        <f t="shared" si="1967"/>
        <v>8084</v>
      </c>
      <c r="Y220" s="1">
        <f t="shared" si="1"/>
        <v>14669</v>
      </c>
      <c r="Z220" s="1">
        <f t="shared" ref="Z220:AA220" si="1968">W220-T220</f>
        <v>6410</v>
      </c>
      <c r="AA220" s="1">
        <f t="shared" si="1968"/>
        <v>7921</v>
      </c>
      <c r="AB220" s="1">
        <f t="shared" si="3"/>
        <v>14331</v>
      </c>
      <c r="AC220" s="1">
        <f t="shared" ref="AC220:AD220" si="1969">SUM(E220,H220,K220,N220)</f>
        <v>5800</v>
      </c>
      <c r="AD220" s="1">
        <f t="shared" si="1969"/>
        <v>7093</v>
      </c>
      <c r="AE220" s="1">
        <f t="shared" si="5"/>
        <v>12893</v>
      </c>
      <c r="AF220" s="2">
        <f t="shared" ref="AF220:AH220" si="1970">AC220/Z220</f>
        <v>0.90483619344773791</v>
      </c>
      <c r="AG220" s="2">
        <f t="shared" si="1970"/>
        <v>0.8954677439717208</v>
      </c>
      <c r="AH220" s="2">
        <f t="shared" si="1970"/>
        <v>0.89965808387411905</v>
      </c>
      <c r="AI220" s="1">
        <f t="shared" ref="AI220:AJ220" si="1971">SUM(E220,H220,K220)</f>
        <v>5258</v>
      </c>
      <c r="AJ220" s="1">
        <f t="shared" si="1971"/>
        <v>6334</v>
      </c>
      <c r="AK220" s="1">
        <f t="shared" si="8"/>
        <v>11592</v>
      </c>
      <c r="AL220" s="2">
        <f t="shared" ref="AL220:AN220" si="1972">AI220/Z220</f>
        <v>0.82028081123244934</v>
      </c>
      <c r="AM220" s="2">
        <f t="shared" si="1972"/>
        <v>0.79964650927913139</v>
      </c>
      <c r="AN220" s="2">
        <f t="shared" si="1972"/>
        <v>0.80887586351266483</v>
      </c>
      <c r="AO220" s="2">
        <f t="shared" ref="AO220:AQ220" si="1973">E220/Z220</f>
        <v>0.14290171606864274</v>
      </c>
      <c r="AP220" s="2">
        <f t="shared" si="1973"/>
        <v>9.4306274460295422E-2</v>
      </c>
      <c r="AQ220" s="2">
        <f t="shared" si="1973"/>
        <v>0.11604214639592492</v>
      </c>
      <c r="AR220" s="2">
        <f t="shared" si="11"/>
        <v>0.12917316692667707</v>
      </c>
      <c r="AS220" s="2">
        <f t="shared" ref="AS220:AT220" si="1974">R220/AA220</f>
        <v>0.10453225602827926</v>
      </c>
      <c r="AT220" s="2">
        <f t="shared" si="1974"/>
        <v>0.10034191612588096</v>
      </c>
      <c r="AU220" s="2">
        <f t="shared" ref="AU220:AW220" si="1975">T220/W220</f>
        <v>2.6575550493545937E-2</v>
      </c>
      <c r="AV220" s="2">
        <f t="shared" si="1885"/>
        <v>2.0163285502226621E-2</v>
      </c>
      <c r="AW220" s="2">
        <f t="shared" si="1885"/>
        <v>2.3041788806326267E-2</v>
      </c>
    </row>
    <row r="221" spans="1:49" ht="13" x14ac:dyDescent="0.15">
      <c r="A221" s="1">
        <v>2023</v>
      </c>
      <c r="B221" s="1" t="s">
        <v>49</v>
      </c>
      <c r="C221" s="1" t="s">
        <v>50</v>
      </c>
      <c r="D221" s="1" t="s">
        <v>163</v>
      </c>
      <c r="E221" s="1">
        <v>410</v>
      </c>
      <c r="F221" s="1">
        <v>379</v>
      </c>
      <c r="G221" s="1">
        <v>789</v>
      </c>
      <c r="H221" s="1">
        <v>1464</v>
      </c>
      <c r="I221" s="1">
        <v>1826</v>
      </c>
      <c r="J221" s="1">
        <v>3290</v>
      </c>
      <c r="K221" s="1">
        <v>531</v>
      </c>
      <c r="L221" s="1">
        <v>900</v>
      </c>
      <c r="M221" s="1">
        <v>1431</v>
      </c>
      <c r="N221" s="1">
        <v>271</v>
      </c>
      <c r="O221" s="1">
        <v>371</v>
      </c>
      <c r="P221" s="1">
        <v>642</v>
      </c>
      <c r="Q221" s="1">
        <v>257</v>
      </c>
      <c r="R221" s="1">
        <v>389</v>
      </c>
      <c r="S221" s="1">
        <v>646</v>
      </c>
      <c r="T221" s="1">
        <v>73</v>
      </c>
      <c r="U221" s="1">
        <v>74</v>
      </c>
      <c r="V221" s="1">
        <v>147</v>
      </c>
      <c r="W221" s="1">
        <f t="shared" ref="W221:X221" si="1976">SUM(E221,H221,K221,N221,Q221,T221)</f>
        <v>3006</v>
      </c>
      <c r="X221" s="1">
        <f t="shared" si="1976"/>
        <v>3939</v>
      </c>
      <c r="Y221" s="1">
        <f t="shared" si="1"/>
        <v>6945</v>
      </c>
      <c r="Z221" s="1">
        <f t="shared" ref="Z221:AA221" si="1977">W221-T221</f>
        <v>2933</v>
      </c>
      <c r="AA221" s="1">
        <f t="shared" si="1977"/>
        <v>3865</v>
      </c>
      <c r="AB221" s="1">
        <f t="shared" si="3"/>
        <v>6798</v>
      </c>
      <c r="AC221" s="1">
        <f t="shared" ref="AC221:AD221" si="1978">SUM(E221,H221,K221,N221)</f>
        <v>2676</v>
      </c>
      <c r="AD221" s="1">
        <f t="shared" si="1978"/>
        <v>3476</v>
      </c>
      <c r="AE221" s="1">
        <f t="shared" si="5"/>
        <v>6152</v>
      </c>
      <c r="AF221" s="2">
        <f t="shared" ref="AF221:AH221" si="1979">AC221/Z221</f>
        <v>0.91237640640981932</v>
      </c>
      <c r="AG221" s="2">
        <f t="shared" si="1979"/>
        <v>0.89935316946959898</v>
      </c>
      <c r="AH221" s="2">
        <f t="shared" si="1979"/>
        <v>0.90497205060311858</v>
      </c>
      <c r="AI221" s="1">
        <f t="shared" ref="AI221:AJ221" si="1980">SUM(E221,H221,K221)</f>
        <v>2405</v>
      </c>
      <c r="AJ221" s="1">
        <f t="shared" si="1980"/>
        <v>3105</v>
      </c>
      <c r="AK221" s="1">
        <f t="shared" si="8"/>
        <v>5510</v>
      </c>
      <c r="AL221" s="2">
        <f t="shared" ref="AL221:AN221" si="1981">AI221/Z221</f>
        <v>0.81997954312990118</v>
      </c>
      <c r="AM221" s="2">
        <f t="shared" si="1981"/>
        <v>0.80336351875808543</v>
      </c>
      <c r="AN221" s="2">
        <f t="shared" si="1981"/>
        <v>0.81053250956163581</v>
      </c>
      <c r="AO221" s="2">
        <f t="shared" ref="AO221:AQ221" si="1982">E221/Z221</f>
        <v>0.13978861234231163</v>
      </c>
      <c r="AP221" s="2">
        <f t="shared" si="1982"/>
        <v>9.8059508408796889E-2</v>
      </c>
      <c r="AQ221" s="2">
        <f t="shared" si="1982"/>
        <v>0.11606354810238305</v>
      </c>
      <c r="AR221" s="2">
        <f t="shared" si="11"/>
        <v>0.13262870780770541</v>
      </c>
      <c r="AS221" s="2">
        <f t="shared" ref="AS221:AT221" si="1983">R221/AA221</f>
        <v>0.10064683053040104</v>
      </c>
      <c r="AT221" s="2">
        <f t="shared" si="1983"/>
        <v>9.5027949396881431E-2</v>
      </c>
      <c r="AU221" s="2">
        <f t="shared" ref="AU221:AW221" si="1984">T221/W221</f>
        <v>2.4284763805721889E-2</v>
      </c>
      <c r="AV221" s="2">
        <f t="shared" si="1885"/>
        <v>1.8786494034018785E-2</v>
      </c>
      <c r="AW221" s="2">
        <f t="shared" si="1885"/>
        <v>2.1166306695464362E-2</v>
      </c>
    </row>
    <row r="222" spans="1:49" ht="13" x14ac:dyDescent="0.15">
      <c r="A222" s="1">
        <v>2023</v>
      </c>
      <c r="B222" s="1" t="s">
        <v>49</v>
      </c>
      <c r="C222" s="1" t="s">
        <v>50</v>
      </c>
      <c r="D222" s="1" t="s">
        <v>164</v>
      </c>
      <c r="E222" s="1">
        <v>155</v>
      </c>
      <c r="F222" s="1">
        <v>113</v>
      </c>
      <c r="G222" s="1">
        <v>268</v>
      </c>
      <c r="H222" s="1">
        <v>543</v>
      </c>
      <c r="I222" s="1">
        <v>589</v>
      </c>
      <c r="J222" s="1">
        <v>1132</v>
      </c>
      <c r="K222" s="1">
        <v>139</v>
      </c>
      <c r="L222" s="1">
        <v>227</v>
      </c>
      <c r="M222" s="1">
        <v>366</v>
      </c>
      <c r="N222" s="1">
        <v>70</v>
      </c>
      <c r="O222" s="1">
        <v>81</v>
      </c>
      <c r="P222" s="1">
        <v>151</v>
      </c>
      <c r="Q222" s="1">
        <v>24</v>
      </c>
      <c r="R222" s="1">
        <v>46</v>
      </c>
      <c r="S222" s="1">
        <v>70</v>
      </c>
      <c r="T222" s="1">
        <v>14</v>
      </c>
      <c r="U222" s="1">
        <v>22</v>
      </c>
      <c r="V222" s="1">
        <v>36</v>
      </c>
      <c r="W222" s="1">
        <f t="shared" ref="W222:X222" si="1985">SUM(E222,H222,K222,N222,Q222,T222)</f>
        <v>945</v>
      </c>
      <c r="X222" s="1">
        <f t="shared" si="1985"/>
        <v>1078</v>
      </c>
      <c r="Y222" s="1">
        <f t="shared" si="1"/>
        <v>2023</v>
      </c>
      <c r="Z222" s="1">
        <f t="shared" ref="Z222:AA222" si="1986">W222-T222</f>
        <v>931</v>
      </c>
      <c r="AA222" s="1">
        <f t="shared" si="1986"/>
        <v>1056</v>
      </c>
      <c r="AB222" s="1">
        <f t="shared" si="3"/>
        <v>1987</v>
      </c>
      <c r="AC222" s="1">
        <f t="shared" ref="AC222:AD222" si="1987">SUM(E222,H222,K222,N222)</f>
        <v>907</v>
      </c>
      <c r="AD222" s="1">
        <f t="shared" si="1987"/>
        <v>1010</v>
      </c>
      <c r="AE222" s="1">
        <f t="shared" si="5"/>
        <v>1917</v>
      </c>
      <c r="AF222" s="2">
        <f t="shared" ref="AF222:AH222" si="1988">AC222/Z222</f>
        <v>0.97422126745435011</v>
      </c>
      <c r="AG222" s="2">
        <f t="shared" si="1988"/>
        <v>0.95643939393939392</v>
      </c>
      <c r="AH222" s="2">
        <f t="shared" si="1988"/>
        <v>0.96477101157523903</v>
      </c>
      <c r="AI222" s="1">
        <f t="shared" ref="AI222:AJ222" si="1989">SUM(E222,H222,K222)</f>
        <v>837</v>
      </c>
      <c r="AJ222" s="1">
        <f t="shared" si="1989"/>
        <v>929</v>
      </c>
      <c r="AK222" s="1">
        <f t="shared" si="8"/>
        <v>1766</v>
      </c>
      <c r="AL222" s="2">
        <f t="shared" ref="AL222:AN222" si="1990">AI222/Z222</f>
        <v>0.89903329752953809</v>
      </c>
      <c r="AM222" s="2">
        <f t="shared" si="1990"/>
        <v>0.87973484848484851</v>
      </c>
      <c r="AN222" s="2">
        <f t="shared" si="1990"/>
        <v>0.8887770508303976</v>
      </c>
      <c r="AO222" s="2">
        <f t="shared" ref="AO222:AQ222" si="1991">E222/Z222</f>
        <v>0.16648764769065522</v>
      </c>
      <c r="AP222" s="2">
        <f t="shared" si="1991"/>
        <v>0.10700757575757576</v>
      </c>
      <c r="AQ222" s="2">
        <f t="shared" si="1991"/>
        <v>0.13487669854051335</v>
      </c>
      <c r="AR222" s="2">
        <f t="shared" si="11"/>
        <v>4.9409237379162189E-2</v>
      </c>
      <c r="AS222" s="2">
        <f t="shared" ref="AS222:AT222" si="1992">R222/AA222</f>
        <v>4.3560606060606064E-2</v>
      </c>
      <c r="AT222" s="2">
        <f t="shared" si="1992"/>
        <v>3.5228988424760944E-2</v>
      </c>
      <c r="AU222" s="2">
        <f t="shared" ref="AU222:AW222" si="1993">T222/W222</f>
        <v>1.4814814814814815E-2</v>
      </c>
      <c r="AV222" s="2">
        <f t="shared" si="1885"/>
        <v>2.0408163265306121E-2</v>
      </c>
      <c r="AW222" s="2">
        <f t="shared" si="1885"/>
        <v>1.7795353435491844E-2</v>
      </c>
    </row>
    <row r="223" spans="1:49" ht="13" x14ac:dyDescent="0.15">
      <c r="A223" s="1">
        <v>2023</v>
      </c>
      <c r="B223" s="1" t="s">
        <v>66</v>
      </c>
      <c r="C223" s="1" t="s">
        <v>67</v>
      </c>
      <c r="D223" s="1" t="s">
        <v>165</v>
      </c>
      <c r="E223" s="1">
        <v>6</v>
      </c>
      <c r="F223" s="1">
        <v>1</v>
      </c>
      <c r="G223" s="1">
        <v>7</v>
      </c>
      <c r="H223" s="1">
        <v>247</v>
      </c>
      <c r="I223" s="1">
        <v>70</v>
      </c>
      <c r="J223" s="1">
        <v>317</v>
      </c>
      <c r="K223" s="1">
        <v>332</v>
      </c>
      <c r="L223" s="1">
        <v>163</v>
      </c>
      <c r="M223" s="1">
        <v>495</v>
      </c>
      <c r="N223" s="1">
        <v>182</v>
      </c>
      <c r="O223" s="1">
        <v>99</v>
      </c>
      <c r="P223" s="1">
        <v>281</v>
      </c>
      <c r="Q223" s="1">
        <v>272</v>
      </c>
      <c r="R223" s="1">
        <v>233</v>
      </c>
      <c r="S223" s="1">
        <v>505</v>
      </c>
      <c r="T223" s="1">
        <v>57</v>
      </c>
      <c r="U223" s="1">
        <v>40</v>
      </c>
      <c r="V223" s="1">
        <v>97</v>
      </c>
      <c r="W223" s="1">
        <f t="shared" ref="W223:X223" si="1994">SUM(E223,H223,K223,N223,Q223,T223)</f>
        <v>1096</v>
      </c>
      <c r="X223" s="1">
        <f t="shared" si="1994"/>
        <v>606</v>
      </c>
      <c r="Y223" s="1">
        <f t="shared" si="1"/>
        <v>1702</v>
      </c>
      <c r="Z223" s="1">
        <f t="shared" ref="Z223:AA223" si="1995">W223-T223</f>
        <v>1039</v>
      </c>
      <c r="AA223" s="1">
        <f t="shared" si="1995"/>
        <v>566</v>
      </c>
      <c r="AB223" s="1">
        <f t="shared" si="3"/>
        <v>1605</v>
      </c>
      <c r="AC223" s="1">
        <f t="shared" ref="AC223:AD223" si="1996">SUM(E223,H223,K223,N223)</f>
        <v>767</v>
      </c>
      <c r="AD223" s="1">
        <f t="shared" si="1996"/>
        <v>333</v>
      </c>
      <c r="AE223" s="1">
        <f t="shared" si="5"/>
        <v>1100</v>
      </c>
      <c r="AF223" s="2">
        <f t="shared" ref="AF223:AH223" si="1997">AC223/Z223</f>
        <v>0.73820981713185752</v>
      </c>
      <c r="AG223" s="2">
        <f t="shared" si="1997"/>
        <v>0.58833922261484095</v>
      </c>
      <c r="AH223" s="2">
        <f t="shared" si="1997"/>
        <v>0.68535825545171336</v>
      </c>
      <c r="AI223" s="1">
        <f t="shared" ref="AI223:AJ223" si="1998">SUM(E223,H223,K223)</f>
        <v>585</v>
      </c>
      <c r="AJ223" s="1">
        <f t="shared" si="1998"/>
        <v>234</v>
      </c>
      <c r="AK223" s="1">
        <f t="shared" si="8"/>
        <v>819</v>
      </c>
      <c r="AL223" s="2">
        <f t="shared" ref="AL223:AN223" si="1999">AI223/Z223</f>
        <v>0.563041385948027</v>
      </c>
      <c r="AM223" s="2">
        <f t="shared" si="1999"/>
        <v>0.41342756183745583</v>
      </c>
      <c r="AN223" s="2">
        <f t="shared" si="1999"/>
        <v>0.51028037383177571</v>
      </c>
      <c r="AO223" s="2">
        <f t="shared" ref="AO223:AQ223" si="2000">E223/Z223</f>
        <v>5.7747834456207889E-3</v>
      </c>
      <c r="AP223" s="2">
        <f t="shared" si="2000"/>
        <v>1.7667844522968198E-3</v>
      </c>
      <c r="AQ223" s="2">
        <f t="shared" si="2000"/>
        <v>4.3613707165109034E-3</v>
      </c>
      <c r="AR223" s="2">
        <f t="shared" si="11"/>
        <v>0.22425409047160733</v>
      </c>
      <c r="AS223" s="2">
        <f t="shared" ref="AS223:AT223" si="2001">R223/AA223</f>
        <v>0.41166077738515899</v>
      </c>
      <c r="AT223" s="2">
        <f t="shared" si="2001"/>
        <v>0.31464174454828658</v>
      </c>
      <c r="AU223" s="2">
        <f t="shared" ref="AU223:AW223" si="2002">T223/W223</f>
        <v>5.2007299270072992E-2</v>
      </c>
      <c r="AV223" s="2">
        <f t="shared" si="1885"/>
        <v>6.6006600660066E-2</v>
      </c>
      <c r="AW223" s="2">
        <f t="shared" si="1885"/>
        <v>5.699177438307873E-2</v>
      </c>
    </row>
    <row r="224" spans="1:49" ht="13" x14ac:dyDescent="0.15">
      <c r="A224" s="1">
        <v>2023</v>
      </c>
      <c r="B224" s="1" t="s">
        <v>49</v>
      </c>
      <c r="C224" s="1" t="s">
        <v>62</v>
      </c>
      <c r="D224" s="1" t="s">
        <v>166</v>
      </c>
      <c r="E224" s="1">
        <v>60</v>
      </c>
      <c r="F224" s="1">
        <v>36</v>
      </c>
      <c r="G224" s="1">
        <v>96</v>
      </c>
      <c r="H224" s="1">
        <v>410</v>
      </c>
      <c r="I224" s="1">
        <v>402</v>
      </c>
      <c r="J224" s="1">
        <v>812</v>
      </c>
      <c r="K224" s="1">
        <v>429</v>
      </c>
      <c r="L224" s="1">
        <v>586</v>
      </c>
      <c r="M224" s="1">
        <v>1015</v>
      </c>
      <c r="N224" s="1">
        <v>204</v>
      </c>
      <c r="O224" s="1">
        <v>232</v>
      </c>
      <c r="P224" s="1">
        <v>436</v>
      </c>
      <c r="Q224" s="1">
        <v>445</v>
      </c>
      <c r="R224" s="1">
        <v>547</v>
      </c>
      <c r="S224" s="1">
        <v>992</v>
      </c>
      <c r="T224" s="1">
        <v>16</v>
      </c>
      <c r="U224" s="1">
        <v>37</v>
      </c>
      <c r="V224" s="1">
        <v>53</v>
      </c>
      <c r="W224" s="1">
        <f t="shared" ref="W224:X224" si="2003">SUM(E224,H224,K224,N224,Q224,T224)</f>
        <v>1564</v>
      </c>
      <c r="X224" s="1">
        <f t="shared" si="2003"/>
        <v>1840</v>
      </c>
      <c r="Y224" s="1">
        <f t="shared" si="1"/>
        <v>3404</v>
      </c>
      <c r="Z224" s="1">
        <f t="shared" ref="Z224:AA224" si="2004">W224-T224</f>
        <v>1548</v>
      </c>
      <c r="AA224" s="1">
        <f t="shared" si="2004"/>
        <v>1803</v>
      </c>
      <c r="AB224" s="1">
        <f t="shared" si="3"/>
        <v>3351</v>
      </c>
      <c r="AC224" s="1">
        <f t="shared" ref="AC224:AD224" si="2005">SUM(E224,H224,K224,N224)</f>
        <v>1103</v>
      </c>
      <c r="AD224" s="1">
        <f t="shared" si="2005"/>
        <v>1256</v>
      </c>
      <c r="AE224" s="1">
        <f t="shared" si="5"/>
        <v>2359</v>
      </c>
      <c r="AF224" s="2">
        <f t="shared" ref="AF224:AH224" si="2006">AC224/Z224</f>
        <v>0.71253229974160204</v>
      </c>
      <c r="AG224" s="2">
        <f t="shared" si="2006"/>
        <v>0.69661674986134225</v>
      </c>
      <c r="AH224" s="2">
        <f t="shared" si="2006"/>
        <v>0.70396896448821245</v>
      </c>
      <c r="AI224" s="1">
        <f t="shared" ref="AI224:AJ224" si="2007">SUM(E224,H224,K224)</f>
        <v>899</v>
      </c>
      <c r="AJ224" s="1">
        <f t="shared" si="2007"/>
        <v>1024</v>
      </c>
      <c r="AK224" s="1">
        <f t="shared" si="8"/>
        <v>1923</v>
      </c>
      <c r="AL224" s="2">
        <f t="shared" ref="AL224:AN224" si="2008">AI224/Z224</f>
        <v>0.58074935400516792</v>
      </c>
      <c r="AM224" s="2">
        <f t="shared" si="2008"/>
        <v>0.56794231835829179</v>
      </c>
      <c r="AN224" s="2">
        <f t="shared" si="2008"/>
        <v>0.57385854968666072</v>
      </c>
      <c r="AO224" s="2">
        <f t="shared" ref="AO224:AQ224" si="2009">E224/Z224</f>
        <v>3.875968992248062E-2</v>
      </c>
      <c r="AP224" s="2">
        <f t="shared" si="2009"/>
        <v>1.9966722129783693E-2</v>
      </c>
      <c r="AQ224" s="2">
        <f t="shared" si="2009"/>
        <v>2.864816472694718E-2</v>
      </c>
      <c r="AR224" s="2">
        <f t="shared" si="11"/>
        <v>0.35335917312661497</v>
      </c>
      <c r="AS224" s="2">
        <f t="shared" ref="AS224:AT224" si="2010">R224/AA224</f>
        <v>0.3033832501386578</v>
      </c>
      <c r="AT224" s="2">
        <f t="shared" si="2010"/>
        <v>0.2960310355117875</v>
      </c>
      <c r="AU224" s="2">
        <f t="shared" ref="AU224:AW224" si="2011">T224/W224</f>
        <v>1.0230179028132993E-2</v>
      </c>
      <c r="AV224" s="2">
        <f t="shared" si="1885"/>
        <v>2.0108695652173911E-2</v>
      </c>
      <c r="AW224" s="2">
        <f t="shared" si="1885"/>
        <v>1.5569917743830788E-2</v>
      </c>
    </row>
    <row r="225" spans="1:49" ht="13" x14ac:dyDescent="0.15">
      <c r="A225" s="1">
        <v>2023</v>
      </c>
      <c r="B225" s="1" t="s">
        <v>49</v>
      </c>
      <c r="C225" s="1" t="s">
        <v>67</v>
      </c>
      <c r="D225" s="1" t="s">
        <v>167</v>
      </c>
      <c r="E225" s="1">
        <v>38</v>
      </c>
      <c r="F225" s="1">
        <v>4</v>
      </c>
      <c r="G225" s="1">
        <v>42</v>
      </c>
      <c r="H225" s="1">
        <v>621</v>
      </c>
      <c r="I225" s="1">
        <v>266</v>
      </c>
      <c r="J225" s="1">
        <v>887</v>
      </c>
      <c r="K225" s="1">
        <v>402</v>
      </c>
      <c r="L225" s="1">
        <v>324</v>
      </c>
      <c r="M225" s="1">
        <v>726</v>
      </c>
      <c r="N225" s="1">
        <v>132</v>
      </c>
      <c r="O225" s="1">
        <v>90</v>
      </c>
      <c r="P225" s="1">
        <v>222</v>
      </c>
      <c r="Q225" s="1">
        <v>122</v>
      </c>
      <c r="R225" s="1">
        <v>108</v>
      </c>
      <c r="S225" s="1">
        <v>230</v>
      </c>
      <c r="T225" s="1">
        <v>47</v>
      </c>
      <c r="U225" s="1">
        <v>31</v>
      </c>
      <c r="V225" s="1">
        <v>78</v>
      </c>
      <c r="W225" s="1">
        <f t="shared" ref="W225:X225" si="2012">SUM(E225,H225,K225,N225,Q225,T225)</f>
        <v>1362</v>
      </c>
      <c r="X225" s="1">
        <f t="shared" si="2012"/>
        <v>823</v>
      </c>
      <c r="Y225" s="1">
        <f t="shared" si="1"/>
        <v>2185</v>
      </c>
      <c r="Z225" s="1">
        <f t="shared" ref="Z225:AA225" si="2013">W225-T225</f>
        <v>1315</v>
      </c>
      <c r="AA225" s="1">
        <f t="shared" si="2013"/>
        <v>792</v>
      </c>
      <c r="AB225" s="1">
        <f t="shared" si="3"/>
        <v>2107</v>
      </c>
      <c r="AC225" s="1">
        <f t="shared" ref="AC225:AD225" si="2014">SUM(E225,H225,K225,N225)</f>
        <v>1193</v>
      </c>
      <c r="AD225" s="1">
        <f t="shared" si="2014"/>
        <v>684</v>
      </c>
      <c r="AE225" s="1">
        <f t="shared" si="5"/>
        <v>1877</v>
      </c>
      <c r="AF225" s="2">
        <f t="shared" ref="AF225:AH225" si="2015">AC225/Z225</f>
        <v>0.90722433460076046</v>
      </c>
      <c r="AG225" s="2">
        <f t="shared" si="2015"/>
        <v>0.86363636363636365</v>
      </c>
      <c r="AH225" s="2">
        <f t="shared" si="2015"/>
        <v>0.89084005695301371</v>
      </c>
      <c r="AI225" s="1">
        <f t="shared" ref="AI225:AJ225" si="2016">SUM(E225,H225,K225)</f>
        <v>1061</v>
      </c>
      <c r="AJ225" s="1">
        <f t="shared" si="2016"/>
        <v>594</v>
      </c>
      <c r="AK225" s="1">
        <f t="shared" si="8"/>
        <v>1655</v>
      </c>
      <c r="AL225" s="2">
        <f t="shared" ref="AL225:AN225" si="2017">AI225/Z225</f>
        <v>0.80684410646387827</v>
      </c>
      <c r="AM225" s="2">
        <f t="shared" si="2017"/>
        <v>0.75</v>
      </c>
      <c r="AN225" s="2">
        <f t="shared" si="2017"/>
        <v>0.78547698149027056</v>
      </c>
      <c r="AO225" s="2">
        <f t="shared" ref="AO225:AQ225" si="2018">E225/Z225</f>
        <v>2.8897338403041824E-2</v>
      </c>
      <c r="AP225" s="2">
        <f t="shared" si="2018"/>
        <v>5.0505050505050509E-3</v>
      </c>
      <c r="AQ225" s="2">
        <f t="shared" si="2018"/>
        <v>1.9933554817275746E-2</v>
      </c>
      <c r="AR225" s="2">
        <f t="shared" si="11"/>
        <v>8.2129277566539927E-2</v>
      </c>
      <c r="AS225" s="2">
        <f t="shared" ref="AS225:AT225" si="2019">R225/AA225</f>
        <v>0.13636363636363635</v>
      </c>
      <c r="AT225" s="2">
        <f t="shared" si="2019"/>
        <v>0.10915994304698623</v>
      </c>
      <c r="AU225" s="2">
        <f t="shared" ref="AU225:AW225" si="2020">T225/W225</f>
        <v>3.450807635829662E-2</v>
      </c>
      <c r="AV225" s="2">
        <f t="shared" si="1885"/>
        <v>3.7667071688942892E-2</v>
      </c>
      <c r="AW225" s="2">
        <f t="shared" si="1885"/>
        <v>3.5697940503432495E-2</v>
      </c>
    </row>
    <row r="226" spans="1:49" ht="13" x14ac:dyDescent="0.15">
      <c r="A226" s="1">
        <v>2023</v>
      </c>
      <c r="B226" s="1" t="s">
        <v>49</v>
      </c>
      <c r="C226" s="1" t="s">
        <v>50</v>
      </c>
      <c r="D226" s="1" t="s">
        <v>168</v>
      </c>
      <c r="E226" s="1">
        <v>1220</v>
      </c>
      <c r="F226" s="1">
        <v>1017</v>
      </c>
      <c r="G226" s="1">
        <v>2237</v>
      </c>
      <c r="H226" s="1">
        <v>2031</v>
      </c>
      <c r="I226" s="1">
        <v>2550</v>
      </c>
      <c r="J226" s="1">
        <v>4581</v>
      </c>
      <c r="K226" s="1">
        <v>522</v>
      </c>
      <c r="L226" s="1">
        <v>775</v>
      </c>
      <c r="M226" s="1">
        <v>1297</v>
      </c>
      <c r="N226" s="1">
        <v>238</v>
      </c>
      <c r="O226" s="1">
        <v>353</v>
      </c>
      <c r="P226" s="1">
        <v>591</v>
      </c>
      <c r="Q226" s="1">
        <v>231</v>
      </c>
      <c r="R226" s="1">
        <v>276</v>
      </c>
      <c r="S226" s="1">
        <v>507</v>
      </c>
      <c r="T226" s="1">
        <v>78</v>
      </c>
      <c r="U226" s="1">
        <v>64</v>
      </c>
      <c r="V226" s="1">
        <v>142</v>
      </c>
      <c r="W226" s="1">
        <f t="shared" ref="W226:X226" si="2021">SUM(E226,H226,K226,N226,Q226,T226)</f>
        <v>4320</v>
      </c>
      <c r="X226" s="1">
        <f t="shared" si="2021"/>
        <v>5035</v>
      </c>
      <c r="Y226" s="1">
        <f t="shared" si="1"/>
        <v>9355</v>
      </c>
      <c r="Z226" s="1">
        <f t="shared" ref="Z226:AA226" si="2022">W226-T226</f>
        <v>4242</v>
      </c>
      <c r="AA226" s="1">
        <f t="shared" si="2022"/>
        <v>4971</v>
      </c>
      <c r="AB226" s="1">
        <f t="shared" si="3"/>
        <v>9213</v>
      </c>
      <c r="AC226" s="1">
        <f t="shared" ref="AC226:AD226" si="2023">SUM(E226,H226,K226,N226)</f>
        <v>4011</v>
      </c>
      <c r="AD226" s="1">
        <f t="shared" si="2023"/>
        <v>4695</v>
      </c>
      <c r="AE226" s="1">
        <f t="shared" si="5"/>
        <v>8706</v>
      </c>
      <c r="AF226" s="2">
        <f t="shared" ref="AF226:AH226" si="2024">AC226/Z226</f>
        <v>0.9455445544554455</v>
      </c>
      <c r="AG226" s="2">
        <f t="shared" si="2024"/>
        <v>0.94447797223898611</v>
      </c>
      <c r="AH226" s="2">
        <f t="shared" si="2024"/>
        <v>0.94496906545099313</v>
      </c>
      <c r="AI226" s="1">
        <f t="shared" ref="AI226:AJ226" si="2025">SUM(E226,H226,K226)</f>
        <v>3773</v>
      </c>
      <c r="AJ226" s="1">
        <f t="shared" si="2025"/>
        <v>4342</v>
      </c>
      <c r="AK226" s="1">
        <f t="shared" si="8"/>
        <v>8115</v>
      </c>
      <c r="AL226" s="2">
        <f t="shared" ref="AL226:AN226" si="2026">AI226/Z226</f>
        <v>0.88943894389438949</v>
      </c>
      <c r="AM226" s="2">
        <f t="shared" si="2026"/>
        <v>0.87346610339971842</v>
      </c>
      <c r="AN226" s="2">
        <f t="shared" si="2026"/>
        <v>0.88082057961576032</v>
      </c>
      <c r="AO226" s="2">
        <f t="shared" ref="AO226:AQ226" si="2027">E226/Z226</f>
        <v>0.28760018859028758</v>
      </c>
      <c r="AP226" s="2">
        <f t="shared" si="2027"/>
        <v>0.20458660229330114</v>
      </c>
      <c r="AQ226" s="2">
        <f t="shared" si="2027"/>
        <v>0.24280907413437533</v>
      </c>
      <c r="AR226" s="2">
        <f t="shared" si="11"/>
        <v>6.5063649222065062E-2</v>
      </c>
      <c r="AS226" s="2">
        <f t="shared" ref="AS226:AT226" si="2028">R226/AA226</f>
        <v>5.5522027761013878E-2</v>
      </c>
      <c r="AT226" s="2">
        <f t="shared" si="2028"/>
        <v>5.5030934549006837E-2</v>
      </c>
      <c r="AU226" s="2">
        <f t="shared" ref="AU226:AW241" si="2029">T226/W226</f>
        <v>1.8055555555555554E-2</v>
      </c>
      <c r="AV226" s="2">
        <f t="shared" si="2029"/>
        <v>1.2711022840119166E-2</v>
      </c>
      <c r="AW226" s="2">
        <f t="shared" si="2029"/>
        <v>1.5179048637092464E-2</v>
      </c>
    </row>
    <row r="227" spans="1:49" ht="13" x14ac:dyDescent="0.15">
      <c r="A227" s="1">
        <v>2023</v>
      </c>
      <c r="B227" s="1" t="s">
        <v>49</v>
      </c>
      <c r="C227" s="1" t="s">
        <v>99</v>
      </c>
      <c r="D227" s="1" t="s">
        <v>169</v>
      </c>
      <c r="E227" s="1">
        <v>341</v>
      </c>
      <c r="F227" s="1">
        <v>191</v>
      </c>
      <c r="G227" s="1">
        <v>532</v>
      </c>
      <c r="H227" s="1">
        <v>1353</v>
      </c>
      <c r="I227" s="1">
        <v>1481</v>
      </c>
      <c r="J227" s="1">
        <v>2834</v>
      </c>
      <c r="K227" s="1">
        <v>462</v>
      </c>
      <c r="L227" s="1">
        <v>572</v>
      </c>
      <c r="M227" s="1">
        <v>1034</v>
      </c>
      <c r="N227" s="1">
        <v>140</v>
      </c>
      <c r="O227" s="1">
        <v>218</v>
      </c>
      <c r="P227" s="1">
        <v>358</v>
      </c>
      <c r="Q227" s="1">
        <v>174</v>
      </c>
      <c r="R227" s="1">
        <v>226</v>
      </c>
      <c r="S227" s="1">
        <v>400</v>
      </c>
      <c r="T227" s="1">
        <v>19</v>
      </c>
      <c r="U227" s="1">
        <v>25</v>
      </c>
      <c r="V227" s="1">
        <v>44</v>
      </c>
      <c r="W227" s="1">
        <f t="shared" ref="W227:X227" si="2030">SUM(E227,H227,K227,N227,Q227,T227)</f>
        <v>2489</v>
      </c>
      <c r="X227" s="1">
        <f t="shared" si="2030"/>
        <v>2713</v>
      </c>
      <c r="Y227" s="1">
        <f t="shared" si="1"/>
        <v>5202</v>
      </c>
      <c r="Z227" s="1">
        <f t="shared" ref="Z227:AA227" si="2031">W227-T227</f>
        <v>2470</v>
      </c>
      <c r="AA227" s="1">
        <f t="shared" si="2031"/>
        <v>2688</v>
      </c>
      <c r="AB227" s="1">
        <f t="shared" si="3"/>
        <v>5158</v>
      </c>
      <c r="AC227" s="1">
        <f t="shared" ref="AC227:AD227" si="2032">SUM(E227,H227,K227,N227)</f>
        <v>2296</v>
      </c>
      <c r="AD227" s="1">
        <f t="shared" si="2032"/>
        <v>2462</v>
      </c>
      <c r="AE227" s="1">
        <f t="shared" si="5"/>
        <v>4758</v>
      </c>
      <c r="AF227" s="2">
        <f t="shared" ref="AF227:AH227" si="2033">AC227/Z227</f>
        <v>0.92955465587044539</v>
      </c>
      <c r="AG227" s="2">
        <f t="shared" si="2033"/>
        <v>0.91592261904761907</v>
      </c>
      <c r="AH227" s="2">
        <f t="shared" si="2033"/>
        <v>0.92245056223342381</v>
      </c>
      <c r="AI227" s="1">
        <f t="shared" ref="AI227:AJ227" si="2034">SUM(E227,H227,K227)</f>
        <v>2156</v>
      </c>
      <c r="AJ227" s="1">
        <f t="shared" si="2034"/>
        <v>2244</v>
      </c>
      <c r="AK227" s="1">
        <f t="shared" si="8"/>
        <v>4400</v>
      </c>
      <c r="AL227" s="2">
        <f t="shared" ref="AL227:AN227" si="2035">AI227/Z227</f>
        <v>0.87287449392712546</v>
      </c>
      <c r="AM227" s="2">
        <f t="shared" si="2035"/>
        <v>0.8348214285714286</v>
      </c>
      <c r="AN227" s="2">
        <f t="shared" si="2035"/>
        <v>0.85304381543233809</v>
      </c>
      <c r="AO227" s="2">
        <f t="shared" ref="AO227:AQ227" si="2036">E227/Z227</f>
        <v>0.13805668016194331</v>
      </c>
      <c r="AP227" s="2">
        <f t="shared" si="2036"/>
        <v>7.1056547619047616E-2</v>
      </c>
      <c r="AQ227" s="2">
        <f t="shared" si="2036"/>
        <v>0.10314075222954634</v>
      </c>
      <c r="AR227" s="2">
        <f t="shared" si="11"/>
        <v>9.149797570850203E-2</v>
      </c>
      <c r="AS227" s="2">
        <f t="shared" ref="AS227:AT227" si="2037">R227/AA227</f>
        <v>8.4077380952380959E-2</v>
      </c>
      <c r="AT227" s="2">
        <f t="shared" si="2037"/>
        <v>7.754943776657619E-2</v>
      </c>
      <c r="AU227" s="2">
        <f t="shared" ref="AU227:AW227" si="2038">T227/W227</f>
        <v>7.6335877862595417E-3</v>
      </c>
      <c r="AV227" s="2">
        <f t="shared" si="2029"/>
        <v>9.2148912642830809E-3</v>
      </c>
      <c r="AW227" s="2">
        <f t="shared" si="2029"/>
        <v>8.4582852748942717E-3</v>
      </c>
    </row>
    <row r="228" spans="1:49" ht="13" x14ac:dyDescent="0.15">
      <c r="A228" s="1">
        <v>2023</v>
      </c>
      <c r="B228" s="1" t="s">
        <v>49</v>
      </c>
      <c r="C228" s="1" t="s">
        <v>89</v>
      </c>
      <c r="D228" s="1" t="s">
        <v>170</v>
      </c>
      <c r="E228" s="1">
        <v>275</v>
      </c>
      <c r="F228" s="1">
        <v>185</v>
      </c>
      <c r="G228" s="1">
        <v>460</v>
      </c>
      <c r="H228" s="1">
        <v>1920</v>
      </c>
      <c r="I228" s="1">
        <v>1792</v>
      </c>
      <c r="J228" s="1">
        <v>3712</v>
      </c>
      <c r="K228" s="1">
        <v>1043</v>
      </c>
      <c r="L228" s="1">
        <v>1254</v>
      </c>
      <c r="M228" s="1">
        <v>2297</v>
      </c>
      <c r="N228" s="1">
        <v>498</v>
      </c>
      <c r="O228" s="1">
        <v>650</v>
      </c>
      <c r="P228" s="1">
        <v>1148</v>
      </c>
      <c r="Q228" s="1">
        <v>757</v>
      </c>
      <c r="R228" s="1">
        <v>945</v>
      </c>
      <c r="S228" s="1">
        <v>1702</v>
      </c>
      <c r="T228" s="1">
        <v>89</v>
      </c>
      <c r="U228" s="1">
        <v>115</v>
      </c>
      <c r="V228" s="1">
        <v>204</v>
      </c>
      <c r="W228" s="1">
        <f t="shared" ref="W228:X228" si="2039">SUM(E228,H228,K228,N228,Q228,T228)</f>
        <v>4582</v>
      </c>
      <c r="X228" s="1">
        <f t="shared" si="2039"/>
        <v>4941</v>
      </c>
      <c r="Y228" s="1">
        <f t="shared" si="1"/>
        <v>9523</v>
      </c>
      <c r="Z228" s="1">
        <f t="shared" ref="Z228:AA228" si="2040">W228-T228</f>
        <v>4493</v>
      </c>
      <c r="AA228" s="1">
        <f t="shared" si="2040"/>
        <v>4826</v>
      </c>
      <c r="AB228" s="1">
        <f t="shared" si="3"/>
        <v>9319</v>
      </c>
      <c r="AC228" s="1">
        <f t="shared" ref="AC228:AD228" si="2041">SUM(E228,H228,K228,N228)</f>
        <v>3736</v>
      </c>
      <c r="AD228" s="1">
        <f t="shared" si="2041"/>
        <v>3881</v>
      </c>
      <c r="AE228" s="1">
        <f t="shared" si="5"/>
        <v>7617</v>
      </c>
      <c r="AF228" s="2">
        <f t="shared" ref="AF228:AH228" si="2042">AC228/Z228</f>
        <v>0.83151569107500556</v>
      </c>
      <c r="AG228" s="2">
        <f t="shared" si="2042"/>
        <v>0.8041856610029009</v>
      </c>
      <c r="AH228" s="2">
        <f t="shared" si="2042"/>
        <v>0.81736237793754696</v>
      </c>
      <c r="AI228" s="1">
        <f t="shared" ref="AI228:AJ228" si="2043">SUM(E228,H228,K228)</f>
        <v>3238</v>
      </c>
      <c r="AJ228" s="1">
        <f t="shared" si="2043"/>
        <v>3231</v>
      </c>
      <c r="AK228" s="1">
        <f t="shared" si="8"/>
        <v>6469</v>
      </c>
      <c r="AL228" s="2">
        <f t="shared" ref="AL228:AN228" si="2044">AI228/Z228</f>
        <v>0.72067660805697753</v>
      </c>
      <c r="AM228" s="2">
        <f t="shared" si="2044"/>
        <v>0.66949854952341481</v>
      </c>
      <c r="AN228" s="2">
        <f t="shared" si="2044"/>
        <v>0.69417319454877136</v>
      </c>
      <c r="AO228" s="2">
        <f t="shared" ref="AO228:AQ228" si="2045">E228/Z228</f>
        <v>6.1206320943690183E-2</v>
      </c>
      <c r="AP228" s="2">
        <f t="shared" si="2045"/>
        <v>3.8334024036469128E-2</v>
      </c>
      <c r="AQ228" s="2">
        <f t="shared" si="2045"/>
        <v>4.9361519476338662E-2</v>
      </c>
      <c r="AR228" s="2">
        <f t="shared" si="11"/>
        <v>0.210327175606499</v>
      </c>
      <c r="AS228" s="2">
        <f t="shared" ref="AS228:AT228" si="2046">R228/AA228</f>
        <v>0.19581433899709905</v>
      </c>
      <c r="AT228" s="2">
        <f t="shared" si="2046"/>
        <v>0.18263762206245304</v>
      </c>
      <c r="AU228" s="2">
        <f t="shared" ref="AU228:AW228" si="2047">T228/W228</f>
        <v>1.9423832387603666E-2</v>
      </c>
      <c r="AV228" s="2">
        <f t="shared" si="2029"/>
        <v>2.327464076097956E-2</v>
      </c>
      <c r="AW228" s="2">
        <f t="shared" si="2029"/>
        <v>2.1421820854772657E-2</v>
      </c>
    </row>
    <row r="229" spans="1:49" ht="13" x14ac:dyDescent="0.15">
      <c r="A229" s="1">
        <v>2023</v>
      </c>
      <c r="B229" s="1" t="s">
        <v>49</v>
      </c>
      <c r="C229" s="1" t="s">
        <v>62</v>
      </c>
      <c r="D229" s="1" t="s">
        <v>171</v>
      </c>
      <c r="E229" s="1">
        <v>559</v>
      </c>
      <c r="F229" s="1">
        <v>390</v>
      </c>
      <c r="G229" s="1">
        <v>949</v>
      </c>
      <c r="H229" s="1">
        <v>2308</v>
      </c>
      <c r="I229" s="1">
        <v>2574</v>
      </c>
      <c r="J229" s="1">
        <v>4882</v>
      </c>
      <c r="K229" s="1">
        <v>1065</v>
      </c>
      <c r="L229" s="1">
        <v>1581</v>
      </c>
      <c r="M229" s="1">
        <v>2646</v>
      </c>
      <c r="N229" s="1">
        <v>479</v>
      </c>
      <c r="O229" s="1">
        <v>744</v>
      </c>
      <c r="P229" s="1">
        <v>1223</v>
      </c>
      <c r="Q229" s="1">
        <v>609</v>
      </c>
      <c r="R229" s="1">
        <v>822</v>
      </c>
      <c r="S229" s="1">
        <v>1431</v>
      </c>
      <c r="T229" s="1">
        <v>54</v>
      </c>
      <c r="U229" s="1">
        <v>100</v>
      </c>
      <c r="V229" s="1">
        <v>154</v>
      </c>
      <c r="W229" s="1">
        <f t="shared" ref="W229:X229" si="2048">SUM(E229,H229,K229,N229,Q229,T229)</f>
        <v>5074</v>
      </c>
      <c r="X229" s="1">
        <f t="shared" si="2048"/>
        <v>6211</v>
      </c>
      <c r="Y229" s="1">
        <f t="shared" si="1"/>
        <v>11285</v>
      </c>
      <c r="Z229" s="1">
        <f t="shared" ref="Z229:AA229" si="2049">W229-T229</f>
        <v>5020</v>
      </c>
      <c r="AA229" s="1">
        <f t="shared" si="2049"/>
        <v>6111</v>
      </c>
      <c r="AB229" s="1">
        <f t="shared" si="3"/>
        <v>11131</v>
      </c>
      <c r="AC229" s="1">
        <f t="shared" ref="AC229:AD229" si="2050">SUM(E229,H229,K229,N229)</f>
        <v>4411</v>
      </c>
      <c r="AD229" s="1">
        <f t="shared" si="2050"/>
        <v>5289</v>
      </c>
      <c r="AE229" s="1">
        <f t="shared" si="5"/>
        <v>9700</v>
      </c>
      <c r="AF229" s="2">
        <f t="shared" ref="AF229:AH229" si="2051">AC229/Z229</f>
        <v>0.8786852589641434</v>
      </c>
      <c r="AG229" s="2">
        <f t="shared" si="2051"/>
        <v>0.86548846342660779</v>
      </c>
      <c r="AH229" s="2">
        <f t="shared" si="2051"/>
        <v>0.87144012218129552</v>
      </c>
      <c r="AI229" s="1">
        <f t="shared" ref="AI229:AJ229" si="2052">SUM(E229,H229,K229)</f>
        <v>3932</v>
      </c>
      <c r="AJ229" s="1">
        <f t="shared" si="2052"/>
        <v>4545</v>
      </c>
      <c r="AK229" s="1">
        <f t="shared" si="8"/>
        <v>8477</v>
      </c>
      <c r="AL229" s="2">
        <f t="shared" ref="AL229:AN229" si="2053">AI229/Z229</f>
        <v>0.78326693227091637</v>
      </c>
      <c r="AM229" s="2">
        <f t="shared" si="2053"/>
        <v>0.74374079528718706</v>
      </c>
      <c r="AN229" s="2">
        <f t="shared" si="2053"/>
        <v>0.76156679543616923</v>
      </c>
      <c r="AO229" s="2">
        <f t="shared" ref="AO229:AQ229" si="2054">E229/Z229</f>
        <v>0.11135458167330678</v>
      </c>
      <c r="AP229" s="2">
        <f t="shared" si="2054"/>
        <v>6.3819342169857629E-2</v>
      </c>
      <c r="AQ229" s="2">
        <f t="shared" si="2054"/>
        <v>8.5257389273200965E-2</v>
      </c>
      <c r="AR229" s="2">
        <f t="shared" si="11"/>
        <v>0.16374501992031873</v>
      </c>
      <c r="AS229" s="2">
        <f t="shared" ref="AS229:AT229" si="2055">R229/AA229</f>
        <v>0.13451153657339224</v>
      </c>
      <c r="AT229" s="2">
        <f t="shared" si="2055"/>
        <v>0.12855987781870451</v>
      </c>
      <c r="AU229" s="2">
        <f t="shared" ref="AU229:AW229" si="2056">T229/W229</f>
        <v>1.0642491131257391E-2</v>
      </c>
      <c r="AV229" s="2">
        <f t="shared" si="2029"/>
        <v>1.6100466913540494E-2</v>
      </c>
      <c r="AW229" s="2">
        <f t="shared" si="2029"/>
        <v>1.3646433318564466E-2</v>
      </c>
    </row>
    <row r="230" spans="1:49" ht="13" x14ac:dyDescent="0.15">
      <c r="A230" s="1">
        <v>2023</v>
      </c>
      <c r="B230" s="1" t="s">
        <v>49</v>
      </c>
      <c r="C230" s="1" t="s">
        <v>54</v>
      </c>
      <c r="D230" s="1" t="s">
        <v>172</v>
      </c>
      <c r="E230" s="1">
        <v>1544</v>
      </c>
      <c r="F230" s="1">
        <v>1286</v>
      </c>
      <c r="G230" s="1">
        <v>2830</v>
      </c>
      <c r="H230" s="1">
        <v>2190</v>
      </c>
      <c r="I230" s="1">
        <v>2951</v>
      </c>
      <c r="J230" s="1">
        <v>5141</v>
      </c>
      <c r="K230" s="1">
        <v>249</v>
      </c>
      <c r="L230" s="1">
        <v>420</v>
      </c>
      <c r="M230" s="1">
        <v>669</v>
      </c>
      <c r="N230" s="1">
        <v>73</v>
      </c>
      <c r="O230" s="1">
        <v>130</v>
      </c>
      <c r="P230" s="1">
        <v>203</v>
      </c>
      <c r="Q230" s="1">
        <v>69</v>
      </c>
      <c r="R230" s="1">
        <v>70</v>
      </c>
      <c r="S230" s="1">
        <v>139</v>
      </c>
      <c r="T230" s="1">
        <v>42</v>
      </c>
      <c r="U230" s="1">
        <v>54</v>
      </c>
      <c r="V230" s="1">
        <v>96</v>
      </c>
      <c r="W230" s="1">
        <f t="shared" ref="W230:X230" si="2057">SUM(E230,H230,K230,N230,Q230,T230)</f>
        <v>4167</v>
      </c>
      <c r="X230" s="1">
        <f t="shared" si="2057"/>
        <v>4911</v>
      </c>
      <c r="Y230" s="1">
        <f t="shared" si="1"/>
        <v>9078</v>
      </c>
      <c r="Z230" s="1">
        <f t="shared" ref="Z230:AA230" si="2058">W230-T230</f>
        <v>4125</v>
      </c>
      <c r="AA230" s="1">
        <f t="shared" si="2058"/>
        <v>4857</v>
      </c>
      <c r="AB230" s="1">
        <f t="shared" si="3"/>
        <v>8982</v>
      </c>
      <c r="AC230" s="1">
        <f t="shared" ref="AC230:AD230" si="2059">SUM(E230,H230,K230,N230)</f>
        <v>4056</v>
      </c>
      <c r="AD230" s="1">
        <f t="shared" si="2059"/>
        <v>4787</v>
      </c>
      <c r="AE230" s="1">
        <f t="shared" si="5"/>
        <v>8843</v>
      </c>
      <c r="AF230" s="2">
        <f t="shared" ref="AF230:AH230" si="2060">AC230/Z230</f>
        <v>0.9832727272727273</v>
      </c>
      <c r="AG230" s="2">
        <f t="shared" si="2060"/>
        <v>0.98558781140621787</v>
      </c>
      <c r="AH230" s="2">
        <f t="shared" si="2060"/>
        <v>0.98452460476508574</v>
      </c>
      <c r="AI230" s="1">
        <f t="shared" ref="AI230:AJ230" si="2061">SUM(E230,H230,K230)</f>
        <v>3983</v>
      </c>
      <c r="AJ230" s="1">
        <f t="shared" si="2061"/>
        <v>4657</v>
      </c>
      <c r="AK230" s="1">
        <f t="shared" si="8"/>
        <v>8640</v>
      </c>
      <c r="AL230" s="2">
        <f t="shared" ref="AL230:AN230" si="2062">AI230/Z230</f>
        <v>0.96557575757575753</v>
      </c>
      <c r="AM230" s="2">
        <f t="shared" si="2062"/>
        <v>0.95882231830347953</v>
      </c>
      <c r="AN230" s="2">
        <f t="shared" si="2062"/>
        <v>0.96192384769539074</v>
      </c>
      <c r="AO230" s="2">
        <f t="shared" ref="AO230:AQ230" si="2063">E230/Z230</f>
        <v>0.3743030303030303</v>
      </c>
      <c r="AP230" s="2">
        <f t="shared" si="2063"/>
        <v>0.26477249330862673</v>
      </c>
      <c r="AQ230" s="2">
        <f t="shared" si="2063"/>
        <v>0.31507459363170787</v>
      </c>
      <c r="AR230" s="2">
        <f t="shared" si="11"/>
        <v>1.6969696969696971E-2</v>
      </c>
      <c r="AS230" s="2">
        <f t="shared" ref="AS230:AT230" si="2064">R230/AA230</f>
        <v>1.441218859378217E-2</v>
      </c>
      <c r="AT230" s="2">
        <f t="shared" si="2064"/>
        <v>1.5475395234914273E-2</v>
      </c>
      <c r="AU230" s="2">
        <f t="shared" ref="AU230:AW230" si="2065">T230/W230</f>
        <v>1.0079193664506839E-2</v>
      </c>
      <c r="AV230" s="2">
        <f t="shared" si="2029"/>
        <v>1.0995723885155772E-2</v>
      </c>
      <c r="AW230" s="2">
        <f t="shared" si="2029"/>
        <v>1.0575016523463317E-2</v>
      </c>
    </row>
    <row r="231" spans="1:49" ht="13" x14ac:dyDescent="0.15">
      <c r="A231" s="1">
        <v>2023</v>
      </c>
      <c r="B231" s="1" t="s">
        <v>49</v>
      </c>
      <c r="C231" s="1" t="s">
        <v>54</v>
      </c>
      <c r="D231" s="1" t="s">
        <v>173</v>
      </c>
      <c r="E231" s="1">
        <v>480</v>
      </c>
      <c r="F231" s="1">
        <v>479</v>
      </c>
      <c r="G231" s="1">
        <v>959</v>
      </c>
      <c r="H231" s="1">
        <v>1114</v>
      </c>
      <c r="I231" s="1">
        <v>1406</v>
      </c>
      <c r="J231" s="1">
        <v>2520</v>
      </c>
      <c r="K231" s="1">
        <v>274</v>
      </c>
      <c r="L231" s="1">
        <v>370</v>
      </c>
      <c r="M231" s="1">
        <v>644</v>
      </c>
      <c r="N231" s="1">
        <v>97</v>
      </c>
      <c r="O231" s="1">
        <v>121</v>
      </c>
      <c r="P231" s="1">
        <v>218</v>
      </c>
      <c r="Q231" s="1">
        <v>70</v>
      </c>
      <c r="R231" s="1">
        <v>96</v>
      </c>
      <c r="S231" s="1">
        <v>166</v>
      </c>
      <c r="T231" s="1">
        <v>27</v>
      </c>
      <c r="U231" s="1">
        <v>25</v>
      </c>
      <c r="V231" s="1">
        <v>52</v>
      </c>
      <c r="W231" s="1">
        <f t="shared" ref="W231:X231" si="2066">SUM(E231,H231,K231,N231,Q231,T231)</f>
        <v>2062</v>
      </c>
      <c r="X231" s="1">
        <f t="shared" si="2066"/>
        <v>2497</v>
      </c>
      <c r="Y231" s="1">
        <f t="shared" si="1"/>
        <v>4559</v>
      </c>
      <c r="Z231" s="1">
        <f t="shared" ref="Z231:AA231" si="2067">W231-T231</f>
        <v>2035</v>
      </c>
      <c r="AA231" s="1">
        <f t="shared" si="2067"/>
        <v>2472</v>
      </c>
      <c r="AB231" s="1">
        <f t="shared" si="3"/>
        <v>4507</v>
      </c>
      <c r="AC231" s="1">
        <f t="shared" ref="AC231:AD231" si="2068">SUM(E231,H231,K231,N231)</f>
        <v>1965</v>
      </c>
      <c r="AD231" s="1">
        <f t="shared" si="2068"/>
        <v>2376</v>
      </c>
      <c r="AE231" s="1">
        <f t="shared" si="5"/>
        <v>4341</v>
      </c>
      <c r="AF231" s="2">
        <f t="shared" ref="AF231:AH231" si="2069">AC231/Z231</f>
        <v>0.96560196560196565</v>
      </c>
      <c r="AG231" s="2">
        <f t="shared" si="2069"/>
        <v>0.96116504854368934</v>
      </c>
      <c r="AH231" s="2">
        <f t="shared" si="2069"/>
        <v>0.96316840470379406</v>
      </c>
      <c r="AI231" s="1">
        <f t="shared" ref="AI231:AJ231" si="2070">SUM(E231,H231,K231)</f>
        <v>1868</v>
      </c>
      <c r="AJ231" s="1">
        <f t="shared" si="2070"/>
        <v>2255</v>
      </c>
      <c r="AK231" s="1">
        <f t="shared" si="8"/>
        <v>4123</v>
      </c>
      <c r="AL231" s="2">
        <f t="shared" ref="AL231:AN231" si="2071">AI231/Z231</f>
        <v>0.91793611793611796</v>
      </c>
      <c r="AM231" s="2">
        <f t="shared" si="2071"/>
        <v>0.91221682847896435</v>
      </c>
      <c r="AN231" s="2">
        <f t="shared" si="2071"/>
        <v>0.91479920124251168</v>
      </c>
      <c r="AO231" s="2">
        <f t="shared" ref="AO231:AQ231" si="2072">E231/Z231</f>
        <v>0.23587223587223588</v>
      </c>
      <c r="AP231" s="2">
        <f t="shared" si="2072"/>
        <v>0.19377022653721682</v>
      </c>
      <c r="AQ231" s="2">
        <f t="shared" si="2072"/>
        <v>0.21278011981362324</v>
      </c>
      <c r="AR231" s="2">
        <f t="shared" si="11"/>
        <v>4.7174447174447173E-2</v>
      </c>
      <c r="AS231" s="2">
        <f t="shared" ref="AS231:AT231" si="2073">R231/AA231</f>
        <v>3.8834951456310676E-2</v>
      </c>
      <c r="AT231" s="2">
        <f t="shared" si="2073"/>
        <v>3.6831595296205902E-2</v>
      </c>
      <c r="AU231" s="2">
        <f t="shared" ref="AU231:AW231" si="2074">T231/W231</f>
        <v>1.3094083414161009E-2</v>
      </c>
      <c r="AV231" s="2">
        <f t="shared" si="2029"/>
        <v>1.0012014417300761E-2</v>
      </c>
      <c r="AW231" s="2">
        <f t="shared" si="2029"/>
        <v>1.1406010089932002E-2</v>
      </c>
    </row>
    <row r="232" spans="1:49" ht="13" x14ac:dyDescent="0.15">
      <c r="A232" s="1">
        <v>2023</v>
      </c>
      <c r="B232" s="1" t="s">
        <v>49</v>
      </c>
      <c r="C232" s="1" t="s">
        <v>93</v>
      </c>
      <c r="D232" s="1" t="s">
        <v>174</v>
      </c>
      <c r="E232" s="1">
        <v>553</v>
      </c>
      <c r="F232" s="1">
        <v>457</v>
      </c>
      <c r="G232" s="1">
        <v>1010</v>
      </c>
      <c r="H232" s="1">
        <v>2187</v>
      </c>
      <c r="I232" s="1">
        <v>2624</v>
      </c>
      <c r="J232" s="1">
        <v>4811</v>
      </c>
      <c r="K232" s="1">
        <v>727</v>
      </c>
      <c r="L232" s="1">
        <v>987</v>
      </c>
      <c r="M232" s="1">
        <v>1714</v>
      </c>
      <c r="N232" s="1">
        <v>400</v>
      </c>
      <c r="O232" s="1">
        <v>511</v>
      </c>
      <c r="P232" s="1">
        <v>911</v>
      </c>
      <c r="Q232" s="1">
        <v>408</v>
      </c>
      <c r="R232" s="1">
        <v>493</v>
      </c>
      <c r="S232" s="1">
        <v>901</v>
      </c>
      <c r="T232" s="1">
        <v>114</v>
      </c>
      <c r="U232" s="1">
        <v>97</v>
      </c>
      <c r="V232" s="1">
        <v>211</v>
      </c>
      <c r="W232" s="1">
        <f t="shared" ref="W232:X232" si="2075">SUM(E232,H232,K232,N232,Q232,T232)</f>
        <v>4389</v>
      </c>
      <c r="X232" s="1">
        <f t="shared" si="2075"/>
        <v>5169</v>
      </c>
      <c r="Y232" s="1">
        <f t="shared" si="1"/>
        <v>9558</v>
      </c>
      <c r="Z232" s="1">
        <f t="shared" ref="Z232:AA232" si="2076">W232-T232</f>
        <v>4275</v>
      </c>
      <c r="AA232" s="1">
        <f t="shared" si="2076"/>
        <v>5072</v>
      </c>
      <c r="AB232" s="1">
        <f t="shared" si="3"/>
        <v>9347</v>
      </c>
      <c r="AC232" s="1">
        <f t="shared" ref="AC232:AD232" si="2077">SUM(E232,H232,K232,N232)</f>
        <v>3867</v>
      </c>
      <c r="AD232" s="1">
        <f t="shared" si="2077"/>
        <v>4579</v>
      </c>
      <c r="AE232" s="1">
        <f t="shared" si="5"/>
        <v>8446</v>
      </c>
      <c r="AF232" s="2">
        <f t="shared" ref="AF232:AH232" si="2078">AC232/Z232</f>
        <v>0.9045614035087719</v>
      </c>
      <c r="AG232" s="2">
        <f t="shared" si="2078"/>
        <v>0.90279968454258674</v>
      </c>
      <c r="AH232" s="2">
        <f t="shared" si="2078"/>
        <v>0.903605434898898</v>
      </c>
      <c r="AI232" s="1">
        <f t="shared" ref="AI232:AJ232" si="2079">SUM(E232,H232,K232)</f>
        <v>3467</v>
      </c>
      <c r="AJ232" s="1">
        <f t="shared" si="2079"/>
        <v>4068</v>
      </c>
      <c r="AK232" s="1">
        <f t="shared" si="8"/>
        <v>7535</v>
      </c>
      <c r="AL232" s="2">
        <f t="shared" ref="AL232:AN232" si="2080">AI232/Z232</f>
        <v>0.8109941520467836</v>
      </c>
      <c r="AM232" s="2">
        <f t="shared" si="2080"/>
        <v>0.80205047318611988</v>
      </c>
      <c r="AN232" s="2">
        <f t="shared" si="2080"/>
        <v>0.80614100780999254</v>
      </c>
      <c r="AO232" s="2">
        <f t="shared" ref="AO232:AQ232" si="2081">E232/Z232</f>
        <v>0.12935672514619884</v>
      </c>
      <c r="AP232" s="2">
        <f t="shared" si="2081"/>
        <v>9.0102523659305989E-2</v>
      </c>
      <c r="AQ232" s="2">
        <f t="shared" si="2081"/>
        <v>0.10805606076816091</v>
      </c>
      <c r="AR232" s="2">
        <f t="shared" si="11"/>
        <v>0.11532163742690059</v>
      </c>
      <c r="AS232" s="2">
        <f t="shared" ref="AS232:AT232" si="2082">R232/AA232</f>
        <v>9.7200315457413256E-2</v>
      </c>
      <c r="AT232" s="2">
        <f t="shared" si="2082"/>
        <v>9.6394565101101962E-2</v>
      </c>
      <c r="AU232" s="2">
        <f t="shared" ref="AU232:AW232" si="2083">T232/W232</f>
        <v>2.5974025974025976E-2</v>
      </c>
      <c r="AV232" s="2">
        <f t="shared" si="2029"/>
        <v>1.8765718707680401E-2</v>
      </c>
      <c r="AW232" s="2">
        <f t="shared" si="2029"/>
        <v>2.207574806444863E-2</v>
      </c>
    </row>
    <row r="233" spans="1:49" ht="13" x14ac:dyDescent="0.15">
      <c r="A233" s="1">
        <v>2022</v>
      </c>
      <c r="B233" s="1" t="s">
        <v>74</v>
      </c>
      <c r="C233" s="1" t="s">
        <v>75</v>
      </c>
      <c r="D233" s="1" t="s">
        <v>199</v>
      </c>
      <c r="E233" s="1">
        <v>76</v>
      </c>
      <c r="F233" s="1">
        <v>20</v>
      </c>
      <c r="G233" s="1">
        <v>96</v>
      </c>
      <c r="H233" s="1">
        <v>313</v>
      </c>
      <c r="I233" s="1">
        <v>184</v>
      </c>
      <c r="J233" s="1">
        <v>497</v>
      </c>
      <c r="K233" s="1">
        <v>76</v>
      </c>
      <c r="L233" s="1">
        <v>65</v>
      </c>
      <c r="M233" s="1">
        <v>141</v>
      </c>
      <c r="N233" s="1">
        <v>35</v>
      </c>
      <c r="O233" s="1">
        <v>37</v>
      </c>
      <c r="P233" s="1">
        <v>72</v>
      </c>
      <c r="Q233" s="1">
        <v>20</v>
      </c>
      <c r="R233" s="1">
        <v>32</v>
      </c>
      <c r="S233" s="1">
        <v>52</v>
      </c>
      <c r="T233" s="1">
        <v>35</v>
      </c>
      <c r="U233" s="1">
        <v>11</v>
      </c>
      <c r="V233" s="1">
        <v>46</v>
      </c>
      <c r="W233" s="1">
        <f t="shared" ref="W233:X233" si="2084">SUM(E233,H233,K233,N233,Q233,T233)</f>
        <v>555</v>
      </c>
      <c r="X233" s="1">
        <f t="shared" si="2084"/>
        <v>349</v>
      </c>
      <c r="Y233" s="1">
        <f t="shared" si="1"/>
        <v>904</v>
      </c>
      <c r="Z233" s="1">
        <f t="shared" ref="Z233:AA233" si="2085">W233-T233</f>
        <v>520</v>
      </c>
      <c r="AA233" s="1">
        <f t="shared" si="2085"/>
        <v>338</v>
      </c>
      <c r="AB233" s="1">
        <f t="shared" si="3"/>
        <v>858</v>
      </c>
      <c r="AC233" s="1">
        <f t="shared" ref="AC233:AD233" si="2086">SUM(E233,H233,K233,N233)</f>
        <v>500</v>
      </c>
      <c r="AD233" s="1">
        <f t="shared" si="2086"/>
        <v>306</v>
      </c>
      <c r="AE233" s="1">
        <f t="shared" si="5"/>
        <v>806</v>
      </c>
      <c r="AF233" s="2">
        <f t="shared" ref="AF233:AH233" si="2087">AC233/Z233</f>
        <v>0.96153846153846156</v>
      </c>
      <c r="AG233" s="2">
        <f t="shared" si="2087"/>
        <v>0.90532544378698221</v>
      </c>
      <c r="AH233" s="2">
        <f t="shared" si="2087"/>
        <v>0.93939393939393945</v>
      </c>
      <c r="AI233" s="1">
        <f t="shared" ref="AI233:AJ233" si="2088">SUM(E233,H233,K233)</f>
        <v>465</v>
      </c>
      <c r="AJ233" s="1">
        <f t="shared" si="2088"/>
        <v>269</v>
      </c>
      <c r="AK233" s="1">
        <f t="shared" si="8"/>
        <v>734</v>
      </c>
      <c r="AL233" s="2">
        <f t="shared" ref="AL233:AN233" si="2089">AI233/Z233</f>
        <v>0.89423076923076927</v>
      </c>
      <c r="AM233" s="2">
        <f t="shared" si="2089"/>
        <v>0.79585798816568043</v>
      </c>
      <c r="AN233" s="2">
        <f t="shared" si="2089"/>
        <v>0.85547785547785549</v>
      </c>
      <c r="AO233" s="2">
        <f t="shared" ref="AO233:AQ233" si="2090">E233/Z233</f>
        <v>0.14615384615384616</v>
      </c>
      <c r="AP233" s="2">
        <f t="shared" si="2090"/>
        <v>5.9171597633136092E-2</v>
      </c>
      <c r="AQ233" s="2">
        <f t="shared" si="2090"/>
        <v>0.11188811188811189</v>
      </c>
      <c r="AR233" s="2">
        <f t="shared" si="11"/>
        <v>6.1538461538461542E-2</v>
      </c>
      <c r="AS233" s="2">
        <f t="shared" ref="AS233:AT233" si="2091">R233/AA233</f>
        <v>9.4674556213017749E-2</v>
      </c>
      <c r="AT233" s="2">
        <f t="shared" si="2091"/>
        <v>6.0606060606060608E-2</v>
      </c>
      <c r="AU233" s="2">
        <f t="shared" ref="AU233:AW233" si="2092">T233/W233</f>
        <v>6.3063063063063057E-2</v>
      </c>
      <c r="AV233" s="2">
        <f t="shared" si="2029"/>
        <v>3.151862464183381E-2</v>
      </c>
      <c r="AW233" s="2">
        <f t="shared" si="2029"/>
        <v>5.0884955752212392E-2</v>
      </c>
    </row>
    <row r="234" spans="1:49" ht="13" x14ac:dyDescent="0.15">
      <c r="A234" s="1">
        <v>2023</v>
      </c>
      <c r="B234" s="1" t="s">
        <v>49</v>
      </c>
      <c r="C234" s="1" t="s">
        <v>67</v>
      </c>
      <c r="D234" s="1" t="s">
        <v>175</v>
      </c>
      <c r="E234" s="1">
        <v>27</v>
      </c>
      <c r="F234" s="1">
        <v>18</v>
      </c>
      <c r="G234" s="1">
        <v>45</v>
      </c>
      <c r="H234" s="1">
        <v>336</v>
      </c>
      <c r="I234" s="1">
        <v>237</v>
      </c>
      <c r="J234" s="1">
        <v>573</v>
      </c>
      <c r="K234" s="1">
        <v>256</v>
      </c>
      <c r="L234" s="1">
        <v>302</v>
      </c>
      <c r="M234" s="1">
        <v>558</v>
      </c>
      <c r="N234" s="1">
        <v>95</v>
      </c>
      <c r="O234" s="1">
        <v>112</v>
      </c>
      <c r="P234" s="1">
        <v>207</v>
      </c>
      <c r="Q234" s="1">
        <v>72</v>
      </c>
      <c r="R234" s="1">
        <v>120</v>
      </c>
      <c r="S234" s="1">
        <v>192</v>
      </c>
      <c r="T234" s="1">
        <v>2</v>
      </c>
      <c r="U234" s="1">
        <v>2</v>
      </c>
      <c r="V234" s="1">
        <v>4</v>
      </c>
      <c r="W234" s="1">
        <f t="shared" ref="W234:X234" si="2093">SUM(E234,H234,K234,N234,Q234,T234)</f>
        <v>788</v>
      </c>
      <c r="X234" s="1">
        <f t="shared" si="2093"/>
        <v>791</v>
      </c>
      <c r="Y234" s="1">
        <f t="shared" si="1"/>
        <v>1579</v>
      </c>
      <c r="Z234" s="1">
        <f t="shared" ref="Z234:AA234" si="2094">W234-T234</f>
        <v>786</v>
      </c>
      <c r="AA234" s="1">
        <f t="shared" si="2094"/>
        <v>789</v>
      </c>
      <c r="AB234" s="1">
        <f t="shared" si="3"/>
        <v>1575</v>
      </c>
      <c r="AC234" s="1">
        <f t="shared" ref="AC234:AD234" si="2095">SUM(E234,H234,K234,N234)</f>
        <v>714</v>
      </c>
      <c r="AD234" s="1">
        <f t="shared" si="2095"/>
        <v>669</v>
      </c>
      <c r="AE234" s="1">
        <f t="shared" si="5"/>
        <v>1383</v>
      </c>
      <c r="AF234" s="2">
        <f t="shared" ref="AF234:AH234" si="2096">AC234/Z234</f>
        <v>0.90839694656488545</v>
      </c>
      <c r="AG234" s="2">
        <f t="shared" si="2096"/>
        <v>0.84790874524714832</v>
      </c>
      <c r="AH234" s="2">
        <f t="shared" si="2096"/>
        <v>0.87809523809523804</v>
      </c>
      <c r="AI234" s="1">
        <f t="shared" ref="AI234:AJ234" si="2097">SUM(E234,H234,K234)</f>
        <v>619</v>
      </c>
      <c r="AJ234" s="1">
        <f t="shared" si="2097"/>
        <v>557</v>
      </c>
      <c r="AK234" s="1">
        <f t="shared" si="8"/>
        <v>1176</v>
      </c>
      <c r="AL234" s="2">
        <f t="shared" ref="AL234:AN234" si="2098">AI234/Z234</f>
        <v>0.78753180661577604</v>
      </c>
      <c r="AM234" s="2">
        <f t="shared" si="2098"/>
        <v>0.70595690747782003</v>
      </c>
      <c r="AN234" s="2">
        <f t="shared" si="2098"/>
        <v>0.7466666666666667</v>
      </c>
      <c r="AO234" s="2">
        <f t="shared" ref="AO234:AQ234" si="2099">E234/Z234</f>
        <v>3.4351145038167941E-2</v>
      </c>
      <c r="AP234" s="2">
        <f t="shared" si="2099"/>
        <v>2.2813688212927757E-2</v>
      </c>
      <c r="AQ234" s="2">
        <f t="shared" si="2099"/>
        <v>2.8571428571428571E-2</v>
      </c>
      <c r="AR234" s="2">
        <f t="shared" si="11"/>
        <v>0.15267175572519084</v>
      </c>
      <c r="AS234" s="2">
        <f t="shared" ref="AS234:AT234" si="2100">R234/AA234</f>
        <v>0.15209125475285171</v>
      </c>
      <c r="AT234" s="2">
        <f t="shared" si="2100"/>
        <v>0.1219047619047619</v>
      </c>
      <c r="AU234" s="2">
        <f t="shared" ref="AU234:AW234" si="2101">T234/W234</f>
        <v>2.5380710659898475E-3</v>
      </c>
      <c r="AV234" s="2">
        <f t="shared" si="2029"/>
        <v>2.5284450063211127E-3</v>
      </c>
      <c r="AW234" s="2">
        <f t="shared" si="2029"/>
        <v>2.5332488917036099E-3</v>
      </c>
    </row>
    <row r="235" spans="1:49" ht="13" x14ac:dyDescent="0.15">
      <c r="A235" s="1">
        <v>2023</v>
      </c>
      <c r="B235" s="1" t="s">
        <v>49</v>
      </c>
      <c r="C235" s="1" t="s">
        <v>50</v>
      </c>
      <c r="D235" s="1" t="s">
        <v>176</v>
      </c>
      <c r="E235" s="1">
        <v>547</v>
      </c>
      <c r="F235" s="1">
        <v>477</v>
      </c>
      <c r="G235" s="1">
        <v>1024</v>
      </c>
      <c r="H235" s="1">
        <v>2247</v>
      </c>
      <c r="I235" s="1">
        <v>2743</v>
      </c>
      <c r="J235" s="1">
        <v>4990</v>
      </c>
      <c r="K235" s="1">
        <v>710</v>
      </c>
      <c r="L235" s="1">
        <v>1024</v>
      </c>
      <c r="M235" s="1">
        <v>1734</v>
      </c>
      <c r="N235" s="1">
        <v>290</v>
      </c>
      <c r="O235" s="1">
        <v>379</v>
      </c>
      <c r="P235" s="1">
        <v>669</v>
      </c>
      <c r="Q235" s="1">
        <v>331</v>
      </c>
      <c r="R235" s="1">
        <v>424</v>
      </c>
      <c r="S235" s="1">
        <v>755</v>
      </c>
      <c r="T235" s="1">
        <v>79</v>
      </c>
      <c r="U235" s="1">
        <v>101</v>
      </c>
      <c r="V235" s="1">
        <v>180</v>
      </c>
      <c r="W235" s="1">
        <f t="shared" ref="W235:X235" si="2102">SUM(E235,H235,K235,N235,Q235,T235)</f>
        <v>4204</v>
      </c>
      <c r="X235" s="1">
        <f t="shared" si="2102"/>
        <v>5148</v>
      </c>
      <c r="Y235" s="1">
        <f t="shared" si="1"/>
        <v>9352</v>
      </c>
      <c r="Z235" s="1">
        <f t="shared" ref="Z235:AA235" si="2103">W235-T235</f>
        <v>4125</v>
      </c>
      <c r="AA235" s="1">
        <f t="shared" si="2103"/>
        <v>5047</v>
      </c>
      <c r="AB235" s="1">
        <f t="shared" si="3"/>
        <v>9172</v>
      </c>
      <c r="AC235" s="1">
        <f t="shared" ref="AC235:AD235" si="2104">SUM(E235,H235,K235,N235)</f>
        <v>3794</v>
      </c>
      <c r="AD235" s="1">
        <f t="shared" si="2104"/>
        <v>4623</v>
      </c>
      <c r="AE235" s="1">
        <f t="shared" si="5"/>
        <v>8417</v>
      </c>
      <c r="AF235" s="2">
        <f t="shared" ref="AF235:AH235" si="2105">AC235/Z235</f>
        <v>0.91975757575757577</v>
      </c>
      <c r="AG235" s="2">
        <f t="shared" si="2105"/>
        <v>0.91598969684961362</v>
      </c>
      <c r="AH235" s="2">
        <f t="shared" si="2105"/>
        <v>0.91768425643262097</v>
      </c>
      <c r="AI235" s="1">
        <f t="shared" ref="AI235:AJ235" si="2106">SUM(E235,H235,K235)</f>
        <v>3504</v>
      </c>
      <c r="AJ235" s="1">
        <f t="shared" si="2106"/>
        <v>4244</v>
      </c>
      <c r="AK235" s="1">
        <f t="shared" si="8"/>
        <v>7748</v>
      </c>
      <c r="AL235" s="2">
        <f t="shared" ref="AL235:AN235" si="2107">AI235/Z235</f>
        <v>0.84945454545454546</v>
      </c>
      <c r="AM235" s="2">
        <f t="shared" si="2107"/>
        <v>0.84089558153358435</v>
      </c>
      <c r="AN235" s="2">
        <f t="shared" si="2107"/>
        <v>0.84474487570867862</v>
      </c>
      <c r="AO235" s="2">
        <f t="shared" ref="AO235:AQ235" si="2108">E235/Z235</f>
        <v>0.13260606060606062</v>
      </c>
      <c r="AP235" s="2">
        <f t="shared" si="2108"/>
        <v>9.4511591044184662E-2</v>
      </c>
      <c r="AQ235" s="2">
        <f t="shared" si="2108"/>
        <v>0.11164413432184911</v>
      </c>
      <c r="AR235" s="2">
        <f t="shared" si="11"/>
        <v>0.10278787878787879</v>
      </c>
      <c r="AS235" s="2">
        <f t="shared" ref="AS235:AT235" si="2109">R235/AA235</f>
        <v>8.4010303150386365E-2</v>
      </c>
      <c r="AT235" s="2">
        <f t="shared" si="2109"/>
        <v>8.2315743567378974E-2</v>
      </c>
      <c r="AU235" s="2">
        <f t="shared" ref="AU235:AW235" si="2110">T235/W235</f>
        <v>1.879162702188392E-2</v>
      </c>
      <c r="AV235" s="2">
        <f t="shared" si="2029"/>
        <v>1.961926961926962E-2</v>
      </c>
      <c r="AW235" s="2">
        <f t="shared" si="2029"/>
        <v>1.9247219846022241E-2</v>
      </c>
    </row>
    <row r="236" spans="1:49" ht="13" x14ac:dyDescent="0.15">
      <c r="A236" s="1">
        <v>2023</v>
      </c>
      <c r="B236" s="1" t="s">
        <v>117</v>
      </c>
      <c r="C236" s="1" t="s">
        <v>93</v>
      </c>
      <c r="D236" s="1" t="s">
        <v>177</v>
      </c>
      <c r="E236" s="1">
        <v>340</v>
      </c>
      <c r="F236" s="1">
        <v>248</v>
      </c>
      <c r="G236" s="1">
        <v>588</v>
      </c>
      <c r="H236" s="1">
        <v>1620</v>
      </c>
      <c r="I236" s="1">
        <v>1747</v>
      </c>
      <c r="J236" s="1">
        <v>3367</v>
      </c>
      <c r="K236" s="1">
        <v>589</v>
      </c>
      <c r="L236" s="1">
        <v>920</v>
      </c>
      <c r="M236" s="1">
        <v>1509</v>
      </c>
      <c r="N236" s="1">
        <v>275</v>
      </c>
      <c r="O236" s="1">
        <v>415</v>
      </c>
      <c r="P236" s="1">
        <v>690</v>
      </c>
      <c r="Q236" s="1">
        <v>323</v>
      </c>
      <c r="R236" s="1">
        <v>487</v>
      </c>
      <c r="S236" s="1">
        <v>810</v>
      </c>
      <c r="T236" s="1">
        <v>63</v>
      </c>
      <c r="U236" s="1">
        <v>64</v>
      </c>
      <c r="V236" s="1">
        <v>127</v>
      </c>
      <c r="W236" s="1">
        <f t="shared" ref="W236:X236" si="2111">SUM(E236,H236,K236,N236,Q236,T236)</f>
        <v>3210</v>
      </c>
      <c r="X236" s="1">
        <f t="shared" si="2111"/>
        <v>3881</v>
      </c>
      <c r="Y236" s="1">
        <f t="shared" si="1"/>
        <v>7091</v>
      </c>
      <c r="Z236" s="1">
        <f t="shared" ref="Z236:AA236" si="2112">W236-T236</f>
        <v>3147</v>
      </c>
      <c r="AA236" s="1">
        <f t="shared" si="2112"/>
        <v>3817</v>
      </c>
      <c r="AB236" s="1">
        <f t="shared" si="3"/>
        <v>6964</v>
      </c>
      <c r="AC236" s="1">
        <f t="shared" ref="AC236:AD236" si="2113">SUM(E236,H236,K236,N236)</f>
        <v>2824</v>
      </c>
      <c r="AD236" s="1">
        <f t="shared" si="2113"/>
        <v>3330</v>
      </c>
      <c r="AE236" s="1">
        <f t="shared" si="5"/>
        <v>6154</v>
      </c>
      <c r="AF236" s="2">
        <f t="shared" ref="AF236:AH236" si="2114">AC236/Z236</f>
        <v>0.89736256752462662</v>
      </c>
      <c r="AG236" s="2">
        <f t="shared" si="2114"/>
        <v>0.87241288970395603</v>
      </c>
      <c r="AH236" s="2">
        <f t="shared" si="2114"/>
        <v>0.88368753589890869</v>
      </c>
      <c r="AI236" s="1">
        <f t="shared" ref="AI236:AJ236" si="2115">SUM(E236,H236,K236)</f>
        <v>2549</v>
      </c>
      <c r="AJ236" s="1">
        <f t="shared" si="2115"/>
        <v>2915</v>
      </c>
      <c r="AK236" s="1">
        <f t="shared" si="8"/>
        <v>5464</v>
      </c>
      <c r="AL236" s="2">
        <f t="shared" ref="AL236:AN236" si="2116">AI236/Z236</f>
        <v>0.80997775659358118</v>
      </c>
      <c r="AM236" s="2">
        <f t="shared" si="2116"/>
        <v>0.76368876080691639</v>
      </c>
      <c r="AN236" s="2">
        <f t="shared" si="2116"/>
        <v>0.78460654796094198</v>
      </c>
      <c r="AO236" s="2">
        <f t="shared" ref="AO236:AQ236" si="2117">E236/Z236</f>
        <v>0.10803940260565618</v>
      </c>
      <c r="AP236" s="2">
        <f t="shared" si="2117"/>
        <v>6.4972491485459791E-2</v>
      </c>
      <c r="AQ236" s="2">
        <f t="shared" si="2117"/>
        <v>8.4434233199310746E-2</v>
      </c>
      <c r="AR236" s="2">
        <f t="shared" si="11"/>
        <v>0.15475055608516047</v>
      </c>
      <c r="AS236" s="2">
        <f t="shared" ref="AS236:AT236" si="2118">R236/AA236</f>
        <v>0.12758711029604403</v>
      </c>
      <c r="AT236" s="2">
        <f t="shared" si="2118"/>
        <v>0.11631246410109132</v>
      </c>
      <c r="AU236" s="2">
        <f t="shared" ref="AU236:AW236" si="2119">T236/W236</f>
        <v>1.9626168224299065E-2</v>
      </c>
      <c r="AV236" s="2">
        <f t="shared" si="2029"/>
        <v>1.6490595207420768E-2</v>
      </c>
      <c r="AW236" s="2">
        <f t="shared" si="2029"/>
        <v>1.7910026794528276E-2</v>
      </c>
    </row>
    <row r="237" spans="1:49" ht="13" x14ac:dyDescent="0.15">
      <c r="A237" s="1">
        <v>2023</v>
      </c>
      <c r="B237" s="1" t="s">
        <v>69</v>
      </c>
      <c r="C237" s="1" t="s">
        <v>93</v>
      </c>
      <c r="D237" s="1" t="s">
        <v>178</v>
      </c>
      <c r="E237" s="1">
        <v>2370</v>
      </c>
      <c r="F237" s="1">
        <v>2400</v>
      </c>
      <c r="G237" s="1">
        <v>4770</v>
      </c>
      <c r="H237" s="1">
        <v>4710</v>
      </c>
      <c r="I237" s="1">
        <v>5508</v>
      </c>
      <c r="J237" s="1">
        <v>10218</v>
      </c>
      <c r="K237" s="1">
        <v>1300</v>
      </c>
      <c r="L237" s="1">
        <v>1831</v>
      </c>
      <c r="M237" s="1">
        <v>3131</v>
      </c>
      <c r="N237" s="1">
        <v>630</v>
      </c>
      <c r="O237" s="1">
        <v>827</v>
      </c>
      <c r="P237" s="1">
        <v>1457</v>
      </c>
      <c r="Q237" s="1">
        <v>683</v>
      </c>
      <c r="R237" s="1">
        <v>812</v>
      </c>
      <c r="S237" s="1">
        <v>1495</v>
      </c>
      <c r="T237" s="1">
        <v>180</v>
      </c>
      <c r="U237" s="1">
        <v>210</v>
      </c>
      <c r="V237" s="1">
        <v>390</v>
      </c>
      <c r="W237" s="1">
        <f t="shared" ref="W237:X237" si="2120">SUM(E237,H237,K237,N237,Q237,T237)</f>
        <v>9873</v>
      </c>
      <c r="X237" s="1">
        <f t="shared" si="2120"/>
        <v>11588</v>
      </c>
      <c r="Y237" s="1">
        <f t="shared" si="1"/>
        <v>21461</v>
      </c>
      <c r="Z237" s="1">
        <f t="shared" ref="Z237:AA237" si="2121">W237-T237</f>
        <v>9693</v>
      </c>
      <c r="AA237" s="1">
        <f t="shared" si="2121"/>
        <v>11378</v>
      </c>
      <c r="AB237" s="1">
        <f t="shared" si="3"/>
        <v>21071</v>
      </c>
      <c r="AC237" s="1">
        <f t="shared" ref="AC237:AD237" si="2122">SUM(E237,H237,K237,N237)</f>
        <v>9010</v>
      </c>
      <c r="AD237" s="1">
        <f t="shared" si="2122"/>
        <v>10566</v>
      </c>
      <c r="AE237" s="1">
        <f t="shared" si="5"/>
        <v>19576</v>
      </c>
      <c r="AF237" s="2">
        <f t="shared" ref="AF237:AH237" si="2123">AC237/Z237</f>
        <v>0.92953677911895183</v>
      </c>
      <c r="AG237" s="2">
        <f t="shared" si="2123"/>
        <v>0.92863420636315697</v>
      </c>
      <c r="AH237" s="2">
        <f t="shared" si="2123"/>
        <v>0.92904940439466566</v>
      </c>
      <c r="AI237" s="1">
        <f t="shared" ref="AI237:AJ237" si="2124">SUM(E237,H237,K237)</f>
        <v>8380</v>
      </c>
      <c r="AJ237" s="1">
        <f t="shared" si="2124"/>
        <v>9739</v>
      </c>
      <c r="AK237" s="1">
        <f t="shared" si="8"/>
        <v>18119</v>
      </c>
      <c r="AL237" s="2">
        <f t="shared" ref="AL237:AN237" si="2125">AI237/Z237</f>
        <v>0.86454142164448566</v>
      </c>
      <c r="AM237" s="2">
        <f t="shared" si="2125"/>
        <v>0.85595007910001752</v>
      </c>
      <c r="AN237" s="2">
        <f t="shared" si="2125"/>
        <v>0.859902235299701</v>
      </c>
      <c r="AO237" s="2">
        <f t="shared" ref="AO237:AQ237" si="2126">E237/Z237</f>
        <v>0.24450634478489633</v>
      </c>
      <c r="AP237" s="2">
        <f t="shared" si="2126"/>
        <v>0.21093338020741784</v>
      </c>
      <c r="AQ237" s="2">
        <f t="shared" si="2126"/>
        <v>0.2263774856437758</v>
      </c>
      <c r="AR237" s="2">
        <f t="shared" si="11"/>
        <v>8.3771794078200762E-2</v>
      </c>
      <c r="AS237" s="2">
        <f t="shared" ref="AS237:AT237" si="2127">R237/AA237</f>
        <v>7.1365793636843033E-2</v>
      </c>
      <c r="AT237" s="2">
        <f t="shared" si="2127"/>
        <v>7.0950595605334343E-2</v>
      </c>
      <c r="AU237" s="2">
        <f t="shared" ref="AU237:AW237" si="2128">T237/W237</f>
        <v>1.8231540565177756E-2</v>
      </c>
      <c r="AV237" s="2">
        <f t="shared" si="2029"/>
        <v>1.812219537452537E-2</v>
      </c>
      <c r="AW237" s="2">
        <f t="shared" si="2029"/>
        <v>1.81724989515866E-2</v>
      </c>
    </row>
    <row r="238" spans="1:49" ht="13" x14ac:dyDescent="0.15">
      <c r="A238" s="1">
        <v>2024</v>
      </c>
      <c r="B238" s="1" t="s">
        <v>74</v>
      </c>
      <c r="C238" s="1" t="s">
        <v>75</v>
      </c>
      <c r="D238" s="1" t="s">
        <v>200</v>
      </c>
      <c r="E238" s="1">
        <v>39</v>
      </c>
      <c r="F238" s="1">
        <v>20</v>
      </c>
      <c r="G238" s="1">
        <v>59</v>
      </c>
      <c r="H238" s="1">
        <v>379</v>
      </c>
      <c r="I238" s="1">
        <v>298</v>
      </c>
      <c r="J238" s="1">
        <v>677</v>
      </c>
      <c r="K238" s="1">
        <v>106</v>
      </c>
      <c r="L238" s="1">
        <v>113</v>
      </c>
      <c r="M238" s="1">
        <v>219</v>
      </c>
      <c r="N238" s="1">
        <v>42</v>
      </c>
      <c r="O238" s="1">
        <v>48</v>
      </c>
      <c r="P238" s="1">
        <v>90</v>
      </c>
      <c r="Q238" s="1">
        <v>24</v>
      </c>
      <c r="R238" s="1">
        <v>22</v>
      </c>
      <c r="S238" s="1">
        <v>46</v>
      </c>
      <c r="T238" s="1">
        <v>8</v>
      </c>
      <c r="U238" s="1">
        <v>4</v>
      </c>
      <c r="V238" s="1">
        <v>12</v>
      </c>
      <c r="W238" s="1">
        <f t="shared" ref="W238:X238" si="2129">SUM(E238,H238,K238,N238,Q238,T238)</f>
        <v>598</v>
      </c>
      <c r="X238" s="1">
        <f t="shared" si="2129"/>
        <v>505</v>
      </c>
      <c r="Y238" s="1">
        <f t="shared" si="1"/>
        <v>1103</v>
      </c>
      <c r="Z238" s="1">
        <f t="shared" ref="Z238:AA238" si="2130">W238-T238</f>
        <v>590</v>
      </c>
      <c r="AA238" s="1">
        <f t="shared" si="2130"/>
        <v>501</v>
      </c>
      <c r="AB238" s="1">
        <f t="shared" si="3"/>
        <v>1091</v>
      </c>
      <c r="AC238" s="1">
        <f t="shared" ref="AC238:AD238" si="2131">SUM(E238,H238,K238,N238)</f>
        <v>566</v>
      </c>
      <c r="AD238" s="1">
        <f t="shared" si="2131"/>
        <v>479</v>
      </c>
      <c r="AE238" s="1">
        <f t="shared" si="5"/>
        <v>1045</v>
      </c>
      <c r="AF238" s="2">
        <f t="shared" ref="AF238:AH238" si="2132">AC238/Z238</f>
        <v>0.95932203389830506</v>
      </c>
      <c r="AG238" s="2">
        <f t="shared" si="2132"/>
        <v>0.95608782435129736</v>
      </c>
      <c r="AH238" s="2">
        <f t="shared" si="2132"/>
        <v>0.9578368469294225</v>
      </c>
      <c r="AI238" s="1">
        <f t="shared" ref="AI238:AJ238" si="2133">SUM(E238,H238,K238)</f>
        <v>524</v>
      </c>
      <c r="AJ238" s="1">
        <f t="shared" si="2133"/>
        <v>431</v>
      </c>
      <c r="AK238" s="1">
        <f t="shared" si="8"/>
        <v>955</v>
      </c>
      <c r="AL238" s="2">
        <f t="shared" ref="AL238:AN238" si="2134">AI238/Z238</f>
        <v>0.88813559322033897</v>
      </c>
      <c r="AM238" s="2">
        <f t="shared" si="2134"/>
        <v>0.86027944111776444</v>
      </c>
      <c r="AN238" s="2">
        <f t="shared" si="2134"/>
        <v>0.87534372135655358</v>
      </c>
      <c r="AO238" s="2">
        <f t="shared" ref="AO238:AQ238" si="2135">E238/Z238</f>
        <v>6.6101694915254236E-2</v>
      </c>
      <c r="AP238" s="2">
        <f t="shared" si="2135"/>
        <v>3.9920159680638723E-2</v>
      </c>
      <c r="AQ238" s="2">
        <f t="shared" si="2135"/>
        <v>5.4078826764436295E-2</v>
      </c>
      <c r="AR238" s="2">
        <f t="shared" si="11"/>
        <v>3.7288135593220341E-2</v>
      </c>
      <c r="AS238" s="2">
        <f t="shared" ref="AS238:AT238" si="2136">R238/AA238</f>
        <v>4.3912175648702596E-2</v>
      </c>
      <c r="AT238" s="2">
        <f t="shared" si="2136"/>
        <v>4.2163153070577448E-2</v>
      </c>
      <c r="AU238" s="2">
        <f t="shared" ref="AU238:AW238" si="2137">T238/W238</f>
        <v>1.3377926421404682E-2</v>
      </c>
      <c r="AV238" s="2">
        <f t="shared" si="2029"/>
        <v>7.9207920792079209E-3</v>
      </c>
      <c r="AW238" s="2">
        <f t="shared" si="2029"/>
        <v>1.0879419764279238E-2</v>
      </c>
    </row>
    <row r="239" spans="1:49" ht="13" x14ac:dyDescent="0.15">
      <c r="A239" s="1">
        <v>2023</v>
      </c>
      <c r="B239" s="1" t="s">
        <v>74</v>
      </c>
      <c r="C239" s="1" t="s">
        <v>75</v>
      </c>
      <c r="D239" s="1" t="s">
        <v>200</v>
      </c>
      <c r="E239" s="1">
        <v>49</v>
      </c>
      <c r="F239" s="1">
        <v>11</v>
      </c>
      <c r="G239" s="1">
        <v>60</v>
      </c>
      <c r="H239" s="1">
        <v>254</v>
      </c>
      <c r="I239" s="1">
        <v>242</v>
      </c>
      <c r="J239" s="1">
        <v>496</v>
      </c>
      <c r="K239" s="1">
        <v>108</v>
      </c>
      <c r="L239" s="1">
        <v>111</v>
      </c>
      <c r="M239" s="1">
        <v>219</v>
      </c>
      <c r="N239" s="1">
        <v>40</v>
      </c>
      <c r="O239" s="1">
        <v>46</v>
      </c>
      <c r="P239" s="1">
        <v>86</v>
      </c>
      <c r="Q239" s="1">
        <v>38</v>
      </c>
      <c r="R239" s="1">
        <v>50</v>
      </c>
      <c r="S239" s="1">
        <v>88</v>
      </c>
      <c r="T239" s="1">
        <v>14</v>
      </c>
      <c r="U239" s="1">
        <v>7</v>
      </c>
      <c r="V239" s="1">
        <v>21</v>
      </c>
      <c r="W239" s="1">
        <f t="shared" ref="W239:X239" si="2138">SUM(E239,H239,K239,N239,Q239,T239)</f>
        <v>503</v>
      </c>
      <c r="X239" s="1">
        <f t="shared" si="2138"/>
        <v>467</v>
      </c>
      <c r="Y239" s="1">
        <f t="shared" si="1"/>
        <v>970</v>
      </c>
      <c r="Z239" s="1">
        <f t="shared" ref="Z239:AA239" si="2139">W239-T239</f>
        <v>489</v>
      </c>
      <c r="AA239" s="1">
        <f t="shared" si="2139"/>
        <v>460</v>
      </c>
      <c r="AB239" s="1">
        <f t="shared" si="3"/>
        <v>949</v>
      </c>
      <c r="AC239" s="1">
        <f t="shared" ref="AC239:AD239" si="2140">SUM(E239,H239,K239,N239)</f>
        <v>451</v>
      </c>
      <c r="AD239" s="1">
        <f t="shared" si="2140"/>
        <v>410</v>
      </c>
      <c r="AE239" s="1">
        <f t="shared" si="5"/>
        <v>861</v>
      </c>
      <c r="AF239" s="2">
        <f t="shared" ref="AF239:AH239" si="2141">AC239/Z239</f>
        <v>0.92229038854805723</v>
      </c>
      <c r="AG239" s="2">
        <f t="shared" si="2141"/>
        <v>0.89130434782608692</v>
      </c>
      <c r="AH239" s="2">
        <f t="shared" si="2141"/>
        <v>0.90727081138040044</v>
      </c>
      <c r="AI239" s="1">
        <f t="shared" ref="AI239:AJ239" si="2142">SUM(E239,H239,K239)</f>
        <v>411</v>
      </c>
      <c r="AJ239" s="1">
        <f t="shared" si="2142"/>
        <v>364</v>
      </c>
      <c r="AK239" s="1">
        <f t="shared" si="8"/>
        <v>775</v>
      </c>
      <c r="AL239" s="2">
        <f t="shared" ref="AL239:AN239" si="2143">AI239/Z239</f>
        <v>0.8404907975460123</v>
      </c>
      <c r="AM239" s="2">
        <f t="shared" si="2143"/>
        <v>0.79130434782608694</v>
      </c>
      <c r="AN239" s="2">
        <f t="shared" si="2143"/>
        <v>0.81664910432033722</v>
      </c>
      <c r="AO239" s="2">
        <f t="shared" ref="AO239:AQ239" si="2144">E239/Z239</f>
        <v>0.10020449897750511</v>
      </c>
      <c r="AP239" s="2">
        <f t="shared" si="2144"/>
        <v>2.391304347826087E-2</v>
      </c>
      <c r="AQ239" s="2">
        <f t="shared" si="2144"/>
        <v>6.3224446786090627E-2</v>
      </c>
      <c r="AR239" s="2">
        <f t="shared" si="11"/>
        <v>0.10224948875255624</v>
      </c>
      <c r="AS239" s="2">
        <f t="shared" ref="AS239:AT239" si="2145">R239/AA239</f>
        <v>0.10869565217391304</v>
      </c>
      <c r="AT239" s="2">
        <f t="shared" si="2145"/>
        <v>9.2729188619599584E-2</v>
      </c>
      <c r="AU239" s="2">
        <f t="shared" ref="AU239:AW239" si="2146">T239/W239</f>
        <v>2.7833001988071572E-2</v>
      </c>
      <c r="AV239" s="2">
        <f t="shared" si="2029"/>
        <v>1.4989293361884369E-2</v>
      </c>
      <c r="AW239" s="2">
        <f t="shared" si="2029"/>
        <v>2.1649484536082474E-2</v>
      </c>
    </row>
    <row r="240" spans="1:49" ht="13" x14ac:dyDescent="0.15">
      <c r="A240" s="1">
        <v>2023</v>
      </c>
      <c r="B240" s="1" t="s">
        <v>49</v>
      </c>
      <c r="C240" s="1" t="s">
        <v>93</v>
      </c>
      <c r="D240" s="1" t="s">
        <v>180</v>
      </c>
      <c r="E240" s="1">
        <v>291</v>
      </c>
      <c r="F240" s="1">
        <v>319</v>
      </c>
      <c r="G240" s="1">
        <v>610</v>
      </c>
      <c r="H240" s="1">
        <v>1300</v>
      </c>
      <c r="I240" s="1">
        <v>1472</v>
      </c>
      <c r="J240" s="1">
        <v>2772</v>
      </c>
      <c r="K240" s="1">
        <v>317</v>
      </c>
      <c r="L240" s="1">
        <v>411</v>
      </c>
      <c r="M240" s="1">
        <v>728</v>
      </c>
      <c r="N240" s="1">
        <v>134</v>
      </c>
      <c r="O240" s="1">
        <v>190</v>
      </c>
      <c r="P240" s="1">
        <v>324</v>
      </c>
      <c r="Q240" s="1">
        <v>115</v>
      </c>
      <c r="R240" s="1">
        <v>198</v>
      </c>
      <c r="S240" s="1">
        <v>313</v>
      </c>
      <c r="T240" s="1">
        <v>62</v>
      </c>
      <c r="U240" s="1">
        <v>76</v>
      </c>
      <c r="V240" s="1">
        <v>138</v>
      </c>
      <c r="W240" s="1">
        <f t="shared" ref="W240:X240" si="2147">SUM(E240,H240,K240,N240,Q240,T240)</f>
        <v>2219</v>
      </c>
      <c r="X240" s="1">
        <f t="shared" si="2147"/>
        <v>2666</v>
      </c>
      <c r="Y240" s="1">
        <f t="shared" si="1"/>
        <v>4885</v>
      </c>
      <c r="Z240" s="1">
        <f t="shared" ref="Z240:AA240" si="2148">W240-T240</f>
        <v>2157</v>
      </c>
      <c r="AA240" s="1">
        <f t="shared" si="2148"/>
        <v>2590</v>
      </c>
      <c r="AB240" s="1">
        <f t="shared" si="3"/>
        <v>4747</v>
      </c>
      <c r="AC240" s="1">
        <f t="shared" ref="AC240:AD240" si="2149">SUM(E240,H240,K240,N240)</f>
        <v>2042</v>
      </c>
      <c r="AD240" s="1">
        <f t="shared" si="2149"/>
        <v>2392</v>
      </c>
      <c r="AE240" s="1">
        <f t="shared" si="5"/>
        <v>4434</v>
      </c>
      <c r="AF240" s="2">
        <f t="shared" ref="AF240:AH240" si="2150">AC240/Z240</f>
        <v>0.9466852109411219</v>
      </c>
      <c r="AG240" s="2">
        <f t="shared" si="2150"/>
        <v>0.92355212355212357</v>
      </c>
      <c r="AH240" s="2">
        <f t="shared" si="2150"/>
        <v>0.93406361912787028</v>
      </c>
      <c r="AI240" s="1">
        <f t="shared" ref="AI240:AJ240" si="2151">SUM(E240,H240,K240)</f>
        <v>1908</v>
      </c>
      <c r="AJ240" s="1">
        <f t="shared" si="2151"/>
        <v>2202</v>
      </c>
      <c r="AK240" s="1">
        <f t="shared" si="8"/>
        <v>4110</v>
      </c>
      <c r="AL240" s="2">
        <f t="shared" ref="AL240:AN240" si="2152">AI240/Z240</f>
        <v>0.8845618915159944</v>
      </c>
      <c r="AM240" s="2">
        <f t="shared" si="2152"/>
        <v>0.85019305019305025</v>
      </c>
      <c r="AN240" s="2">
        <f t="shared" si="2152"/>
        <v>0.86580998525384456</v>
      </c>
      <c r="AO240" s="2">
        <f t="shared" ref="AO240:AQ240" si="2153">E240/Z240</f>
        <v>0.13490959666203059</v>
      </c>
      <c r="AP240" s="2">
        <f t="shared" si="2153"/>
        <v>0.12316602316602317</v>
      </c>
      <c r="AQ240" s="2">
        <f t="shared" si="2153"/>
        <v>0.12850221192331998</v>
      </c>
      <c r="AR240" s="2">
        <f t="shared" si="11"/>
        <v>9.1794158553546598E-2</v>
      </c>
      <c r="AS240" s="2">
        <f t="shared" ref="AS240:AT240" si="2154">R240/AA240</f>
        <v>7.6447876447876442E-2</v>
      </c>
      <c r="AT240" s="2">
        <f t="shared" si="2154"/>
        <v>6.593638087212976E-2</v>
      </c>
      <c r="AU240" s="2">
        <f t="shared" ref="AU240:AW240" si="2155">T240/W240</f>
        <v>2.7940513744930149E-2</v>
      </c>
      <c r="AV240" s="2">
        <f t="shared" si="2029"/>
        <v>2.8507126781695424E-2</v>
      </c>
      <c r="AW240" s="2">
        <f t="shared" si="2029"/>
        <v>2.8249744114636644E-2</v>
      </c>
    </row>
    <row r="241" spans="1:49" ht="13" x14ac:dyDescent="0.15">
      <c r="A241" s="1">
        <v>2023</v>
      </c>
      <c r="B241" s="1" t="s">
        <v>49</v>
      </c>
      <c r="C241" s="1" t="s">
        <v>93</v>
      </c>
      <c r="D241" s="1" t="s">
        <v>181</v>
      </c>
      <c r="E241" s="1">
        <v>178</v>
      </c>
      <c r="F241" s="1">
        <v>145</v>
      </c>
      <c r="G241" s="1">
        <v>323</v>
      </c>
      <c r="H241" s="1">
        <v>753</v>
      </c>
      <c r="I241" s="1">
        <v>914</v>
      </c>
      <c r="J241" s="1">
        <v>1667</v>
      </c>
      <c r="K241" s="1">
        <v>387</v>
      </c>
      <c r="L241" s="1">
        <v>574</v>
      </c>
      <c r="M241" s="1">
        <v>961</v>
      </c>
      <c r="N241" s="1">
        <v>167</v>
      </c>
      <c r="O241" s="1">
        <v>272</v>
      </c>
      <c r="P241" s="1">
        <v>439</v>
      </c>
      <c r="Q241" s="1">
        <v>261</v>
      </c>
      <c r="R241" s="1">
        <v>440</v>
      </c>
      <c r="S241" s="1">
        <v>701</v>
      </c>
      <c r="T241" s="1">
        <v>64</v>
      </c>
      <c r="U241" s="1">
        <v>94</v>
      </c>
      <c r="V241" s="1">
        <v>158</v>
      </c>
      <c r="W241" s="1">
        <f t="shared" ref="W241:X241" si="2156">SUM(E241,H241,K241,N241,Q241,T241)</f>
        <v>1810</v>
      </c>
      <c r="X241" s="1">
        <f t="shared" si="2156"/>
        <v>2439</v>
      </c>
      <c r="Y241" s="1">
        <f t="shared" si="1"/>
        <v>4249</v>
      </c>
      <c r="Z241" s="1">
        <f t="shared" ref="Z241:AA241" si="2157">W241-T241</f>
        <v>1746</v>
      </c>
      <c r="AA241" s="1">
        <f t="shared" si="2157"/>
        <v>2345</v>
      </c>
      <c r="AB241" s="1">
        <f t="shared" si="3"/>
        <v>4091</v>
      </c>
      <c r="AC241" s="1">
        <f t="shared" ref="AC241:AD241" si="2158">SUM(E241,H241,K241,N241)</f>
        <v>1485</v>
      </c>
      <c r="AD241" s="1">
        <f t="shared" si="2158"/>
        <v>1905</v>
      </c>
      <c r="AE241" s="1">
        <f t="shared" si="5"/>
        <v>3390</v>
      </c>
      <c r="AF241" s="2">
        <f t="shared" ref="AF241:AH241" si="2159">AC241/Z241</f>
        <v>0.85051546391752575</v>
      </c>
      <c r="AG241" s="2">
        <f t="shared" si="2159"/>
        <v>0.81236673773987211</v>
      </c>
      <c r="AH241" s="2">
        <f t="shared" si="2159"/>
        <v>0.82864825226106087</v>
      </c>
      <c r="AI241" s="1">
        <f t="shared" ref="AI241:AJ241" si="2160">SUM(E241,H241,K241)</f>
        <v>1318</v>
      </c>
      <c r="AJ241" s="1">
        <f t="shared" si="2160"/>
        <v>1633</v>
      </c>
      <c r="AK241" s="1">
        <f t="shared" si="8"/>
        <v>2951</v>
      </c>
      <c r="AL241" s="2">
        <f t="shared" ref="AL241:AN241" si="2161">AI241/Z241</f>
        <v>0.75486827033218784</v>
      </c>
      <c r="AM241" s="2">
        <f t="shared" si="2161"/>
        <v>0.69637526652452031</v>
      </c>
      <c r="AN241" s="2">
        <f t="shared" si="2161"/>
        <v>0.72133952578831584</v>
      </c>
      <c r="AO241" s="2">
        <f t="shared" ref="AO241:AQ241" si="2162">E241/Z241</f>
        <v>0.10194730813287514</v>
      </c>
      <c r="AP241" s="2">
        <f t="shared" si="2162"/>
        <v>6.1833688699360338E-2</v>
      </c>
      <c r="AQ241" s="2">
        <f t="shared" si="2162"/>
        <v>7.8953801026643858E-2</v>
      </c>
      <c r="AR241" s="2">
        <f t="shared" si="11"/>
        <v>0.25200458190148911</v>
      </c>
      <c r="AS241" s="2">
        <f t="shared" ref="AS241:AT241" si="2163">R241/AA241</f>
        <v>0.18763326226012794</v>
      </c>
      <c r="AT241" s="2">
        <f t="shared" si="2163"/>
        <v>0.17135174773893913</v>
      </c>
      <c r="AU241" s="2">
        <f t="shared" ref="AU241:AW241" si="2164">T241/W241</f>
        <v>3.535911602209945E-2</v>
      </c>
      <c r="AV241" s="2">
        <f t="shared" si="2029"/>
        <v>3.8540385403854037E-2</v>
      </c>
      <c r="AW241" s="2">
        <f t="shared" si="2029"/>
        <v>3.7185220051776886E-2</v>
      </c>
    </row>
    <row r="242" spans="1:49" ht="13" x14ac:dyDescent="0.15">
      <c r="A242" s="1">
        <v>2023</v>
      </c>
      <c r="B242" s="1" t="s">
        <v>49</v>
      </c>
      <c r="C242" s="1" t="s">
        <v>89</v>
      </c>
      <c r="D242" s="1" t="s">
        <v>182</v>
      </c>
      <c r="E242" s="1">
        <v>163</v>
      </c>
      <c r="F242" s="1">
        <v>105</v>
      </c>
      <c r="G242" s="1">
        <v>268</v>
      </c>
      <c r="H242" s="1">
        <v>872</v>
      </c>
      <c r="I242" s="1">
        <v>710</v>
      </c>
      <c r="J242" s="1">
        <v>1582</v>
      </c>
      <c r="K242" s="1">
        <v>476</v>
      </c>
      <c r="L242" s="1">
        <v>445</v>
      </c>
      <c r="M242" s="1">
        <v>921</v>
      </c>
      <c r="N242" s="1">
        <v>217</v>
      </c>
      <c r="O242" s="1">
        <v>208</v>
      </c>
      <c r="P242" s="1">
        <v>425</v>
      </c>
      <c r="Q242" s="1">
        <v>268</v>
      </c>
      <c r="R242" s="1">
        <v>291</v>
      </c>
      <c r="S242" s="1">
        <v>559</v>
      </c>
      <c r="T242" s="1">
        <v>16</v>
      </c>
      <c r="U242" s="1">
        <v>16</v>
      </c>
      <c r="V242" s="1">
        <v>32</v>
      </c>
      <c r="W242" s="1">
        <f t="shared" ref="W242:X242" si="2165">SUM(E242,H242,K242,N242,Q242,T242)</f>
        <v>2012</v>
      </c>
      <c r="X242" s="1">
        <f t="shared" si="2165"/>
        <v>1775</v>
      </c>
      <c r="Y242" s="1">
        <f t="shared" si="1"/>
        <v>3787</v>
      </c>
      <c r="Z242" s="1">
        <f t="shared" ref="Z242:AA242" si="2166">W242-T242</f>
        <v>1996</v>
      </c>
      <c r="AA242" s="1">
        <f t="shared" si="2166"/>
        <v>1759</v>
      </c>
      <c r="AB242" s="1">
        <f t="shared" si="3"/>
        <v>3755</v>
      </c>
      <c r="AC242" s="1">
        <f t="shared" ref="AC242:AD242" si="2167">SUM(E242,H242,K242,N242)</f>
        <v>1728</v>
      </c>
      <c r="AD242" s="1">
        <f t="shared" si="2167"/>
        <v>1468</v>
      </c>
      <c r="AE242" s="1">
        <f t="shared" si="5"/>
        <v>3196</v>
      </c>
      <c r="AF242" s="2">
        <f t="shared" ref="AF242:AH242" si="2168">AC242/Z242</f>
        <v>0.86573146292585168</v>
      </c>
      <c r="AG242" s="2">
        <f t="shared" si="2168"/>
        <v>0.83456509380329735</v>
      </c>
      <c r="AH242" s="2">
        <f t="shared" si="2168"/>
        <v>0.85113182423435418</v>
      </c>
      <c r="AI242" s="1">
        <f t="shared" ref="AI242:AJ242" si="2169">SUM(E242,H242,K242)</f>
        <v>1511</v>
      </c>
      <c r="AJ242" s="1">
        <f t="shared" si="2169"/>
        <v>1260</v>
      </c>
      <c r="AK242" s="1">
        <f t="shared" si="8"/>
        <v>2771</v>
      </c>
      <c r="AL242" s="2">
        <f t="shared" ref="AL242:AN242" si="2170">AI242/Z242</f>
        <v>0.75701402805611218</v>
      </c>
      <c r="AM242" s="2">
        <f t="shared" si="2170"/>
        <v>0.71631608868675378</v>
      </c>
      <c r="AN242" s="2">
        <f t="shared" si="2170"/>
        <v>0.73794940079893478</v>
      </c>
      <c r="AO242" s="2">
        <f t="shared" ref="AO242:AQ242" si="2171">E242/Z242</f>
        <v>8.1663326653306612E-2</v>
      </c>
      <c r="AP242" s="2">
        <f t="shared" si="2171"/>
        <v>5.9693007390562818E-2</v>
      </c>
      <c r="AQ242" s="2">
        <f t="shared" si="2171"/>
        <v>7.1371504660452736E-2</v>
      </c>
      <c r="AR242" s="2">
        <f t="shared" si="11"/>
        <v>0.14579158316633267</v>
      </c>
      <c r="AS242" s="2">
        <f t="shared" ref="AS242:AT242" si="2172">R242/AA242</f>
        <v>0.16543490619670267</v>
      </c>
      <c r="AT242" s="2">
        <f t="shared" si="2172"/>
        <v>0.14886817576564582</v>
      </c>
      <c r="AU242" s="2">
        <f t="shared" ref="AU242:AW257" si="2173">T242/W242</f>
        <v>7.9522862823061622E-3</v>
      </c>
      <c r="AV242" s="2">
        <f t="shared" si="2173"/>
        <v>9.014084507042254E-3</v>
      </c>
      <c r="AW242" s="2">
        <f t="shared" si="2173"/>
        <v>8.449960390810668E-3</v>
      </c>
    </row>
    <row r="243" spans="1:49" ht="13" x14ac:dyDescent="0.15">
      <c r="A243" s="1">
        <v>2023</v>
      </c>
      <c r="B243" s="1" t="s">
        <v>49</v>
      </c>
      <c r="C243" s="1" t="s">
        <v>62</v>
      </c>
      <c r="D243" s="1" t="s">
        <v>183</v>
      </c>
      <c r="E243" s="1">
        <v>59</v>
      </c>
      <c r="F243" s="1">
        <v>34</v>
      </c>
      <c r="G243" s="1">
        <v>93</v>
      </c>
      <c r="H243" s="1">
        <v>621</v>
      </c>
      <c r="I243" s="1">
        <v>554</v>
      </c>
      <c r="J243" s="1">
        <v>1175</v>
      </c>
      <c r="K243" s="1">
        <v>644</v>
      </c>
      <c r="L243" s="1">
        <v>761</v>
      </c>
      <c r="M243" s="1">
        <v>1405</v>
      </c>
      <c r="N243" s="1">
        <v>275</v>
      </c>
      <c r="O243" s="1">
        <v>365</v>
      </c>
      <c r="P243" s="1">
        <v>640</v>
      </c>
      <c r="Q243" s="1">
        <v>562</v>
      </c>
      <c r="R243" s="1">
        <v>783</v>
      </c>
      <c r="S243" s="1">
        <v>1345</v>
      </c>
      <c r="T243" s="1">
        <v>48</v>
      </c>
      <c r="U243" s="1">
        <v>63</v>
      </c>
      <c r="V243" s="1">
        <v>111</v>
      </c>
      <c r="W243" s="1">
        <f t="shared" ref="W243:X243" si="2174">SUM(E243,H243,K243,N243,Q243,T243)</f>
        <v>2209</v>
      </c>
      <c r="X243" s="1">
        <f t="shared" si="2174"/>
        <v>2560</v>
      </c>
      <c r="Y243" s="1">
        <f t="shared" si="1"/>
        <v>4769</v>
      </c>
      <c r="Z243" s="1">
        <f t="shared" ref="Z243:AA243" si="2175">W243-T243</f>
        <v>2161</v>
      </c>
      <c r="AA243" s="1">
        <f t="shared" si="2175"/>
        <v>2497</v>
      </c>
      <c r="AB243" s="1">
        <f t="shared" si="3"/>
        <v>4658</v>
      </c>
      <c r="AC243" s="1">
        <f t="shared" ref="AC243:AD243" si="2176">SUM(E243,H243,K243,N243)</f>
        <v>1599</v>
      </c>
      <c r="AD243" s="1">
        <f t="shared" si="2176"/>
        <v>1714</v>
      </c>
      <c r="AE243" s="1">
        <f t="shared" si="5"/>
        <v>3313</v>
      </c>
      <c r="AF243" s="2">
        <f t="shared" ref="AF243:AH243" si="2177">AC243/Z243</f>
        <v>0.7399352151781583</v>
      </c>
      <c r="AG243" s="2">
        <f t="shared" si="2177"/>
        <v>0.68642370845014011</v>
      </c>
      <c r="AH243" s="2">
        <f t="shared" si="2177"/>
        <v>0.71124946328896521</v>
      </c>
      <c r="AI243" s="1">
        <f t="shared" ref="AI243:AJ243" si="2178">SUM(E243,H243,K243)</f>
        <v>1324</v>
      </c>
      <c r="AJ243" s="1">
        <f t="shared" si="2178"/>
        <v>1349</v>
      </c>
      <c r="AK243" s="1">
        <f t="shared" si="8"/>
        <v>2673</v>
      </c>
      <c r="AL243" s="2">
        <f t="shared" ref="AL243:AN243" si="2179">AI243/Z243</f>
        <v>0.61267931513188334</v>
      </c>
      <c r="AM243" s="2">
        <f t="shared" si="2179"/>
        <v>0.54024829795754903</v>
      </c>
      <c r="AN243" s="2">
        <f t="shared" si="2179"/>
        <v>0.57385143838557318</v>
      </c>
      <c r="AO243" s="2">
        <f t="shared" ref="AO243:AQ243" si="2180">E243/Z243</f>
        <v>2.7302174919018974E-2</v>
      </c>
      <c r="AP243" s="2">
        <f t="shared" si="2180"/>
        <v>1.3616339607529036E-2</v>
      </c>
      <c r="AQ243" s="2">
        <f t="shared" si="2180"/>
        <v>1.9965650493774151E-2</v>
      </c>
      <c r="AR243" s="2">
        <f t="shared" si="11"/>
        <v>0.36233225358630261</v>
      </c>
      <c r="AS243" s="2">
        <f t="shared" ref="AS243:AT243" si="2181">R243/AA243</f>
        <v>0.31357629154985983</v>
      </c>
      <c r="AT243" s="2">
        <f t="shared" si="2181"/>
        <v>0.28875053671103479</v>
      </c>
      <c r="AU243" s="2">
        <f t="shared" ref="AU243:AW243" si="2182">T243/W243</f>
        <v>2.1729289271163424E-2</v>
      </c>
      <c r="AV243" s="2">
        <f t="shared" si="2173"/>
        <v>2.4609374999999999E-2</v>
      </c>
      <c r="AW243" s="2">
        <f t="shared" si="2173"/>
        <v>2.3275319773537428E-2</v>
      </c>
    </row>
    <row r="244" spans="1:49" ht="13" x14ac:dyDescent="0.15">
      <c r="A244" s="1">
        <v>2023</v>
      </c>
      <c r="B244" s="1" t="s">
        <v>49</v>
      </c>
      <c r="C244" s="1" t="s">
        <v>89</v>
      </c>
      <c r="D244" s="1" t="s">
        <v>184</v>
      </c>
      <c r="E244" s="1">
        <v>117</v>
      </c>
      <c r="F244" s="1">
        <v>104</v>
      </c>
      <c r="G244" s="1">
        <v>221</v>
      </c>
      <c r="H244" s="1">
        <v>1046</v>
      </c>
      <c r="I244" s="1">
        <v>1028</v>
      </c>
      <c r="J244" s="1">
        <v>2074</v>
      </c>
      <c r="K244" s="1">
        <v>703</v>
      </c>
      <c r="L244" s="1">
        <v>851</v>
      </c>
      <c r="M244" s="1">
        <v>1554</v>
      </c>
      <c r="N244" s="1">
        <v>317</v>
      </c>
      <c r="O244" s="1">
        <v>381</v>
      </c>
      <c r="P244" s="1">
        <v>698</v>
      </c>
      <c r="Q244" s="1">
        <v>497</v>
      </c>
      <c r="R244" s="1">
        <v>584</v>
      </c>
      <c r="S244" s="1">
        <v>1081</v>
      </c>
      <c r="T244" s="1">
        <v>20</v>
      </c>
      <c r="U244" s="1">
        <v>26</v>
      </c>
      <c r="V244" s="1">
        <v>46</v>
      </c>
      <c r="W244" s="1">
        <f t="shared" ref="W244:X244" si="2183">SUM(E244,H244,K244,N244,Q244,T244)</f>
        <v>2700</v>
      </c>
      <c r="X244" s="1">
        <f t="shared" si="2183"/>
        <v>2974</v>
      </c>
      <c r="Y244" s="1">
        <f t="shared" si="1"/>
        <v>5674</v>
      </c>
      <c r="Z244" s="1">
        <f t="shared" ref="Z244:AA244" si="2184">W244-T244</f>
        <v>2680</v>
      </c>
      <c r="AA244" s="1">
        <f t="shared" si="2184"/>
        <v>2948</v>
      </c>
      <c r="AB244" s="1">
        <f t="shared" si="3"/>
        <v>5628</v>
      </c>
      <c r="AC244" s="1">
        <f t="shared" ref="AC244:AD244" si="2185">SUM(E244,H244,K244,N244)</f>
        <v>2183</v>
      </c>
      <c r="AD244" s="1">
        <f t="shared" si="2185"/>
        <v>2364</v>
      </c>
      <c r="AE244" s="1">
        <f t="shared" si="5"/>
        <v>4547</v>
      </c>
      <c r="AF244" s="2">
        <f t="shared" ref="AF244:AH244" si="2186">AC244/Z244</f>
        <v>0.81455223880597016</v>
      </c>
      <c r="AG244" s="2">
        <f t="shared" si="2186"/>
        <v>0.80189959294436908</v>
      </c>
      <c r="AH244" s="2">
        <f t="shared" si="2186"/>
        <v>0.80792466240227434</v>
      </c>
      <c r="AI244" s="1">
        <f t="shared" ref="AI244:AJ244" si="2187">SUM(E244,H244,K244)</f>
        <v>1866</v>
      </c>
      <c r="AJ244" s="1">
        <f t="shared" si="2187"/>
        <v>1983</v>
      </c>
      <c r="AK244" s="1">
        <f t="shared" si="8"/>
        <v>3849</v>
      </c>
      <c r="AL244" s="2">
        <f t="shared" ref="AL244:AN244" si="2188">AI244/Z244</f>
        <v>0.69626865671641791</v>
      </c>
      <c r="AM244" s="2">
        <f t="shared" si="2188"/>
        <v>0.67265943012211671</v>
      </c>
      <c r="AN244" s="2">
        <f t="shared" si="2188"/>
        <v>0.68390191897654584</v>
      </c>
      <c r="AO244" s="2">
        <f t="shared" ref="AO244:AQ244" si="2189">E244/Z244</f>
        <v>4.3656716417910447E-2</v>
      </c>
      <c r="AP244" s="2">
        <f t="shared" si="2189"/>
        <v>3.5278154681139755E-2</v>
      </c>
      <c r="AQ244" s="2">
        <f t="shared" si="2189"/>
        <v>3.9267945984363894E-2</v>
      </c>
      <c r="AR244" s="2">
        <f t="shared" si="11"/>
        <v>0.21791044776119403</v>
      </c>
      <c r="AS244" s="2">
        <f t="shared" ref="AS244:AT244" si="2190">R244/AA244</f>
        <v>0.19810040705563092</v>
      </c>
      <c r="AT244" s="2">
        <f t="shared" si="2190"/>
        <v>0.19207533759772566</v>
      </c>
      <c r="AU244" s="2">
        <f t="shared" ref="AU244:AW244" si="2191">T244/W244</f>
        <v>7.4074074074074077E-3</v>
      </c>
      <c r="AV244" s="2">
        <f t="shared" si="2173"/>
        <v>8.7424344317417624E-3</v>
      </c>
      <c r="AW244" s="2">
        <f t="shared" si="2173"/>
        <v>8.1071554458935491E-3</v>
      </c>
    </row>
    <row r="245" spans="1:49" ht="13" x14ac:dyDescent="0.15">
      <c r="A245" s="1">
        <v>2022</v>
      </c>
      <c r="B245" s="1" t="s">
        <v>74</v>
      </c>
      <c r="C245" s="1" t="s">
        <v>75</v>
      </c>
      <c r="D245" s="1" t="s">
        <v>200</v>
      </c>
      <c r="E245" s="1">
        <v>58</v>
      </c>
      <c r="F245" s="1">
        <v>32</v>
      </c>
      <c r="G245" s="1">
        <v>90</v>
      </c>
      <c r="H245" s="1">
        <v>303</v>
      </c>
      <c r="I245" s="1">
        <v>241</v>
      </c>
      <c r="J245" s="1">
        <v>544</v>
      </c>
      <c r="K245" s="1">
        <v>77</v>
      </c>
      <c r="L245" s="1">
        <v>82</v>
      </c>
      <c r="M245" s="1">
        <v>159</v>
      </c>
      <c r="N245" s="1">
        <v>51</v>
      </c>
      <c r="O245" s="1">
        <v>36</v>
      </c>
      <c r="P245" s="1">
        <v>87</v>
      </c>
      <c r="Q245" s="1">
        <v>24</v>
      </c>
      <c r="R245" s="1">
        <v>14</v>
      </c>
      <c r="S245" s="1">
        <v>38</v>
      </c>
      <c r="T245" s="1">
        <v>7</v>
      </c>
      <c r="U245" s="1">
        <v>3</v>
      </c>
      <c r="V245" s="1">
        <v>10</v>
      </c>
      <c r="W245" s="1">
        <f t="shared" ref="W245:X245" si="2192">SUM(E245,H245,K245,N245,Q245,T245)</f>
        <v>520</v>
      </c>
      <c r="X245" s="1">
        <f t="shared" si="2192"/>
        <v>408</v>
      </c>
      <c r="Y245" s="1">
        <f t="shared" si="1"/>
        <v>928</v>
      </c>
      <c r="Z245" s="1">
        <f t="shared" ref="Z245:AA245" si="2193">W245-T245</f>
        <v>513</v>
      </c>
      <c r="AA245" s="1">
        <f t="shared" si="2193"/>
        <v>405</v>
      </c>
      <c r="AB245" s="1">
        <f t="shared" si="3"/>
        <v>918</v>
      </c>
      <c r="AC245" s="1">
        <f t="shared" ref="AC245:AD245" si="2194">SUM(E245,H245,K245,N245)</f>
        <v>489</v>
      </c>
      <c r="AD245" s="1">
        <f t="shared" si="2194"/>
        <v>391</v>
      </c>
      <c r="AE245" s="1">
        <f t="shared" si="5"/>
        <v>880</v>
      </c>
      <c r="AF245" s="2">
        <f t="shared" ref="AF245:AH245" si="2195">AC245/Z245</f>
        <v>0.95321637426900585</v>
      </c>
      <c r="AG245" s="2">
        <f t="shared" si="2195"/>
        <v>0.96543209876543212</v>
      </c>
      <c r="AH245" s="2">
        <f t="shared" si="2195"/>
        <v>0.95860566448801743</v>
      </c>
      <c r="AI245" s="1">
        <f t="shared" ref="AI245:AJ245" si="2196">SUM(E245,H245,K245)</f>
        <v>438</v>
      </c>
      <c r="AJ245" s="1">
        <f t="shared" si="2196"/>
        <v>355</v>
      </c>
      <c r="AK245" s="1">
        <f t="shared" si="8"/>
        <v>793</v>
      </c>
      <c r="AL245" s="2">
        <f t="shared" ref="AL245:AN245" si="2197">AI245/Z245</f>
        <v>0.85380116959064323</v>
      </c>
      <c r="AM245" s="2">
        <f t="shared" si="2197"/>
        <v>0.87654320987654322</v>
      </c>
      <c r="AN245" s="2">
        <f t="shared" si="2197"/>
        <v>0.86383442265795207</v>
      </c>
      <c r="AO245" s="2">
        <f t="shared" ref="AO245:AQ245" si="2198">E245/Z245</f>
        <v>0.11306042884990253</v>
      </c>
      <c r="AP245" s="2">
        <f t="shared" si="2198"/>
        <v>7.9012345679012344E-2</v>
      </c>
      <c r="AQ245" s="2">
        <f t="shared" si="2198"/>
        <v>9.8039215686274508E-2</v>
      </c>
      <c r="AR245" s="2">
        <f t="shared" si="11"/>
        <v>2.7290448343079921E-2</v>
      </c>
      <c r="AS245" s="2">
        <f t="shared" ref="AS245:AT245" si="2199">R245/AA245</f>
        <v>3.4567901234567898E-2</v>
      </c>
      <c r="AT245" s="2">
        <f t="shared" si="2199"/>
        <v>4.1394335511982572E-2</v>
      </c>
      <c r="AU245" s="2">
        <f t="shared" ref="AU245:AW245" si="2200">T245/W245</f>
        <v>1.3461538461538462E-2</v>
      </c>
      <c r="AV245" s="2">
        <f t="shared" si="2173"/>
        <v>7.3529411764705881E-3</v>
      </c>
      <c r="AW245" s="2">
        <f t="shared" si="2173"/>
        <v>1.0775862068965518E-2</v>
      </c>
    </row>
    <row r="246" spans="1:49" ht="13" x14ac:dyDescent="0.15">
      <c r="A246" s="1">
        <v>2023</v>
      </c>
      <c r="B246" s="1" t="s">
        <v>49</v>
      </c>
      <c r="C246" s="1" t="s">
        <v>67</v>
      </c>
      <c r="D246" s="1" t="s">
        <v>185</v>
      </c>
      <c r="E246" s="1">
        <v>70</v>
      </c>
      <c r="F246" s="1">
        <v>20</v>
      </c>
      <c r="G246" s="1">
        <v>90</v>
      </c>
      <c r="H246" s="1">
        <v>911</v>
      </c>
      <c r="I246" s="1">
        <v>372</v>
      </c>
      <c r="J246" s="1">
        <v>1283</v>
      </c>
      <c r="K246" s="1">
        <v>566</v>
      </c>
      <c r="L246" s="1">
        <v>373</v>
      </c>
      <c r="M246" s="1">
        <v>939</v>
      </c>
      <c r="N246" s="1">
        <v>220</v>
      </c>
      <c r="O246" s="1">
        <v>128</v>
      </c>
      <c r="P246" s="1">
        <v>348</v>
      </c>
      <c r="Q246" s="1">
        <v>120</v>
      </c>
      <c r="R246" s="1">
        <v>143</v>
      </c>
      <c r="S246" s="1">
        <v>263</v>
      </c>
      <c r="T246" s="1">
        <v>23</v>
      </c>
      <c r="U246" s="1">
        <v>31</v>
      </c>
      <c r="V246" s="1">
        <v>54</v>
      </c>
      <c r="W246" s="1">
        <f t="shared" ref="W246:X246" si="2201">SUM(E246,H246,K246,N246,Q246,T246)</f>
        <v>1910</v>
      </c>
      <c r="X246" s="1">
        <f t="shared" si="2201"/>
        <v>1067</v>
      </c>
      <c r="Y246" s="1">
        <f t="shared" si="1"/>
        <v>2977</v>
      </c>
      <c r="Z246" s="1">
        <f t="shared" ref="Z246:AA246" si="2202">W246-T246</f>
        <v>1887</v>
      </c>
      <c r="AA246" s="1">
        <f t="shared" si="2202"/>
        <v>1036</v>
      </c>
      <c r="AB246" s="1">
        <f t="shared" si="3"/>
        <v>2923</v>
      </c>
      <c r="AC246" s="1">
        <f t="shared" ref="AC246:AD246" si="2203">SUM(E246,H246,K246,N246)</f>
        <v>1767</v>
      </c>
      <c r="AD246" s="1">
        <f t="shared" si="2203"/>
        <v>893</v>
      </c>
      <c r="AE246" s="1">
        <f t="shared" si="5"/>
        <v>2660</v>
      </c>
      <c r="AF246" s="2">
        <f t="shared" ref="AF246:AH246" si="2204">AC246/Z246</f>
        <v>0.93640699523052462</v>
      </c>
      <c r="AG246" s="2">
        <f t="shared" si="2204"/>
        <v>0.86196911196911197</v>
      </c>
      <c r="AH246" s="2">
        <f t="shared" si="2204"/>
        <v>0.91002394799863151</v>
      </c>
      <c r="AI246" s="1">
        <f t="shared" ref="AI246:AJ246" si="2205">SUM(E246,H246,K246)</f>
        <v>1547</v>
      </c>
      <c r="AJ246" s="1">
        <f t="shared" si="2205"/>
        <v>765</v>
      </c>
      <c r="AK246" s="1">
        <f t="shared" si="8"/>
        <v>2312</v>
      </c>
      <c r="AL246" s="2">
        <f t="shared" ref="AL246:AN246" si="2206">AI246/Z246</f>
        <v>0.81981981981981977</v>
      </c>
      <c r="AM246" s="2">
        <f t="shared" si="2206"/>
        <v>0.73841698841698844</v>
      </c>
      <c r="AN246" s="2">
        <f t="shared" si="2206"/>
        <v>0.7909681833732467</v>
      </c>
      <c r="AO246" s="2">
        <f t="shared" ref="AO246:AQ246" si="2207">E246/Z246</f>
        <v>3.7095919448860627E-2</v>
      </c>
      <c r="AP246" s="2">
        <f t="shared" si="2207"/>
        <v>1.9305019305019305E-2</v>
      </c>
      <c r="AQ246" s="2">
        <f t="shared" si="2207"/>
        <v>3.0790283954840916E-2</v>
      </c>
      <c r="AR246" s="2">
        <f t="shared" si="11"/>
        <v>7.5781664016958128E-2</v>
      </c>
      <c r="AS246" s="2">
        <f t="shared" ref="AS246:AT246" si="2208">R246/AA246</f>
        <v>0.13803088803088803</v>
      </c>
      <c r="AT246" s="2">
        <f t="shared" si="2208"/>
        <v>8.9976052001368462E-2</v>
      </c>
      <c r="AU246" s="2">
        <f t="shared" ref="AU246:AW246" si="2209">T246/W246</f>
        <v>1.2041884816753926E-2</v>
      </c>
      <c r="AV246" s="2">
        <f t="shared" si="2173"/>
        <v>2.9053420805998126E-2</v>
      </c>
      <c r="AW246" s="2">
        <f t="shared" si="2173"/>
        <v>1.813906617400067E-2</v>
      </c>
    </row>
    <row r="247" spans="1:49" ht="13" x14ac:dyDescent="0.15">
      <c r="A247" s="1">
        <v>2023</v>
      </c>
      <c r="B247" s="1" t="s">
        <v>49</v>
      </c>
      <c r="C247" s="1" t="s">
        <v>59</v>
      </c>
      <c r="D247" s="1" t="s">
        <v>186</v>
      </c>
      <c r="E247" s="1">
        <v>74</v>
      </c>
      <c r="F247" s="1">
        <v>44</v>
      </c>
      <c r="G247" s="1">
        <v>118</v>
      </c>
      <c r="H247" s="1">
        <v>605</v>
      </c>
      <c r="I247" s="1">
        <v>589</v>
      </c>
      <c r="J247" s="1">
        <v>1194</v>
      </c>
      <c r="K247" s="1">
        <v>465</v>
      </c>
      <c r="L247" s="1">
        <v>614</v>
      </c>
      <c r="M247" s="1">
        <v>1079</v>
      </c>
      <c r="N247" s="1">
        <v>206</v>
      </c>
      <c r="O247" s="1">
        <v>303</v>
      </c>
      <c r="P247" s="1">
        <v>509</v>
      </c>
      <c r="Q247" s="1">
        <v>271</v>
      </c>
      <c r="R247" s="1">
        <v>391</v>
      </c>
      <c r="S247" s="1">
        <v>662</v>
      </c>
      <c r="T247" s="1">
        <v>12</v>
      </c>
      <c r="U247" s="1">
        <v>14</v>
      </c>
      <c r="V247" s="1">
        <v>26</v>
      </c>
      <c r="W247" s="1">
        <f t="shared" ref="W247:X247" si="2210">SUM(E247,H247,K247,N247,Q247,T247)</f>
        <v>1633</v>
      </c>
      <c r="X247" s="1">
        <f t="shared" si="2210"/>
        <v>1955</v>
      </c>
      <c r="Y247" s="1">
        <f t="shared" si="1"/>
        <v>3588</v>
      </c>
      <c r="Z247" s="1">
        <f t="shared" ref="Z247:AA247" si="2211">W247-T247</f>
        <v>1621</v>
      </c>
      <c r="AA247" s="1">
        <f t="shared" si="2211"/>
        <v>1941</v>
      </c>
      <c r="AB247" s="1">
        <f t="shared" si="3"/>
        <v>3562</v>
      </c>
      <c r="AC247" s="1">
        <f t="shared" ref="AC247:AD247" si="2212">SUM(E247,H247,K247,N247)</f>
        <v>1350</v>
      </c>
      <c r="AD247" s="1">
        <f t="shared" si="2212"/>
        <v>1550</v>
      </c>
      <c r="AE247" s="1">
        <f t="shared" si="5"/>
        <v>2900</v>
      </c>
      <c r="AF247" s="2">
        <f t="shared" ref="AF247:AH247" si="2213">AC247/Z247</f>
        <v>0.8328192473781616</v>
      </c>
      <c r="AG247" s="2">
        <f t="shared" si="2213"/>
        <v>0.79855744461617728</v>
      </c>
      <c r="AH247" s="2">
        <f t="shared" si="2213"/>
        <v>0.81414935429533974</v>
      </c>
      <c r="AI247" s="1">
        <f t="shared" ref="AI247:AJ247" si="2214">SUM(E247,H247,K247)</f>
        <v>1144</v>
      </c>
      <c r="AJ247" s="1">
        <f t="shared" si="2214"/>
        <v>1247</v>
      </c>
      <c r="AK247" s="1">
        <f t="shared" si="8"/>
        <v>2391</v>
      </c>
      <c r="AL247" s="2">
        <f t="shared" ref="AL247:AN247" si="2215">AI247/Z247</f>
        <v>0.70573719925971623</v>
      </c>
      <c r="AM247" s="2">
        <f t="shared" si="2215"/>
        <v>0.64245234415249874</v>
      </c>
      <c r="AN247" s="2">
        <f t="shared" si="2215"/>
        <v>0.67125210555867487</v>
      </c>
      <c r="AO247" s="2">
        <f t="shared" ref="AO247:AQ247" si="2216">E247/Z247</f>
        <v>4.5650832819247381E-2</v>
      </c>
      <c r="AP247" s="2">
        <f t="shared" si="2216"/>
        <v>2.2668727460072129E-2</v>
      </c>
      <c r="AQ247" s="2">
        <f t="shared" si="2216"/>
        <v>3.3127456485120721E-2</v>
      </c>
      <c r="AR247" s="2">
        <f t="shared" si="11"/>
        <v>0.24120913016656384</v>
      </c>
      <c r="AS247" s="2">
        <f t="shared" ref="AS247:AT247" si="2217">R247/AA247</f>
        <v>0.20144255538382277</v>
      </c>
      <c r="AT247" s="2">
        <f t="shared" si="2217"/>
        <v>0.18585064570466031</v>
      </c>
      <c r="AU247" s="2">
        <f t="shared" ref="AU247:AW247" si="2218">T247/W247</f>
        <v>7.3484384568279241E-3</v>
      </c>
      <c r="AV247" s="2">
        <f t="shared" si="2173"/>
        <v>7.1611253196930949E-3</v>
      </c>
      <c r="AW247" s="2">
        <f t="shared" si="2173"/>
        <v>7.246376811594203E-3</v>
      </c>
    </row>
    <row r="248" spans="1:49" ht="13" x14ac:dyDescent="0.15">
      <c r="A248" s="1">
        <v>2023</v>
      </c>
      <c r="B248" s="1" t="s">
        <v>49</v>
      </c>
      <c r="C248" s="1" t="s">
        <v>101</v>
      </c>
      <c r="D248" s="1" t="s">
        <v>187</v>
      </c>
      <c r="E248" s="1">
        <v>71</v>
      </c>
      <c r="F248" s="1">
        <v>53</v>
      </c>
      <c r="G248" s="1">
        <v>124</v>
      </c>
      <c r="H248" s="1">
        <v>453</v>
      </c>
      <c r="I248" s="1">
        <v>462</v>
      </c>
      <c r="J248" s="1">
        <v>915</v>
      </c>
      <c r="K248" s="1">
        <v>67</v>
      </c>
      <c r="L248" s="1">
        <v>68</v>
      </c>
      <c r="M248" s="1">
        <v>135</v>
      </c>
      <c r="N248" s="1">
        <v>8</v>
      </c>
      <c r="O248" s="1">
        <v>19</v>
      </c>
      <c r="P248" s="1">
        <v>27</v>
      </c>
      <c r="Q248" s="1">
        <v>17</v>
      </c>
      <c r="R248" s="1">
        <v>13</v>
      </c>
      <c r="S248" s="1">
        <v>30</v>
      </c>
      <c r="T248" s="1">
        <v>12</v>
      </c>
      <c r="U248" s="1">
        <v>14</v>
      </c>
      <c r="V248" s="1">
        <v>26</v>
      </c>
      <c r="W248" s="1">
        <f t="shared" ref="W248:X248" si="2219">SUM(E248,H248,K248,N248,Q248,T248)</f>
        <v>628</v>
      </c>
      <c r="X248" s="1">
        <f t="shared" si="2219"/>
        <v>629</v>
      </c>
      <c r="Y248" s="1">
        <f t="shared" si="1"/>
        <v>1257</v>
      </c>
      <c r="Z248" s="1">
        <f t="shared" ref="Z248:AA248" si="2220">W248-T248</f>
        <v>616</v>
      </c>
      <c r="AA248" s="1">
        <f t="shared" si="2220"/>
        <v>615</v>
      </c>
      <c r="AB248" s="1">
        <f t="shared" si="3"/>
        <v>1231</v>
      </c>
      <c r="AC248" s="1">
        <f t="shared" ref="AC248:AD248" si="2221">SUM(E248,H248,K248,N248)</f>
        <v>599</v>
      </c>
      <c r="AD248" s="1">
        <f t="shared" si="2221"/>
        <v>602</v>
      </c>
      <c r="AE248" s="1">
        <f t="shared" si="5"/>
        <v>1201</v>
      </c>
      <c r="AF248" s="2">
        <f t="shared" ref="AF248:AH248" si="2222">AC248/Z248</f>
        <v>0.97240259740259738</v>
      </c>
      <c r="AG248" s="2">
        <f t="shared" si="2222"/>
        <v>0.9788617886178862</v>
      </c>
      <c r="AH248" s="2">
        <f t="shared" si="2222"/>
        <v>0.9756295694557271</v>
      </c>
      <c r="AI248" s="1">
        <f t="shared" ref="AI248:AJ248" si="2223">SUM(E248,H248,K248)</f>
        <v>591</v>
      </c>
      <c r="AJ248" s="1">
        <f t="shared" si="2223"/>
        <v>583</v>
      </c>
      <c r="AK248" s="1">
        <f t="shared" si="8"/>
        <v>1174</v>
      </c>
      <c r="AL248" s="2">
        <f t="shared" ref="AL248:AN248" si="2224">AI248/Z248</f>
        <v>0.95941558441558439</v>
      </c>
      <c r="AM248" s="2">
        <f t="shared" si="2224"/>
        <v>0.94796747967479678</v>
      </c>
      <c r="AN248" s="2">
        <f t="shared" si="2224"/>
        <v>0.95369618196588135</v>
      </c>
      <c r="AO248" s="2">
        <f t="shared" ref="AO248:AQ248" si="2225">E248/Z248</f>
        <v>0.11525974025974026</v>
      </c>
      <c r="AP248" s="2">
        <f t="shared" si="2225"/>
        <v>8.6178861788617889E-2</v>
      </c>
      <c r="AQ248" s="2">
        <f t="shared" si="2225"/>
        <v>0.10073111291632819</v>
      </c>
      <c r="AR248" s="2">
        <f t="shared" si="11"/>
        <v>2.1103896103896104E-2</v>
      </c>
      <c r="AS248" s="2">
        <f t="shared" ref="AS248:AT248" si="2226">R248/AA248</f>
        <v>2.113821138211382E-2</v>
      </c>
      <c r="AT248" s="2">
        <f t="shared" si="2226"/>
        <v>2.4370430544272948E-2</v>
      </c>
      <c r="AU248" s="2">
        <f t="shared" ref="AU248:AW248" si="2227">T248/W248</f>
        <v>1.9108280254777069E-2</v>
      </c>
      <c r="AV248" s="2">
        <f t="shared" si="2173"/>
        <v>2.2257551669316374E-2</v>
      </c>
      <c r="AW248" s="2">
        <f t="shared" si="2173"/>
        <v>2.0684168655529037E-2</v>
      </c>
    </row>
    <row r="249" spans="1:49" ht="13" x14ac:dyDescent="0.15">
      <c r="A249" s="1">
        <v>2023</v>
      </c>
      <c r="B249" s="1" t="s">
        <v>117</v>
      </c>
      <c r="C249" s="1" t="s">
        <v>54</v>
      </c>
      <c r="D249" s="1" t="s">
        <v>188</v>
      </c>
      <c r="E249" s="1">
        <v>973</v>
      </c>
      <c r="F249" s="1">
        <v>777</v>
      </c>
      <c r="G249" s="1">
        <v>1750</v>
      </c>
      <c r="H249" s="1">
        <v>2658</v>
      </c>
      <c r="I249" s="1">
        <v>3116</v>
      </c>
      <c r="J249" s="1">
        <v>5774</v>
      </c>
      <c r="K249" s="1">
        <v>897</v>
      </c>
      <c r="L249" s="1">
        <v>1367</v>
      </c>
      <c r="M249" s="1">
        <v>2264</v>
      </c>
      <c r="N249" s="1">
        <v>327</v>
      </c>
      <c r="O249" s="1">
        <v>484</v>
      </c>
      <c r="P249" s="1">
        <v>811</v>
      </c>
      <c r="Q249" s="1">
        <v>311</v>
      </c>
      <c r="R249" s="1">
        <v>470</v>
      </c>
      <c r="S249" s="1">
        <v>781</v>
      </c>
      <c r="T249" s="1">
        <v>55</v>
      </c>
      <c r="U249" s="1">
        <v>49</v>
      </c>
      <c r="V249" s="1">
        <v>104</v>
      </c>
      <c r="W249" s="1">
        <f t="shared" ref="W249:X249" si="2228">SUM(E249,H249,K249,N249,Q249,T249)</f>
        <v>5221</v>
      </c>
      <c r="X249" s="1">
        <f t="shared" si="2228"/>
        <v>6263</v>
      </c>
      <c r="Y249" s="1">
        <f t="shared" si="1"/>
        <v>11484</v>
      </c>
      <c r="Z249" s="1">
        <f t="shared" ref="Z249:AA249" si="2229">W249-T249</f>
        <v>5166</v>
      </c>
      <c r="AA249" s="1">
        <f t="shared" si="2229"/>
        <v>6214</v>
      </c>
      <c r="AB249" s="1">
        <f t="shared" si="3"/>
        <v>11380</v>
      </c>
      <c r="AC249" s="1">
        <f t="shared" ref="AC249:AD249" si="2230">SUM(E249,H249,K249,N249)</f>
        <v>4855</v>
      </c>
      <c r="AD249" s="1">
        <f t="shared" si="2230"/>
        <v>5744</v>
      </c>
      <c r="AE249" s="1">
        <f t="shared" si="5"/>
        <v>10599</v>
      </c>
      <c r="AF249" s="2">
        <f t="shared" ref="AF249:AH249" si="2231">AC249/Z249</f>
        <v>0.93979868370112274</v>
      </c>
      <c r="AG249" s="2">
        <f t="shared" si="2231"/>
        <v>0.92436433859028</v>
      </c>
      <c r="AH249" s="2">
        <f t="shared" si="2231"/>
        <v>0.93137082601054477</v>
      </c>
      <c r="AI249" s="1">
        <f t="shared" ref="AI249:AJ249" si="2232">SUM(E249,H249,K249)</f>
        <v>4528</v>
      </c>
      <c r="AJ249" s="1">
        <f t="shared" si="2232"/>
        <v>5260</v>
      </c>
      <c r="AK249" s="1">
        <f t="shared" si="8"/>
        <v>9788</v>
      </c>
      <c r="AL249" s="2">
        <f t="shared" ref="AL249:AN249" si="2233">AI249/Z249</f>
        <v>0.87650019357336428</v>
      </c>
      <c r="AM249" s="2">
        <f t="shared" si="2233"/>
        <v>0.84647570003218542</v>
      </c>
      <c r="AN249" s="2">
        <f t="shared" si="2233"/>
        <v>0.86010544815465728</v>
      </c>
      <c r="AO249" s="2">
        <f t="shared" ref="AO249:AQ249" si="2234">E249/Z249</f>
        <v>0.18834688346883469</v>
      </c>
      <c r="AP249" s="2">
        <f t="shared" si="2234"/>
        <v>0.1250402317347924</v>
      </c>
      <c r="AQ249" s="2">
        <f t="shared" si="2234"/>
        <v>0.15377855887521968</v>
      </c>
      <c r="AR249" s="2">
        <f t="shared" si="11"/>
        <v>9.097948122338366E-2</v>
      </c>
      <c r="AS249" s="2">
        <f t="shared" ref="AS249:AT249" si="2235">R249/AA249</f>
        <v>7.5635661409719987E-2</v>
      </c>
      <c r="AT249" s="2">
        <f t="shared" si="2235"/>
        <v>6.8629173989455186E-2</v>
      </c>
      <c r="AU249" s="2">
        <f t="shared" ref="AU249:AW249" si="2236">T249/W249</f>
        <v>1.0534380386899061E-2</v>
      </c>
      <c r="AV249" s="2">
        <f t="shared" si="2173"/>
        <v>7.8237266485709726E-3</v>
      </c>
      <c r="AW249" s="2">
        <f t="shared" si="2173"/>
        <v>9.0560780215952624E-3</v>
      </c>
    </row>
    <row r="250" spans="1:49" ht="13" x14ac:dyDescent="0.15">
      <c r="A250" s="1">
        <v>2023</v>
      </c>
      <c r="B250" s="1" t="s">
        <v>49</v>
      </c>
      <c r="C250" s="1" t="s">
        <v>78</v>
      </c>
      <c r="D250" s="1" t="s">
        <v>189</v>
      </c>
      <c r="E250" s="1">
        <v>41</v>
      </c>
      <c r="F250" s="1">
        <v>16</v>
      </c>
      <c r="G250" s="1">
        <v>57</v>
      </c>
      <c r="H250" s="1">
        <v>547</v>
      </c>
      <c r="I250" s="1">
        <v>325</v>
      </c>
      <c r="J250" s="1">
        <v>872</v>
      </c>
      <c r="K250" s="1">
        <v>369</v>
      </c>
      <c r="L250" s="1">
        <v>444</v>
      </c>
      <c r="M250" s="1">
        <v>813</v>
      </c>
      <c r="N250" s="1">
        <v>176</v>
      </c>
      <c r="O250" s="1">
        <v>177</v>
      </c>
      <c r="P250" s="1">
        <v>353</v>
      </c>
      <c r="Q250" s="1">
        <v>183</v>
      </c>
      <c r="R250" s="1">
        <v>282</v>
      </c>
      <c r="S250" s="1">
        <v>465</v>
      </c>
      <c r="T250" s="1">
        <v>26</v>
      </c>
      <c r="U250" s="1">
        <v>48</v>
      </c>
      <c r="V250" s="1">
        <v>74</v>
      </c>
      <c r="W250" s="1">
        <f t="shared" ref="W250:X250" si="2237">SUM(E250,H250,K250,N250,Q250,T250)</f>
        <v>1342</v>
      </c>
      <c r="X250" s="1">
        <f t="shared" si="2237"/>
        <v>1292</v>
      </c>
      <c r="Y250" s="1">
        <f t="shared" si="1"/>
        <v>2634</v>
      </c>
      <c r="Z250" s="1">
        <f t="shared" ref="Z250:AA250" si="2238">W250-T250</f>
        <v>1316</v>
      </c>
      <c r="AA250" s="1">
        <f t="shared" si="2238"/>
        <v>1244</v>
      </c>
      <c r="AB250" s="1">
        <f t="shared" si="3"/>
        <v>2560</v>
      </c>
      <c r="AC250" s="1">
        <f t="shared" ref="AC250:AD250" si="2239">SUM(E250,H250,K250,N250)</f>
        <v>1133</v>
      </c>
      <c r="AD250" s="1">
        <f t="shared" si="2239"/>
        <v>962</v>
      </c>
      <c r="AE250" s="1">
        <f t="shared" si="5"/>
        <v>2095</v>
      </c>
      <c r="AF250" s="2">
        <f t="shared" ref="AF250:AH250" si="2240">AC250/Z250</f>
        <v>0.86094224924012153</v>
      </c>
      <c r="AG250" s="2">
        <f t="shared" si="2240"/>
        <v>0.77331189710610937</v>
      </c>
      <c r="AH250" s="2">
        <f t="shared" si="2240"/>
        <v>0.818359375</v>
      </c>
      <c r="AI250" s="1">
        <f t="shared" ref="AI250:AJ250" si="2241">SUM(E250,H250,K250)</f>
        <v>957</v>
      </c>
      <c r="AJ250" s="1">
        <f t="shared" si="2241"/>
        <v>785</v>
      </c>
      <c r="AK250" s="1">
        <f t="shared" si="8"/>
        <v>1742</v>
      </c>
      <c r="AL250" s="2">
        <f t="shared" ref="AL250:AN250" si="2242">AI250/Z250</f>
        <v>0.72720364741641341</v>
      </c>
      <c r="AM250" s="2">
        <f t="shared" si="2242"/>
        <v>0.63102893890675238</v>
      </c>
      <c r="AN250" s="2">
        <f t="shared" si="2242"/>
        <v>0.68046874999999996</v>
      </c>
      <c r="AO250" s="2">
        <f t="shared" ref="AO250:AQ250" si="2243">E250/Z250</f>
        <v>3.115501519756839E-2</v>
      </c>
      <c r="AP250" s="2">
        <f t="shared" si="2243"/>
        <v>1.2861736334405145E-2</v>
      </c>
      <c r="AQ250" s="2">
        <f t="shared" si="2243"/>
        <v>2.2265625000000001E-2</v>
      </c>
      <c r="AR250" s="2">
        <f t="shared" si="11"/>
        <v>0.21428571428571427</v>
      </c>
      <c r="AS250" s="2">
        <f t="shared" ref="AS250:AT250" si="2244">R250/AA250</f>
        <v>0.22668810289389069</v>
      </c>
      <c r="AT250" s="2">
        <f t="shared" si="2244"/>
        <v>0.181640625</v>
      </c>
      <c r="AU250" s="2">
        <f t="shared" ref="AU250:AW250" si="2245">T250/W250</f>
        <v>1.9374068554396422E-2</v>
      </c>
      <c r="AV250" s="2">
        <f t="shared" si="2173"/>
        <v>3.7151702786377708E-2</v>
      </c>
      <c r="AW250" s="2">
        <f t="shared" si="2173"/>
        <v>2.8094153378891418E-2</v>
      </c>
    </row>
    <row r="251" spans="1:49" ht="13" x14ac:dyDescent="0.15">
      <c r="A251" s="1">
        <v>2023</v>
      </c>
      <c r="B251" s="1" t="s">
        <v>66</v>
      </c>
      <c r="C251" s="1" t="s">
        <v>67</v>
      </c>
      <c r="D251" s="1" t="s">
        <v>190</v>
      </c>
      <c r="E251" s="1">
        <v>3</v>
      </c>
      <c r="F251" s="1">
        <v>4</v>
      </c>
      <c r="G251" s="1">
        <v>7</v>
      </c>
      <c r="H251" s="1">
        <v>525</v>
      </c>
      <c r="I251" s="1">
        <v>206</v>
      </c>
      <c r="J251" s="1">
        <v>731</v>
      </c>
      <c r="K251" s="1">
        <v>420</v>
      </c>
      <c r="L251" s="1">
        <v>388</v>
      </c>
      <c r="M251" s="1">
        <v>808</v>
      </c>
      <c r="N251" s="1">
        <v>180</v>
      </c>
      <c r="O251" s="1">
        <v>124</v>
      </c>
      <c r="P251" s="1">
        <v>304</v>
      </c>
      <c r="Q251" s="1">
        <v>148</v>
      </c>
      <c r="R251" s="1">
        <v>253</v>
      </c>
      <c r="S251" s="1">
        <v>401</v>
      </c>
      <c r="T251" s="1">
        <v>12</v>
      </c>
      <c r="U251" s="1">
        <v>3</v>
      </c>
      <c r="V251" s="1">
        <v>15</v>
      </c>
      <c r="W251" s="1">
        <f t="shared" ref="W251:X251" si="2246">SUM(E251,H251,K251,N251,Q251,T251)</f>
        <v>1288</v>
      </c>
      <c r="X251" s="1">
        <f t="shared" si="2246"/>
        <v>978</v>
      </c>
      <c r="Y251" s="1">
        <f t="shared" si="1"/>
        <v>2266</v>
      </c>
      <c r="Z251" s="1">
        <f t="shared" ref="Z251:AA251" si="2247">W251-T251</f>
        <v>1276</v>
      </c>
      <c r="AA251" s="1">
        <f t="shared" si="2247"/>
        <v>975</v>
      </c>
      <c r="AB251" s="1">
        <f t="shared" si="3"/>
        <v>2251</v>
      </c>
      <c r="AC251" s="1">
        <f t="shared" ref="AC251:AD251" si="2248">SUM(E251,H251,K251,N251)</f>
        <v>1128</v>
      </c>
      <c r="AD251" s="1">
        <f t="shared" si="2248"/>
        <v>722</v>
      </c>
      <c r="AE251" s="1">
        <f t="shared" si="5"/>
        <v>1850</v>
      </c>
      <c r="AF251" s="2">
        <f t="shared" ref="AF251:AH251" si="2249">AC251/Z251</f>
        <v>0.88401253918495293</v>
      </c>
      <c r="AG251" s="2">
        <f t="shared" si="2249"/>
        <v>0.74051282051282052</v>
      </c>
      <c r="AH251" s="2">
        <f t="shared" si="2249"/>
        <v>0.82185695246557089</v>
      </c>
      <c r="AI251" s="1">
        <f t="shared" ref="AI251:AJ251" si="2250">SUM(E251,H251,K251)</f>
        <v>948</v>
      </c>
      <c r="AJ251" s="1">
        <f t="shared" si="2250"/>
        <v>598</v>
      </c>
      <c r="AK251" s="1">
        <f t="shared" si="8"/>
        <v>1546</v>
      </c>
      <c r="AL251" s="2">
        <f t="shared" ref="AL251:AN251" si="2251">AI251/Z251</f>
        <v>0.74294670846394983</v>
      </c>
      <c r="AM251" s="2">
        <f t="shared" si="2251"/>
        <v>0.61333333333333329</v>
      </c>
      <c r="AN251" s="2">
        <f t="shared" si="2251"/>
        <v>0.68680586406041755</v>
      </c>
      <c r="AO251" s="2">
        <f t="shared" ref="AO251:AQ251" si="2252">E251/Z251</f>
        <v>2.3510971786833857E-3</v>
      </c>
      <c r="AP251" s="2">
        <f t="shared" si="2252"/>
        <v>4.1025641025641026E-3</v>
      </c>
      <c r="AQ251" s="2">
        <f t="shared" si="2252"/>
        <v>3.109729009329187E-3</v>
      </c>
      <c r="AR251" s="2">
        <f t="shared" si="11"/>
        <v>0.19827586206896552</v>
      </c>
      <c r="AS251" s="2">
        <f t="shared" ref="AS251:AT251" si="2253">R251/AA251</f>
        <v>0.25948717948717948</v>
      </c>
      <c r="AT251" s="2">
        <f t="shared" si="2253"/>
        <v>0.17814304753442914</v>
      </c>
      <c r="AU251" s="2">
        <f t="shared" ref="AU251:AW251" si="2254">T251/W251</f>
        <v>9.316770186335404E-3</v>
      </c>
      <c r="AV251" s="2">
        <f t="shared" si="2173"/>
        <v>3.0674846625766872E-3</v>
      </c>
      <c r="AW251" s="2">
        <f t="shared" si="2173"/>
        <v>6.6195939982347752E-3</v>
      </c>
    </row>
    <row r="252" spans="1:49" ht="13" x14ac:dyDescent="0.15">
      <c r="A252" s="1">
        <v>2023</v>
      </c>
      <c r="B252" s="1" t="s">
        <v>49</v>
      </c>
      <c r="C252" s="1" t="s">
        <v>78</v>
      </c>
      <c r="D252" s="1" t="s">
        <v>191</v>
      </c>
      <c r="E252" s="1">
        <v>72</v>
      </c>
      <c r="F252" s="1">
        <v>26</v>
      </c>
      <c r="G252" s="1">
        <v>98</v>
      </c>
      <c r="H252" s="1">
        <v>643</v>
      </c>
      <c r="I252" s="1">
        <v>492</v>
      </c>
      <c r="J252" s="1">
        <v>1135</v>
      </c>
      <c r="K252" s="1">
        <v>321</v>
      </c>
      <c r="L252" s="1">
        <v>380</v>
      </c>
      <c r="M252" s="1">
        <v>701</v>
      </c>
      <c r="N252" s="1">
        <v>194</v>
      </c>
      <c r="O252" s="1">
        <v>178</v>
      </c>
      <c r="P252" s="1">
        <v>372</v>
      </c>
      <c r="Q252" s="1">
        <v>212</v>
      </c>
      <c r="R252" s="1">
        <v>308</v>
      </c>
      <c r="S252" s="1">
        <v>520</v>
      </c>
      <c r="T252" s="1">
        <v>17</v>
      </c>
      <c r="U252" s="1">
        <v>32</v>
      </c>
      <c r="V252" s="1">
        <v>49</v>
      </c>
      <c r="W252" s="1">
        <f t="shared" ref="W252:X252" si="2255">SUM(E252,H252,K252,N252,Q252,T252)</f>
        <v>1459</v>
      </c>
      <c r="X252" s="1">
        <f t="shared" si="2255"/>
        <v>1416</v>
      </c>
      <c r="Y252" s="1">
        <f t="shared" si="1"/>
        <v>2875</v>
      </c>
      <c r="Z252" s="1">
        <f t="shared" ref="Z252:AA252" si="2256">W252-T252</f>
        <v>1442</v>
      </c>
      <c r="AA252" s="1">
        <f t="shared" si="2256"/>
        <v>1384</v>
      </c>
      <c r="AB252" s="1">
        <f t="shared" si="3"/>
        <v>2826</v>
      </c>
      <c r="AC252" s="1">
        <f t="shared" ref="AC252:AD252" si="2257">SUM(E252,H252,K252,N252)</f>
        <v>1230</v>
      </c>
      <c r="AD252" s="1">
        <f t="shared" si="2257"/>
        <v>1076</v>
      </c>
      <c r="AE252" s="1">
        <f t="shared" si="5"/>
        <v>2306</v>
      </c>
      <c r="AF252" s="2">
        <f t="shared" ref="AF252:AH252" si="2258">AC252/Z252</f>
        <v>0.85298196948682381</v>
      </c>
      <c r="AG252" s="2">
        <f t="shared" si="2258"/>
        <v>0.7774566473988439</v>
      </c>
      <c r="AH252" s="2">
        <f t="shared" si="2258"/>
        <v>0.81599433828733192</v>
      </c>
      <c r="AI252" s="1">
        <f t="shared" ref="AI252:AJ252" si="2259">SUM(E252,H252,K252)</f>
        <v>1036</v>
      </c>
      <c r="AJ252" s="1">
        <f t="shared" si="2259"/>
        <v>898</v>
      </c>
      <c r="AK252" s="1">
        <f t="shared" si="8"/>
        <v>1934</v>
      </c>
      <c r="AL252" s="2">
        <f t="shared" ref="AL252:AN252" si="2260">AI252/Z252</f>
        <v>0.71844660194174759</v>
      </c>
      <c r="AM252" s="2">
        <f t="shared" si="2260"/>
        <v>0.64884393063583812</v>
      </c>
      <c r="AN252" s="2">
        <f t="shared" si="2260"/>
        <v>0.68435951875442325</v>
      </c>
      <c r="AO252" s="2">
        <f t="shared" ref="AO252:AQ252" si="2261">E252/Z252</f>
        <v>4.9930651872399444E-2</v>
      </c>
      <c r="AP252" s="2">
        <f t="shared" si="2261"/>
        <v>1.8786127167630059E-2</v>
      </c>
      <c r="AQ252" s="2">
        <f t="shared" si="2261"/>
        <v>3.4677990092002828E-2</v>
      </c>
      <c r="AR252" s="2">
        <f t="shared" si="11"/>
        <v>0.21359223300970873</v>
      </c>
      <c r="AS252" s="2">
        <f t="shared" ref="AS252:AT252" si="2262">R252/AA252</f>
        <v>0.22254335260115607</v>
      </c>
      <c r="AT252" s="2">
        <f t="shared" si="2262"/>
        <v>0.18400566171266808</v>
      </c>
      <c r="AU252" s="2">
        <f t="shared" ref="AU252:AW252" si="2263">T252/W252</f>
        <v>1.1651816312542838E-2</v>
      </c>
      <c r="AV252" s="2">
        <f t="shared" si="2173"/>
        <v>2.2598870056497175E-2</v>
      </c>
      <c r="AW252" s="2">
        <f t="shared" si="2173"/>
        <v>1.7043478260869566E-2</v>
      </c>
    </row>
    <row r="253" spans="1:49" ht="13" x14ac:dyDescent="0.15">
      <c r="A253" s="1">
        <v>2023</v>
      </c>
      <c r="B253" s="1" t="s">
        <v>49</v>
      </c>
      <c r="C253" s="1" t="s">
        <v>80</v>
      </c>
      <c r="D253" s="1" t="s">
        <v>192</v>
      </c>
      <c r="E253" s="1">
        <v>20</v>
      </c>
      <c r="F253" s="1">
        <v>11</v>
      </c>
      <c r="G253" s="1">
        <v>31</v>
      </c>
      <c r="H253" s="1">
        <v>330</v>
      </c>
      <c r="I253" s="1">
        <v>209</v>
      </c>
      <c r="J253" s="1">
        <v>539</v>
      </c>
      <c r="K253" s="1">
        <v>234</v>
      </c>
      <c r="L253" s="1">
        <v>197</v>
      </c>
      <c r="M253" s="1">
        <v>431</v>
      </c>
      <c r="N253" s="1">
        <v>108</v>
      </c>
      <c r="O253" s="1">
        <v>127</v>
      </c>
      <c r="P253" s="1">
        <v>235</v>
      </c>
      <c r="Q253" s="1">
        <v>182</v>
      </c>
      <c r="R253" s="1">
        <v>216</v>
      </c>
      <c r="S253" s="1">
        <v>398</v>
      </c>
      <c r="T253" s="1">
        <v>23</v>
      </c>
      <c r="U253" s="1">
        <v>25</v>
      </c>
      <c r="V253" s="1">
        <v>48</v>
      </c>
      <c r="W253" s="1">
        <f t="shared" ref="W253:X253" si="2264">SUM(E253,H253,K253,N253,Q253,T253)</f>
        <v>897</v>
      </c>
      <c r="X253" s="1">
        <f t="shared" si="2264"/>
        <v>785</v>
      </c>
      <c r="Y253" s="1">
        <f t="shared" si="1"/>
        <v>1682</v>
      </c>
      <c r="Z253" s="1">
        <f t="shared" ref="Z253:AA253" si="2265">W253-T253</f>
        <v>874</v>
      </c>
      <c r="AA253" s="1">
        <f t="shared" si="2265"/>
        <v>760</v>
      </c>
      <c r="AB253" s="1">
        <f t="shared" si="3"/>
        <v>1634</v>
      </c>
      <c r="AC253" s="1">
        <f t="shared" ref="AC253:AD253" si="2266">SUM(E253,H253,K253,N253)</f>
        <v>692</v>
      </c>
      <c r="AD253" s="1">
        <f t="shared" si="2266"/>
        <v>544</v>
      </c>
      <c r="AE253" s="1">
        <f t="shared" si="5"/>
        <v>1236</v>
      </c>
      <c r="AF253" s="2">
        <f t="shared" ref="AF253:AH253" si="2267">AC253/Z253</f>
        <v>0.79176201372997712</v>
      </c>
      <c r="AG253" s="2">
        <f t="shared" si="2267"/>
        <v>0.71578947368421053</v>
      </c>
      <c r="AH253" s="2">
        <f t="shared" si="2267"/>
        <v>0.7564259485924113</v>
      </c>
      <c r="AI253" s="1">
        <f t="shared" ref="AI253:AJ253" si="2268">SUM(E253,H253,K253)</f>
        <v>584</v>
      </c>
      <c r="AJ253" s="1">
        <f t="shared" si="2268"/>
        <v>417</v>
      </c>
      <c r="AK253" s="1">
        <f t="shared" si="8"/>
        <v>1001</v>
      </c>
      <c r="AL253" s="2">
        <f t="shared" ref="AL253:AN253" si="2269">AI253/Z253</f>
        <v>0.66819221967963383</v>
      </c>
      <c r="AM253" s="2">
        <f t="shared" si="2269"/>
        <v>0.54868421052631577</v>
      </c>
      <c r="AN253" s="2">
        <f t="shared" si="2269"/>
        <v>0.61260709914320688</v>
      </c>
      <c r="AO253" s="2">
        <f t="shared" ref="AO253:AQ253" si="2270">E253/Z253</f>
        <v>2.2883295194508008E-2</v>
      </c>
      <c r="AP253" s="2">
        <f t="shared" si="2270"/>
        <v>1.4473684210526316E-2</v>
      </c>
      <c r="AQ253" s="2">
        <f t="shared" si="2270"/>
        <v>1.8971848225214197E-2</v>
      </c>
      <c r="AR253" s="2">
        <f t="shared" si="11"/>
        <v>0.24713958810068651</v>
      </c>
      <c r="AS253" s="2">
        <f t="shared" ref="AS253:AT253" si="2271">R253/AA253</f>
        <v>0.28421052631578947</v>
      </c>
      <c r="AT253" s="2">
        <f t="shared" si="2271"/>
        <v>0.24357405140758873</v>
      </c>
      <c r="AU253" s="2">
        <f t="shared" ref="AU253:AW253" si="2272">T253/W253</f>
        <v>2.564102564102564E-2</v>
      </c>
      <c r="AV253" s="2">
        <f t="shared" si="2173"/>
        <v>3.1847133757961783E-2</v>
      </c>
      <c r="AW253" s="2">
        <f t="shared" si="2173"/>
        <v>2.8537455410225922E-2</v>
      </c>
    </row>
    <row r="254" spans="1:49" ht="13" x14ac:dyDescent="0.15">
      <c r="A254" s="1">
        <v>2023</v>
      </c>
      <c r="B254" s="1" t="s">
        <v>49</v>
      </c>
      <c r="C254" s="1" t="s">
        <v>80</v>
      </c>
      <c r="D254" s="1" t="s">
        <v>193</v>
      </c>
      <c r="E254" s="1">
        <v>119</v>
      </c>
      <c r="F254" s="1">
        <v>45</v>
      </c>
      <c r="G254" s="1">
        <v>164</v>
      </c>
      <c r="H254" s="1">
        <v>1121</v>
      </c>
      <c r="I254" s="1">
        <v>695</v>
      </c>
      <c r="J254" s="1">
        <v>1816</v>
      </c>
      <c r="K254" s="1">
        <v>783</v>
      </c>
      <c r="L254" s="1">
        <v>756</v>
      </c>
      <c r="M254" s="1">
        <v>1539</v>
      </c>
      <c r="N254" s="1">
        <v>387</v>
      </c>
      <c r="O254" s="1">
        <v>337</v>
      </c>
      <c r="P254" s="1">
        <v>724</v>
      </c>
      <c r="Q254" s="1">
        <v>627</v>
      </c>
      <c r="R254" s="1">
        <v>670</v>
      </c>
      <c r="S254" s="1">
        <v>1297</v>
      </c>
      <c r="T254" s="1">
        <v>37</v>
      </c>
      <c r="U254" s="1">
        <v>63</v>
      </c>
      <c r="V254" s="1">
        <v>100</v>
      </c>
      <c r="W254" s="1">
        <f t="shared" ref="W254:X254" si="2273">SUM(E254,H254,K254,N254,Q254,T254)</f>
        <v>3074</v>
      </c>
      <c r="X254" s="1">
        <f t="shared" si="2273"/>
        <v>2566</v>
      </c>
      <c r="Y254" s="1">
        <f t="shared" si="1"/>
        <v>5640</v>
      </c>
      <c r="Z254" s="1">
        <f t="shared" ref="Z254:AA254" si="2274">W254-T254</f>
        <v>3037</v>
      </c>
      <c r="AA254" s="1">
        <f t="shared" si="2274"/>
        <v>2503</v>
      </c>
      <c r="AB254" s="1">
        <f t="shared" si="3"/>
        <v>5540</v>
      </c>
      <c r="AC254" s="1">
        <f t="shared" ref="AC254:AD254" si="2275">SUM(E254,H254,K254,N254)</f>
        <v>2410</v>
      </c>
      <c r="AD254" s="1">
        <f t="shared" si="2275"/>
        <v>1833</v>
      </c>
      <c r="AE254" s="1">
        <f t="shared" si="5"/>
        <v>4243</v>
      </c>
      <c r="AF254" s="2">
        <f t="shared" ref="AF254:AH254" si="2276">AC254/Z254</f>
        <v>0.79354626275930196</v>
      </c>
      <c r="AG254" s="2">
        <f t="shared" si="2276"/>
        <v>0.73232121454254895</v>
      </c>
      <c r="AH254" s="2">
        <f t="shared" si="2276"/>
        <v>0.76588447653429603</v>
      </c>
      <c r="AI254" s="1">
        <f t="shared" ref="AI254:AJ254" si="2277">SUM(E254,H254,K254)</f>
        <v>2023</v>
      </c>
      <c r="AJ254" s="1">
        <f t="shared" si="2277"/>
        <v>1496</v>
      </c>
      <c r="AK254" s="1">
        <f t="shared" si="8"/>
        <v>3519</v>
      </c>
      <c r="AL254" s="2">
        <f t="shared" ref="AL254:AN254" si="2278">AI254/Z254</f>
        <v>0.66611787948633516</v>
      </c>
      <c r="AM254" s="2">
        <f t="shared" si="2278"/>
        <v>0.59768278066320413</v>
      </c>
      <c r="AN254" s="2">
        <f t="shared" si="2278"/>
        <v>0.63519855595667873</v>
      </c>
      <c r="AO254" s="2">
        <f t="shared" ref="AO254:AQ254" si="2279">E254/Z254</f>
        <v>3.9183404675666778E-2</v>
      </c>
      <c r="AP254" s="2">
        <f t="shared" si="2279"/>
        <v>1.797842588893328E-2</v>
      </c>
      <c r="AQ254" s="2">
        <f t="shared" si="2279"/>
        <v>2.96028880866426E-2</v>
      </c>
      <c r="AR254" s="2">
        <f t="shared" si="11"/>
        <v>0.22061244649324993</v>
      </c>
      <c r="AS254" s="2">
        <f t="shared" ref="AS254:AT254" si="2280">R254/AA254</f>
        <v>0.26767878545745105</v>
      </c>
      <c r="AT254" s="2">
        <f t="shared" si="2280"/>
        <v>0.23411552346570397</v>
      </c>
      <c r="AU254" s="2">
        <f t="shared" ref="AU254:AW254" si="2281">T254/W254</f>
        <v>1.2036434612882238E-2</v>
      </c>
      <c r="AV254" s="2">
        <f t="shared" si="2173"/>
        <v>2.4551831644583008E-2</v>
      </c>
      <c r="AW254" s="2">
        <f t="shared" si="2173"/>
        <v>1.7730496453900711E-2</v>
      </c>
    </row>
    <row r="255" spans="1:49" ht="13" x14ac:dyDescent="0.15">
      <c r="A255" s="1">
        <v>2023</v>
      </c>
      <c r="B255" s="1" t="s">
        <v>49</v>
      </c>
      <c r="C255" s="1" t="s">
        <v>78</v>
      </c>
      <c r="D255" s="1" t="s">
        <v>194</v>
      </c>
      <c r="E255" s="1">
        <v>60</v>
      </c>
      <c r="F255" s="1">
        <v>35</v>
      </c>
      <c r="G255" s="1">
        <v>95</v>
      </c>
      <c r="H255" s="1">
        <v>674</v>
      </c>
      <c r="I255" s="1">
        <v>429</v>
      </c>
      <c r="J255" s="1">
        <v>1103</v>
      </c>
      <c r="K255" s="1">
        <v>472</v>
      </c>
      <c r="L255" s="1">
        <v>439</v>
      </c>
      <c r="M255" s="1">
        <v>911</v>
      </c>
      <c r="N255" s="1">
        <v>291</v>
      </c>
      <c r="O255" s="1">
        <v>223</v>
      </c>
      <c r="P255" s="1">
        <v>514</v>
      </c>
      <c r="Q255" s="1">
        <v>373</v>
      </c>
      <c r="R255" s="1">
        <v>500</v>
      </c>
      <c r="S255" s="1">
        <v>873</v>
      </c>
      <c r="T255" s="1">
        <v>27</v>
      </c>
      <c r="U255" s="1">
        <v>34</v>
      </c>
      <c r="V255" s="1">
        <v>61</v>
      </c>
      <c r="W255" s="1">
        <f t="shared" ref="W255:X255" si="2282">SUM(E255,H255,K255,N255,Q255,T255)</f>
        <v>1897</v>
      </c>
      <c r="X255" s="1">
        <f t="shared" si="2282"/>
        <v>1660</v>
      </c>
      <c r="Y255" s="1">
        <f t="shared" si="1"/>
        <v>3557</v>
      </c>
      <c r="Z255" s="1">
        <f t="shared" ref="Z255:AA255" si="2283">W255-T255</f>
        <v>1870</v>
      </c>
      <c r="AA255" s="1">
        <f t="shared" si="2283"/>
        <v>1626</v>
      </c>
      <c r="AB255" s="1">
        <f t="shared" si="3"/>
        <v>3496</v>
      </c>
      <c r="AC255" s="1">
        <f t="shared" ref="AC255:AD255" si="2284">SUM(E255,H255,K255,N255)</f>
        <v>1497</v>
      </c>
      <c r="AD255" s="1">
        <f t="shared" si="2284"/>
        <v>1126</v>
      </c>
      <c r="AE255" s="1">
        <f t="shared" si="5"/>
        <v>2623</v>
      </c>
      <c r="AF255" s="2">
        <f t="shared" ref="AF255:AH255" si="2285">AC255/Z255</f>
        <v>0.80053475935828877</v>
      </c>
      <c r="AG255" s="2">
        <f t="shared" si="2285"/>
        <v>0.69249692496924964</v>
      </c>
      <c r="AH255" s="2">
        <f t="shared" si="2285"/>
        <v>0.75028604118993136</v>
      </c>
      <c r="AI255" s="1">
        <f t="shared" ref="AI255:AJ255" si="2286">SUM(E255,H255,K255)</f>
        <v>1206</v>
      </c>
      <c r="AJ255" s="1">
        <f t="shared" si="2286"/>
        <v>903</v>
      </c>
      <c r="AK255" s="1">
        <f t="shared" si="8"/>
        <v>2109</v>
      </c>
      <c r="AL255" s="2">
        <f t="shared" ref="AL255:AN255" si="2287">AI255/Z255</f>
        <v>0.64491978609625666</v>
      </c>
      <c r="AM255" s="2">
        <f t="shared" si="2287"/>
        <v>0.55535055350553508</v>
      </c>
      <c r="AN255" s="2">
        <f t="shared" si="2287"/>
        <v>0.60326086956521741</v>
      </c>
      <c r="AO255" s="2">
        <f t="shared" ref="AO255:AQ255" si="2288">E255/Z255</f>
        <v>3.2085561497326207E-2</v>
      </c>
      <c r="AP255" s="2">
        <f t="shared" si="2288"/>
        <v>2.1525215252152521E-2</v>
      </c>
      <c r="AQ255" s="2">
        <f t="shared" si="2288"/>
        <v>2.717391304347826E-2</v>
      </c>
      <c r="AR255" s="2">
        <f t="shared" si="11"/>
        <v>0.26737967914438504</v>
      </c>
      <c r="AS255" s="2">
        <f t="shared" ref="AS255:AT255" si="2289">R255/AA255</f>
        <v>0.30750307503075031</v>
      </c>
      <c r="AT255" s="2">
        <f t="shared" si="2289"/>
        <v>0.24971395881006864</v>
      </c>
      <c r="AU255" s="2">
        <f t="shared" ref="AU255:AW255" si="2290">T255/W255</f>
        <v>1.4232999472851872E-2</v>
      </c>
      <c r="AV255" s="2">
        <f t="shared" si="2173"/>
        <v>2.0481927710843374E-2</v>
      </c>
      <c r="AW255" s="2">
        <f t="shared" si="2173"/>
        <v>1.7149283103739105E-2</v>
      </c>
    </row>
    <row r="256" spans="1:49" ht="13" x14ac:dyDescent="0.15">
      <c r="A256" s="1">
        <v>2023</v>
      </c>
      <c r="B256" s="1" t="s">
        <v>49</v>
      </c>
      <c r="C256" s="1" t="s">
        <v>67</v>
      </c>
      <c r="D256" s="1" t="s">
        <v>195</v>
      </c>
      <c r="E256" s="1">
        <v>51</v>
      </c>
      <c r="F256" s="1">
        <v>7</v>
      </c>
      <c r="G256" s="1">
        <v>58</v>
      </c>
      <c r="H256" s="1">
        <v>630</v>
      </c>
      <c r="I256" s="1">
        <v>281</v>
      </c>
      <c r="J256" s="1">
        <v>911</v>
      </c>
      <c r="K256" s="1">
        <v>359</v>
      </c>
      <c r="L256" s="1">
        <v>238</v>
      </c>
      <c r="M256" s="1">
        <v>597</v>
      </c>
      <c r="N256" s="1">
        <v>123</v>
      </c>
      <c r="O256" s="1">
        <v>103</v>
      </c>
      <c r="P256" s="1">
        <v>226</v>
      </c>
      <c r="Q256" s="1">
        <v>100</v>
      </c>
      <c r="R256" s="1">
        <v>72</v>
      </c>
      <c r="S256" s="1">
        <v>172</v>
      </c>
      <c r="T256" s="1">
        <v>21</v>
      </c>
      <c r="U256" s="1">
        <v>11</v>
      </c>
      <c r="V256" s="1">
        <v>32</v>
      </c>
      <c r="W256" s="1">
        <f t="shared" ref="W256:X256" si="2291">SUM(E256,H256,K256,N256,Q256,T256)</f>
        <v>1284</v>
      </c>
      <c r="X256" s="1">
        <f t="shared" si="2291"/>
        <v>712</v>
      </c>
      <c r="Y256" s="1">
        <f t="shared" si="1"/>
        <v>1996</v>
      </c>
      <c r="Z256" s="1">
        <f t="shared" ref="Z256:AA256" si="2292">W256-T256</f>
        <v>1263</v>
      </c>
      <c r="AA256" s="1">
        <f t="shared" si="2292"/>
        <v>701</v>
      </c>
      <c r="AB256" s="1">
        <f t="shared" si="3"/>
        <v>1964</v>
      </c>
      <c r="AC256" s="1">
        <f t="shared" ref="AC256:AD256" si="2293">SUM(E256,H256,K256,N256)</f>
        <v>1163</v>
      </c>
      <c r="AD256" s="1">
        <f t="shared" si="2293"/>
        <v>629</v>
      </c>
      <c r="AE256" s="1">
        <f t="shared" si="5"/>
        <v>1792</v>
      </c>
      <c r="AF256" s="2">
        <f t="shared" ref="AF256:AH256" si="2294">AC256/Z256</f>
        <v>0.92082343626286622</v>
      </c>
      <c r="AG256" s="2">
        <f t="shared" si="2294"/>
        <v>0.89728958630527822</v>
      </c>
      <c r="AH256" s="2">
        <f t="shared" si="2294"/>
        <v>0.91242362525458254</v>
      </c>
      <c r="AI256" s="1">
        <f t="shared" ref="AI256:AJ256" si="2295">SUM(E256,H256,K256)</f>
        <v>1040</v>
      </c>
      <c r="AJ256" s="1">
        <f t="shared" si="2295"/>
        <v>526</v>
      </c>
      <c r="AK256" s="1">
        <f t="shared" si="8"/>
        <v>1566</v>
      </c>
      <c r="AL256" s="2">
        <f t="shared" ref="AL256:AN256" si="2296">AI256/Z256</f>
        <v>0.82343626286619165</v>
      </c>
      <c r="AM256" s="2">
        <f t="shared" si="2296"/>
        <v>0.75035663338088443</v>
      </c>
      <c r="AN256" s="2">
        <f t="shared" si="2296"/>
        <v>0.79735234215885942</v>
      </c>
      <c r="AO256" s="2">
        <f t="shared" ref="AO256:AQ256" si="2297">E256/Z256</f>
        <v>4.0380047505938245E-2</v>
      </c>
      <c r="AP256" s="2">
        <f t="shared" si="2297"/>
        <v>9.9857346647646214E-3</v>
      </c>
      <c r="AQ256" s="2">
        <f t="shared" si="2297"/>
        <v>2.9531568228105907E-2</v>
      </c>
      <c r="AR256" s="2">
        <f t="shared" si="11"/>
        <v>5.7007125890736345E-2</v>
      </c>
      <c r="AS256" s="2">
        <f t="shared" ref="AS256:AT256" si="2298">R256/AA256</f>
        <v>0.10271041369472182</v>
      </c>
      <c r="AT256" s="2">
        <f t="shared" si="2298"/>
        <v>8.7576374745417518E-2</v>
      </c>
      <c r="AU256" s="2">
        <f t="shared" ref="AU256:AW256" si="2299">T256/W256</f>
        <v>1.6355140186915886E-2</v>
      </c>
      <c r="AV256" s="2">
        <f t="shared" si="2173"/>
        <v>1.5449438202247191E-2</v>
      </c>
      <c r="AW256" s="2">
        <f t="shared" si="2173"/>
        <v>1.6032064128256512E-2</v>
      </c>
    </row>
    <row r="257" spans="1:49" ht="13" x14ac:dyDescent="0.15">
      <c r="A257" s="1">
        <v>2023</v>
      </c>
      <c r="B257" s="1" t="s">
        <v>49</v>
      </c>
      <c r="C257" s="1" t="s">
        <v>70</v>
      </c>
      <c r="D257" s="1" t="s">
        <v>196</v>
      </c>
      <c r="E257" s="1">
        <v>56</v>
      </c>
      <c r="F257" s="1">
        <v>29</v>
      </c>
      <c r="G257" s="1">
        <v>85</v>
      </c>
      <c r="H257" s="1">
        <v>873</v>
      </c>
      <c r="I257" s="1">
        <v>577</v>
      </c>
      <c r="J257" s="1">
        <v>1450</v>
      </c>
      <c r="K257" s="1">
        <v>948</v>
      </c>
      <c r="L257" s="1">
        <v>969</v>
      </c>
      <c r="M257" s="1">
        <v>1917</v>
      </c>
      <c r="N257" s="1">
        <v>399</v>
      </c>
      <c r="O257" s="1">
        <v>465</v>
      </c>
      <c r="P257" s="1">
        <v>864</v>
      </c>
      <c r="Q257" s="1">
        <v>755</v>
      </c>
      <c r="R257" s="1">
        <v>890</v>
      </c>
      <c r="S257" s="1">
        <v>1645</v>
      </c>
      <c r="T257" s="1">
        <v>36</v>
      </c>
      <c r="U257" s="1">
        <v>36</v>
      </c>
      <c r="V257" s="1">
        <v>72</v>
      </c>
      <c r="W257" s="1">
        <f t="shared" ref="W257:X257" si="2300">SUM(E257,H257,K257,N257,Q257,T257)</f>
        <v>3067</v>
      </c>
      <c r="X257" s="1">
        <f t="shared" si="2300"/>
        <v>2966</v>
      </c>
      <c r="Y257" s="1">
        <f t="shared" ref="Y257:Y410" si="2301">SUM(W257:X257)</f>
        <v>6033</v>
      </c>
      <c r="Z257" s="1">
        <f t="shared" ref="Z257:AA257" si="2302">W257-T257</f>
        <v>3031</v>
      </c>
      <c r="AA257" s="1">
        <f t="shared" si="2302"/>
        <v>2930</v>
      </c>
      <c r="AB257" s="1">
        <f t="shared" ref="AB257:AB410" si="2303">SUM(Z257:AA257)</f>
        <v>5961</v>
      </c>
      <c r="AC257" s="1">
        <f t="shared" ref="AC257:AD257" si="2304">SUM(E257,H257,K257,N257)</f>
        <v>2276</v>
      </c>
      <c r="AD257" s="1">
        <f t="shared" si="2304"/>
        <v>2040</v>
      </c>
      <c r="AE257" s="1">
        <f t="shared" ref="AE257:AE410" si="2305">SUM(AC257:AD257)</f>
        <v>4316</v>
      </c>
      <c r="AF257" s="2">
        <f t="shared" ref="AF257:AH257" si="2306">AC257/Z257</f>
        <v>0.75090729132299572</v>
      </c>
      <c r="AG257" s="2">
        <f t="shared" si="2306"/>
        <v>0.69624573378839594</v>
      </c>
      <c r="AH257" s="2">
        <f t="shared" si="2306"/>
        <v>0.72403959067270596</v>
      </c>
      <c r="AI257" s="1">
        <f t="shared" ref="AI257:AJ257" si="2307">SUM(E257,H257,K257)</f>
        <v>1877</v>
      </c>
      <c r="AJ257" s="1">
        <f t="shared" si="2307"/>
        <v>1575</v>
      </c>
      <c r="AK257" s="1">
        <f t="shared" ref="AK257:AK410" si="2308">SUM(AI257:AJ257)</f>
        <v>3452</v>
      </c>
      <c r="AL257" s="2">
        <f t="shared" ref="AL257:AN257" si="2309">AI257/Z257</f>
        <v>0.61926756845925435</v>
      </c>
      <c r="AM257" s="2">
        <f t="shared" si="2309"/>
        <v>0.53754266211604096</v>
      </c>
      <c r="AN257" s="2">
        <f t="shared" si="2309"/>
        <v>0.57909746686797514</v>
      </c>
      <c r="AO257" s="2">
        <f t="shared" ref="AO257:AQ257" si="2310">E257/Z257</f>
        <v>1.8475750577367205E-2</v>
      </c>
      <c r="AP257" s="2">
        <f t="shared" si="2310"/>
        <v>9.8976109215017059E-3</v>
      </c>
      <c r="AQ257" s="2">
        <f t="shared" si="2310"/>
        <v>1.4259352457641336E-2</v>
      </c>
      <c r="AR257" s="2">
        <f t="shared" ref="AR257:AR410" si="2311">R257/Z257</f>
        <v>0.29363246453315739</v>
      </c>
      <c r="AS257" s="2">
        <f t="shared" ref="AS257:AT257" si="2312">R257/AA257</f>
        <v>0.30375426621160412</v>
      </c>
      <c r="AT257" s="2">
        <f t="shared" si="2312"/>
        <v>0.2759604093272941</v>
      </c>
      <c r="AU257" s="2">
        <f t="shared" ref="AU257:AW257" si="2313">T257/W257</f>
        <v>1.1737854581023801E-2</v>
      </c>
      <c r="AV257" s="2">
        <f t="shared" si="2173"/>
        <v>1.2137559002022926E-2</v>
      </c>
      <c r="AW257" s="2">
        <f t="shared" si="2173"/>
        <v>1.1934361014420686E-2</v>
      </c>
    </row>
    <row r="258" spans="1:49" ht="13" x14ac:dyDescent="0.15">
      <c r="A258" s="1">
        <v>2023</v>
      </c>
      <c r="B258" s="1" t="s">
        <v>49</v>
      </c>
      <c r="C258" s="1" t="s">
        <v>50</v>
      </c>
      <c r="D258" s="1" t="s">
        <v>51</v>
      </c>
      <c r="E258" s="1">
        <v>320</v>
      </c>
      <c r="F258" s="1">
        <v>254</v>
      </c>
      <c r="G258" s="1">
        <v>574</v>
      </c>
      <c r="H258" s="1">
        <v>1147</v>
      </c>
      <c r="I258" s="1">
        <v>1555</v>
      </c>
      <c r="J258" s="1">
        <v>2702</v>
      </c>
      <c r="K258" s="1">
        <v>277</v>
      </c>
      <c r="L258" s="1">
        <v>548</v>
      </c>
      <c r="M258" s="1">
        <v>825</v>
      </c>
      <c r="N258" s="1">
        <v>135</v>
      </c>
      <c r="O258" s="1">
        <v>209</v>
      </c>
      <c r="P258" s="1">
        <v>344</v>
      </c>
      <c r="Q258" s="1">
        <v>56</v>
      </c>
      <c r="R258" s="1">
        <v>182</v>
      </c>
      <c r="S258" s="1">
        <v>238</v>
      </c>
      <c r="T258" s="1">
        <v>67</v>
      </c>
      <c r="U258" s="1">
        <v>114</v>
      </c>
      <c r="V258" s="1">
        <v>181</v>
      </c>
      <c r="W258" s="1">
        <f t="shared" ref="W258:X258" si="2314">SUM(E258,H258,K258,N258,Q258,T258)</f>
        <v>2002</v>
      </c>
      <c r="X258" s="1">
        <f t="shared" si="2314"/>
        <v>2862</v>
      </c>
      <c r="Y258" s="1">
        <f t="shared" si="2301"/>
        <v>4864</v>
      </c>
      <c r="Z258" s="1">
        <f t="shared" ref="Z258:AA258" si="2315">W258-T258</f>
        <v>1935</v>
      </c>
      <c r="AA258" s="1">
        <f t="shared" si="2315"/>
        <v>2748</v>
      </c>
      <c r="AB258" s="1">
        <f t="shared" si="2303"/>
        <v>4683</v>
      </c>
      <c r="AC258" s="1">
        <f t="shared" ref="AC258:AD258" si="2316">SUM(E258,H258,K258,N258)</f>
        <v>1879</v>
      </c>
      <c r="AD258" s="1">
        <f t="shared" si="2316"/>
        <v>2566</v>
      </c>
      <c r="AE258" s="1">
        <f t="shared" si="2305"/>
        <v>4445</v>
      </c>
      <c r="AF258" s="2">
        <f t="shared" ref="AF258:AH258" si="2317">AC258/Z258</f>
        <v>0.97105943152454777</v>
      </c>
      <c r="AG258" s="2">
        <f t="shared" si="2317"/>
        <v>0.93377001455604081</v>
      </c>
      <c r="AH258" s="2">
        <f t="shared" si="2317"/>
        <v>0.94917787742899851</v>
      </c>
      <c r="AI258" s="1">
        <f t="shared" ref="AI258:AJ258" si="2318">SUM(E258,H258,K258)</f>
        <v>1744</v>
      </c>
      <c r="AJ258" s="1">
        <f t="shared" si="2318"/>
        <v>2357</v>
      </c>
      <c r="AK258" s="1">
        <f t="shared" si="2308"/>
        <v>4101</v>
      </c>
      <c r="AL258" s="2">
        <f t="shared" ref="AL258:AN258" si="2319">AI258/Z258</f>
        <v>0.90129198966408264</v>
      </c>
      <c r="AM258" s="2">
        <f t="shared" si="2319"/>
        <v>0.85771470160116448</v>
      </c>
      <c r="AN258" s="2">
        <f t="shared" si="2319"/>
        <v>0.87572069186418966</v>
      </c>
      <c r="AO258" s="2">
        <f t="shared" ref="AO258:AQ258" si="2320">E258/Z258</f>
        <v>0.16537467700258399</v>
      </c>
      <c r="AP258" s="2">
        <f t="shared" si="2320"/>
        <v>9.2430858806404656E-2</v>
      </c>
      <c r="AQ258" s="2">
        <f t="shared" si="2320"/>
        <v>0.12257100149476831</v>
      </c>
      <c r="AR258" s="2">
        <f t="shared" si="2311"/>
        <v>9.4056847545219632E-2</v>
      </c>
      <c r="AS258" s="2">
        <f t="shared" ref="AS258:AT258" si="2321">R258/AA258</f>
        <v>6.6229985443959249E-2</v>
      </c>
      <c r="AT258" s="2">
        <f t="shared" si="2321"/>
        <v>5.0822122571001493E-2</v>
      </c>
      <c r="AU258" s="2">
        <f t="shared" ref="AU258:AW273" si="2322">T258/W258</f>
        <v>3.3466533466533464E-2</v>
      </c>
      <c r="AV258" s="2">
        <f t="shared" si="2322"/>
        <v>3.9832285115303984E-2</v>
      </c>
      <c r="AW258" s="2">
        <f t="shared" si="2322"/>
        <v>3.7212171052631582E-2</v>
      </c>
    </row>
    <row r="259" spans="1:49" ht="13" x14ac:dyDescent="0.15">
      <c r="A259" s="1">
        <v>2023</v>
      </c>
      <c r="B259" s="1" t="s">
        <v>49</v>
      </c>
      <c r="C259" s="1" t="s">
        <v>52</v>
      </c>
      <c r="D259" s="1" t="s">
        <v>53</v>
      </c>
      <c r="E259" s="1">
        <v>131</v>
      </c>
      <c r="F259" s="1">
        <v>115</v>
      </c>
      <c r="G259" s="1">
        <v>246</v>
      </c>
      <c r="H259" s="1">
        <v>566</v>
      </c>
      <c r="I259" s="1">
        <v>673</v>
      </c>
      <c r="J259" s="1">
        <v>1239</v>
      </c>
      <c r="K259" s="1">
        <v>362</v>
      </c>
      <c r="L259" s="1">
        <v>576</v>
      </c>
      <c r="M259" s="1">
        <v>938</v>
      </c>
      <c r="N259" s="1">
        <v>145</v>
      </c>
      <c r="O259" s="1">
        <v>182</v>
      </c>
      <c r="P259" s="1">
        <v>327</v>
      </c>
      <c r="Q259" s="1">
        <v>161</v>
      </c>
      <c r="R259" s="1">
        <v>295</v>
      </c>
      <c r="S259" s="1">
        <v>456</v>
      </c>
      <c r="T259" s="1">
        <v>35</v>
      </c>
      <c r="U259" s="1">
        <v>69</v>
      </c>
      <c r="V259" s="1">
        <v>104</v>
      </c>
      <c r="W259" s="1">
        <f t="shared" ref="W259:X259" si="2323">SUM(E259,H259,K259,N259,Q259,T259)</f>
        <v>1400</v>
      </c>
      <c r="X259" s="1">
        <f t="shared" si="2323"/>
        <v>1910</v>
      </c>
      <c r="Y259" s="1">
        <f t="shared" si="2301"/>
        <v>3310</v>
      </c>
      <c r="Z259" s="1">
        <f t="shared" ref="Z259:AA259" si="2324">W259-T259</f>
        <v>1365</v>
      </c>
      <c r="AA259" s="1">
        <f t="shared" si="2324"/>
        <v>1841</v>
      </c>
      <c r="AB259" s="1">
        <f t="shared" si="2303"/>
        <v>3206</v>
      </c>
      <c r="AC259" s="1">
        <f t="shared" ref="AC259:AD259" si="2325">SUM(E259,H259,K259,N259)</f>
        <v>1204</v>
      </c>
      <c r="AD259" s="1">
        <f t="shared" si="2325"/>
        <v>1546</v>
      </c>
      <c r="AE259" s="1">
        <f t="shared" si="2305"/>
        <v>2750</v>
      </c>
      <c r="AF259" s="2">
        <f t="shared" ref="AF259:AH259" si="2326">AC259/Z259</f>
        <v>0.88205128205128203</v>
      </c>
      <c r="AG259" s="2">
        <f t="shared" si="2326"/>
        <v>0.83976099945681693</v>
      </c>
      <c r="AH259" s="2">
        <f t="shared" si="2326"/>
        <v>0.85776668746101059</v>
      </c>
      <c r="AI259" s="1">
        <f t="shared" ref="AI259:AJ259" si="2327">SUM(E259,H259,K259)</f>
        <v>1059</v>
      </c>
      <c r="AJ259" s="1">
        <f t="shared" si="2327"/>
        <v>1364</v>
      </c>
      <c r="AK259" s="1">
        <f t="shared" si="2308"/>
        <v>2423</v>
      </c>
      <c r="AL259" s="2">
        <f t="shared" ref="AL259:AN259" si="2328">AI259/Z259</f>
        <v>0.77582417582417584</v>
      </c>
      <c r="AM259" s="2">
        <f t="shared" si="2328"/>
        <v>0.74090168386746336</v>
      </c>
      <c r="AN259" s="2">
        <f t="shared" si="2328"/>
        <v>0.75577043044291947</v>
      </c>
      <c r="AO259" s="2">
        <f t="shared" ref="AO259:AQ259" si="2329">E259/Z259</f>
        <v>9.5970695970695977E-2</v>
      </c>
      <c r="AP259" s="2">
        <f t="shared" si="2329"/>
        <v>6.2466051059206953E-2</v>
      </c>
      <c r="AQ259" s="2">
        <f t="shared" si="2329"/>
        <v>7.6731129132875858E-2</v>
      </c>
      <c r="AR259" s="2">
        <f t="shared" si="2311"/>
        <v>0.21611721611721613</v>
      </c>
      <c r="AS259" s="2">
        <f t="shared" ref="AS259:AT259" si="2330">R259/AA259</f>
        <v>0.16023900054318305</v>
      </c>
      <c r="AT259" s="2">
        <f t="shared" si="2330"/>
        <v>0.14223331253898938</v>
      </c>
      <c r="AU259" s="2">
        <f t="shared" ref="AU259:AW259" si="2331">T259/W259</f>
        <v>2.5000000000000001E-2</v>
      </c>
      <c r="AV259" s="2">
        <f t="shared" si="2322"/>
        <v>3.6125654450261779E-2</v>
      </c>
      <c r="AW259" s="2">
        <f t="shared" si="2322"/>
        <v>3.1419939577039278E-2</v>
      </c>
    </row>
    <row r="260" spans="1:49" ht="13" x14ac:dyDescent="0.15">
      <c r="A260" s="1">
        <v>2023</v>
      </c>
      <c r="B260" s="1" t="s">
        <v>49</v>
      </c>
      <c r="C260" s="1" t="s">
        <v>54</v>
      </c>
      <c r="D260" s="1" t="s">
        <v>55</v>
      </c>
      <c r="E260" s="1">
        <v>422</v>
      </c>
      <c r="F260" s="1">
        <v>328</v>
      </c>
      <c r="G260" s="1">
        <v>750</v>
      </c>
      <c r="H260" s="1">
        <v>682</v>
      </c>
      <c r="I260" s="1">
        <v>813</v>
      </c>
      <c r="J260" s="1">
        <v>1495</v>
      </c>
      <c r="K260" s="1">
        <v>159</v>
      </c>
      <c r="L260" s="1">
        <v>225</v>
      </c>
      <c r="M260" s="1">
        <v>384</v>
      </c>
      <c r="N260" s="1">
        <v>61</v>
      </c>
      <c r="O260" s="1">
        <v>79</v>
      </c>
      <c r="P260" s="1">
        <v>140</v>
      </c>
      <c r="Q260" s="1">
        <v>20</v>
      </c>
      <c r="R260" s="1">
        <v>25</v>
      </c>
      <c r="S260" s="1">
        <v>45</v>
      </c>
      <c r="T260" s="1">
        <v>13</v>
      </c>
      <c r="U260" s="1">
        <v>11</v>
      </c>
      <c r="V260" s="1">
        <v>24</v>
      </c>
      <c r="W260" s="1">
        <f t="shared" ref="W260:X260" si="2332">SUM(E260,H260,K260,N260,Q260,T260)</f>
        <v>1357</v>
      </c>
      <c r="X260" s="1">
        <f t="shared" si="2332"/>
        <v>1481</v>
      </c>
      <c r="Y260" s="1">
        <f t="shared" si="2301"/>
        <v>2838</v>
      </c>
      <c r="Z260" s="1">
        <f t="shared" ref="Z260:AA260" si="2333">W260-T260</f>
        <v>1344</v>
      </c>
      <c r="AA260" s="1">
        <f t="shared" si="2333"/>
        <v>1470</v>
      </c>
      <c r="AB260" s="1">
        <f t="shared" si="2303"/>
        <v>2814</v>
      </c>
      <c r="AC260" s="1">
        <f t="shared" ref="AC260:AD260" si="2334">SUM(E260,H260,K260,N260)</f>
        <v>1324</v>
      </c>
      <c r="AD260" s="1">
        <f t="shared" si="2334"/>
        <v>1445</v>
      </c>
      <c r="AE260" s="1">
        <f t="shared" si="2305"/>
        <v>2769</v>
      </c>
      <c r="AF260" s="2">
        <f t="shared" ref="AF260:AH260" si="2335">AC260/Z260</f>
        <v>0.98511904761904767</v>
      </c>
      <c r="AG260" s="2">
        <f t="shared" si="2335"/>
        <v>0.98299319727891155</v>
      </c>
      <c r="AH260" s="2">
        <f t="shared" si="2335"/>
        <v>0.98400852878464817</v>
      </c>
      <c r="AI260" s="1">
        <f t="shared" ref="AI260:AJ260" si="2336">SUM(E260,H260,K260)</f>
        <v>1263</v>
      </c>
      <c r="AJ260" s="1">
        <f t="shared" si="2336"/>
        <v>1366</v>
      </c>
      <c r="AK260" s="1">
        <f t="shared" si="2308"/>
        <v>2629</v>
      </c>
      <c r="AL260" s="2">
        <f t="shared" ref="AL260:AN260" si="2337">AI260/Z260</f>
        <v>0.9397321428571429</v>
      </c>
      <c r="AM260" s="2">
        <f t="shared" si="2337"/>
        <v>0.92925170068027207</v>
      </c>
      <c r="AN260" s="2">
        <f t="shared" si="2337"/>
        <v>0.93425728500355365</v>
      </c>
      <c r="AO260" s="2">
        <f t="shared" ref="AO260:AQ260" si="2338">E260/Z260</f>
        <v>0.31398809523809523</v>
      </c>
      <c r="AP260" s="2">
        <f t="shared" si="2338"/>
        <v>0.22312925170068026</v>
      </c>
      <c r="AQ260" s="2">
        <f t="shared" si="2338"/>
        <v>0.26652452025586354</v>
      </c>
      <c r="AR260" s="2">
        <f t="shared" si="2311"/>
        <v>1.8601190476190476E-2</v>
      </c>
      <c r="AS260" s="2">
        <f t="shared" ref="AS260:AT260" si="2339">R260/AA260</f>
        <v>1.7006802721088437E-2</v>
      </c>
      <c r="AT260" s="2">
        <f t="shared" si="2339"/>
        <v>1.5991471215351813E-2</v>
      </c>
      <c r="AU260" s="2">
        <f t="shared" ref="AU260:AW260" si="2340">T260/W260</f>
        <v>9.5799557848194553E-3</v>
      </c>
      <c r="AV260" s="2">
        <f t="shared" si="2322"/>
        <v>7.4274139095205942E-3</v>
      </c>
      <c r="AW260" s="2">
        <f t="shared" si="2322"/>
        <v>8.4566596194503175E-3</v>
      </c>
    </row>
    <row r="261" spans="1:49" ht="13" x14ac:dyDescent="0.15">
      <c r="A261" s="1">
        <v>2023</v>
      </c>
      <c r="B261" s="1" t="s">
        <v>49</v>
      </c>
      <c r="C261" s="1" t="s">
        <v>52</v>
      </c>
      <c r="D261" s="1" t="s">
        <v>56</v>
      </c>
      <c r="E261" s="1">
        <v>146</v>
      </c>
      <c r="F261" s="1">
        <v>87</v>
      </c>
      <c r="G261" s="1">
        <v>233</v>
      </c>
      <c r="H261" s="1">
        <v>463</v>
      </c>
      <c r="I261" s="1">
        <v>624</v>
      </c>
      <c r="J261" s="1">
        <v>1087</v>
      </c>
      <c r="K261" s="1">
        <v>214</v>
      </c>
      <c r="L261" s="1">
        <v>301</v>
      </c>
      <c r="M261" s="1">
        <v>515</v>
      </c>
      <c r="N261" s="1">
        <v>59</v>
      </c>
      <c r="O261" s="1">
        <v>90</v>
      </c>
      <c r="P261" s="1">
        <v>149</v>
      </c>
      <c r="Q261" s="1">
        <v>63</v>
      </c>
      <c r="R261" s="1">
        <v>124</v>
      </c>
      <c r="S261" s="1">
        <v>187</v>
      </c>
      <c r="T261" s="1">
        <v>13</v>
      </c>
      <c r="U261" s="1">
        <v>15</v>
      </c>
      <c r="V261" s="1">
        <v>28</v>
      </c>
      <c r="W261" s="1">
        <f t="shared" ref="W261:X261" si="2341">SUM(E261,H261,K261,N261,Q261,T261)</f>
        <v>958</v>
      </c>
      <c r="X261" s="1">
        <f t="shared" si="2341"/>
        <v>1241</v>
      </c>
      <c r="Y261" s="1">
        <f t="shared" si="2301"/>
        <v>2199</v>
      </c>
      <c r="Z261" s="1">
        <f t="shared" ref="Z261:AA261" si="2342">W261-T261</f>
        <v>945</v>
      </c>
      <c r="AA261" s="1">
        <f t="shared" si="2342"/>
        <v>1226</v>
      </c>
      <c r="AB261" s="1">
        <f t="shared" si="2303"/>
        <v>2171</v>
      </c>
      <c r="AC261" s="1">
        <f t="shared" ref="AC261:AD261" si="2343">SUM(E261,H261,K261,N261)</f>
        <v>882</v>
      </c>
      <c r="AD261" s="1">
        <f t="shared" si="2343"/>
        <v>1102</v>
      </c>
      <c r="AE261" s="1">
        <f t="shared" si="2305"/>
        <v>1984</v>
      </c>
      <c r="AF261" s="2">
        <f t="shared" ref="AF261:AH261" si="2344">AC261/Z261</f>
        <v>0.93333333333333335</v>
      </c>
      <c r="AG261" s="2">
        <f t="shared" si="2344"/>
        <v>0.89885807504078308</v>
      </c>
      <c r="AH261" s="2">
        <f t="shared" si="2344"/>
        <v>0.91386457853523717</v>
      </c>
      <c r="AI261" s="1">
        <f t="shared" ref="AI261:AJ261" si="2345">SUM(E261,H261,K261)</f>
        <v>823</v>
      </c>
      <c r="AJ261" s="1">
        <f t="shared" si="2345"/>
        <v>1012</v>
      </c>
      <c r="AK261" s="1">
        <f t="shared" si="2308"/>
        <v>1835</v>
      </c>
      <c r="AL261" s="2">
        <f t="shared" ref="AL261:AN261" si="2346">AI261/Z261</f>
        <v>0.87089947089947095</v>
      </c>
      <c r="AM261" s="2">
        <f t="shared" si="2346"/>
        <v>0.82544861337683528</v>
      </c>
      <c r="AN261" s="2">
        <f t="shared" si="2346"/>
        <v>0.84523261169967756</v>
      </c>
      <c r="AO261" s="2">
        <f t="shared" ref="AO261:AQ261" si="2347">E261/Z261</f>
        <v>0.15449735449735449</v>
      </c>
      <c r="AP261" s="2">
        <f t="shared" si="2347"/>
        <v>7.096247960848287E-2</v>
      </c>
      <c r="AQ261" s="2">
        <f t="shared" si="2347"/>
        <v>0.10732381391064026</v>
      </c>
      <c r="AR261" s="2">
        <f t="shared" si="2311"/>
        <v>0.1312169312169312</v>
      </c>
      <c r="AS261" s="2">
        <f t="shared" ref="AS261:AT261" si="2348">R261/AA261</f>
        <v>0.10114192495921696</v>
      </c>
      <c r="AT261" s="2">
        <f t="shared" si="2348"/>
        <v>8.6135421464762787E-2</v>
      </c>
      <c r="AU261" s="2">
        <f t="shared" ref="AU261:AW261" si="2349">T261/W261</f>
        <v>1.3569937369519834E-2</v>
      </c>
      <c r="AV261" s="2">
        <f t="shared" si="2322"/>
        <v>1.2087026591458501E-2</v>
      </c>
      <c r="AW261" s="2">
        <f t="shared" si="2322"/>
        <v>1.2733060482037289E-2</v>
      </c>
    </row>
    <row r="262" spans="1:49" ht="13" x14ac:dyDescent="0.15">
      <c r="A262" s="1">
        <v>2023</v>
      </c>
      <c r="B262" s="1" t="s">
        <v>49</v>
      </c>
      <c r="C262" s="1" t="s">
        <v>52</v>
      </c>
      <c r="D262" s="1" t="s">
        <v>57</v>
      </c>
      <c r="E262" s="1">
        <v>641</v>
      </c>
      <c r="F262" s="1">
        <v>520</v>
      </c>
      <c r="G262" s="1">
        <v>1161</v>
      </c>
      <c r="H262" s="1">
        <v>1754</v>
      </c>
      <c r="I262" s="1">
        <v>2086</v>
      </c>
      <c r="J262" s="1">
        <v>3840</v>
      </c>
      <c r="K262" s="1">
        <v>575</v>
      </c>
      <c r="L262" s="1">
        <v>987</v>
      </c>
      <c r="M262" s="1">
        <v>1562</v>
      </c>
      <c r="N262" s="1">
        <v>170</v>
      </c>
      <c r="O262" s="1">
        <v>269</v>
      </c>
      <c r="P262" s="1">
        <v>439</v>
      </c>
      <c r="Q262" s="1">
        <v>127</v>
      </c>
      <c r="R262" s="1">
        <v>223</v>
      </c>
      <c r="S262" s="1">
        <v>350</v>
      </c>
      <c r="T262" s="1">
        <v>49</v>
      </c>
      <c r="U262" s="1">
        <v>41</v>
      </c>
      <c r="V262" s="1">
        <v>90</v>
      </c>
      <c r="W262" s="1">
        <f t="shared" ref="W262:X262" si="2350">SUM(E262,H262,K262,N262,Q262,T262)</f>
        <v>3316</v>
      </c>
      <c r="X262" s="1">
        <f t="shared" si="2350"/>
        <v>4126</v>
      </c>
      <c r="Y262" s="1">
        <f t="shared" si="2301"/>
        <v>7442</v>
      </c>
      <c r="Z262" s="1">
        <f t="shared" ref="Z262:AA262" si="2351">W262-T262</f>
        <v>3267</v>
      </c>
      <c r="AA262" s="1">
        <f t="shared" si="2351"/>
        <v>4085</v>
      </c>
      <c r="AB262" s="1">
        <f t="shared" si="2303"/>
        <v>7352</v>
      </c>
      <c r="AC262" s="1">
        <f t="shared" ref="AC262:AD262" si="2352">SUM(E262,H262,K262,N262)</f>
        <v>3140</v>
      </c>
      <c r="AD262" s="1">
        <f t="shared" si="2352"/>
        <v>3862</v>
      </c>
      <c r="AE262" s="1">
        <f t="shared" si="2305"/>
        <v>7002</v>
      </c>
      <c r="AF262" s="2">
        <f t="shared" ref="AF262:AH262" si="2353">AC262/Z262</f>
        <v>0.96112641567187018</v>
      </c>
      <c r="AG262" s="2">
        <f t="shared" si="2353"/>
        <v>0.94541003671970625</v>
      </c>
      <c r="AH262" s="2">
        <f t="shared" si="2353"/>
        <v>0.95239390642002175</v>
      </c>
      <c r="AI262" s="1">
        <f t="shared" ref="AI262:AJ262" si="2354">SUM(E262,H262,K262)</f>
        <v>2970</v>
      </c>
      <c r="AJ262" s="1">
        <f t="shared" si="2354"/>
        <v>3593</v>
      </c>
      <c r="AK262" s="1">
        <f t="shared" si="2308"/>
        <v>6563</v>
      </c>
      <c r="AL262" s="2">
        <f t="shared" ref="AL262:AN262" si="2355">AI262/Z262</f>
        <v>0.90909090909090906</v>
      </c>
      <c r="AM262" s="2">
        <f t="shared" si="2355"/>
        <v>0.87955936352509179</v>
      </c>
      <c r="AN262" s="2">
        <f t="shared" si="2355"/>
        <v>0.89268226332970624</v>
      </c>
      <c r="AO262" s="2">
        <f t="shared" ref="AO262:AQ262" si="2356">E262/Z262</f>
        <v>0.19620446893174165</v>
      </c>
      <c r="AP262" s="2">
        <f t="shared" si="2356"/>
        <v>0.12729498164014688</v>
      </c>
      <c r="AQ262" s="2">
        <f t="shared" si="2356"/>
        <v>0.15791621327529923</v>
      </c>
      <c r="AR262" s="2">
        <f t="shared" si="2311"/>
        <v>6.8258340985613716E-2</v>
      </c>
      <c r="AS262" s="2">
        <f t="shared" ref="AS262:AT262" si="2357">R262/AA262</f>
        <v>5.4589963280293759E-2</v>
      </c>
      <c r="AT262" s="2">
        <f t="shared" si="2357"/>
        <v>4.7606093579978234E-2</v>
      </c>
      <c r="AU262" s="2">
        <f t="shared" ref="AU262:AW262" si="2358">T262/W262</f>
        <v>1.4776839565741858E-2</v>
      </c>
      <c r="AV262" s="2">
        <f t="shared" si="2322"/>
        <v>9.9369849733397971E-3</v>
      </c>
      <c r="AW262" s="2">
        <f t="shared" si="2322"/>
        <v>1.209352324643913E-2</v>
      </c>
    </row>
    <row r="263" spans="1:49" ht="13" x14ac:dyDescent="0.15">
      <c r="A263" s="1">
        <v>2023</v>
      </c>
      <c r="B263" s="1" t="s">
        <v>49</v>
      </c>
      <c r="C263" s="1" t="s">
        <v>54</v>
      </c>
      <c r="D263" s="1" t="s">
        <v>58</v>
      </c>
      <c r="E263" s="1">
        <v>270</v>
      </c>
      <c r="F263" s="1">
        <v>210</v>
      </c>
      <c r="G263" s="1">
        <v>480</v>
      </c>
      <c r="H263" s="1">
        <v>731</v>
      </c>
      <c r="I263" s="1">
        <v>829</v>
      </c>
      <c r="J263" s="1">
        <v>1560</v>
      </c>
      <c r="K263" s="1">
        <v>145</v>
      </c>
      <c r="L263" s="1">
        <v>224</v>
      </c>
      <c r="M263" s="1">
        <v>369</v>
      </c>
      <c r="N263" s="1">
        <v>45</v>
      </c>
      <c r="O263" s="1">
        <v>73</v>
      </c>
      <c r="P263" s="1">
        <v>118</v>
      </c>
      <c r="Q263" s="1">
        <v>34</v>
      </c>
      <c r="R263" s="1">
        <v>48</v>
      </c>
      <c r="S263" s="1">
        <v>82</v>
      </c>
      <c r="T263" s="1">
        <v>31</v>
      </c>
      <c r="U263" s="1">
        <v>32</v>
      </c>
      <c r="V263" s="1">
        <v>63</v>
      </c>
      <c r="W263" s="1">
        <f t="shared" ref="W263:X263" si="2359">SUM(E263,H263,K263,N263,Q263,T263)</f>
        <v>1256</v>
      </c>
      <c r="X263" s="1">
        <f t="shared" si="2359"/>
        <v>1416</v>
      </c>
      <c r="Y263" s="1">
        <f t="shared" si="2301"/>
        <v>2672</v>
      </c>
      <c r="Z263" s="1">
        <f t="shared" ref="Z263:AA263" si="2360">W263-T263</f>
        <v>1225</v>
      </c>
      <c r="AA263" s="1">
        <f t="shared" si="2360"/>
        <v>1384</v>
      </c>
      <c r="AB263" s="1">
        <f t="shared" si="2303"/>
        <v>2609</v>
      </c>
      <c r="AC263" s="1">
        <f t="shared" ref="AC263:AD263" si="2361">SUM(E263,H263,K263,N263)</f>
        <v>1191</v>
      </c>
      <c r="AD263" s="1">
        <f t="shared" si="2361"/>
        <v>1336</v>
      </c>
      <c r="AE263" s="1">
        <f t="shared" si="2305"/>
        <v>2527</v>
      </c>
      <c r="AF263" s="2">
        <f t="shared" ref="AF263:AH263" si="2362">AC263/Z263</f>
        <v>0.97224489795918367</v>
      </c>
      <c r="AG263" s="2">
        <f t="shared" si="2362"/>
        <v>0.96531791907514453</v>
      </c>
      <c r="AH263" s="2">
        <f t="shared" si="2362"/>
        <v>0.96857033346109622</v>
      </c>
      <c r="AI263" s="1">
        <f t="shared" ref="AI263:AJ263" si="2363">SUM(E263,H263,K263)</f>
        <v>1146</v>
      </c>
      <c r="AJ263" s="1">
        <f t="shared" si="2363"/>
        <v>1263</v>
      </c>
      <c r="AK263" s="1">
        <f t="shared" si="2308"/>
        <v>2409</v>
      </c>
      <c r="AL263" s="2">
        <f t="shared" ref="AL263:AN263" si="2364">AI263/Z263</f>
        <v>0.93551020408163266</v>
      </c>
      <c r="AM263" s="2">
        <f t="shared" si="2364"/>
        <v>0.91257225433526012</v>
      </c>
      <c r="AN263" s="2">
        <f t="shared" si="2364"/>
        <v>0.92334227673438096</v>
      </c>
      <c r="AO263" s="2">
        <f t="shared" ref="AO263:AQ263" si="2365">E263/Z263</f>
        <v>0.22040816326530613</v>
      </c>
      <c r="AP263" s="2">
        <f t="shared" si="2365"/>
        <v>0.15173410404624277</v>
      </c>
      <c r="AQ263" s="2">
        <f t="shared" si="2365"/>
        <v>0.18397853583748563</v>
      </c>
      <c r="AR263" s="2">
        <f t="shared" si="2311"/>
        <v>3.9183673469387753E-2</v>
      </c>
      <c r="AS263" s="2">
        <f t="shared" ref="AS263:AT263" si="2366">R263/AA263</f>
        <v>3.4682080924855488E-2</v>
      </c>
      <c r="AT263" s="2">
        <f t="shared" si="2366"/>
        <v>3.1429666538903792E-2</v>
      </c>
      <c r="AU263" s="2">
        <f t="shared" ref="AU263:AW263" si="2367">T263/W263</f>
        <v>2.4681528662420384E-2</v>
      </c>
      <c r="AV263" s="2">
        <f t="shared" si="2322"/>
        <v>2.2598870056497175E-2</v>
      </c>
      <c r="AW263" s="2">
        <f t="shared" si="2322"/>
        <v>2.3577844311377244E-2</v>
      </c>
    </row>
    <row r="264" spans="1:49" ht="13" x14ac:dyDescent="0.15">
      <c r="A264" s="1">
        <v>2023</v>
      </c>
      <c r="B264" s="1" t="s">
        <v>49</v>
      </c>
      <c r="C264" s="1" t="s">
        <v>59</v>
      </c>
      <c r="D264" s="1" t="s">
        <v>60</v>
      </c>
      <c r="E264" s="1">
        <v>76</v>
      </c>
      <c r="F264" s="1">
        <v>41</v>
      </c>
      <c r="G264" s="1">
        <v>117</v>
      </c>
      <c r="H264" s="1">
        <v>960</v>
      </c>
      <c r="I264" s="1">
        <v>826</v>
      </c>
      <c r="J264" s="1">
        <v>1786</v>
      </c>
      <c r="K264" s="1">
        <v>837</v>
      </c>
      <c r="L264" s="1">
        <v>1058</v>
      </c>
      <c r="M264" s="1">
        <v>1895</v>
      </c>
      <c r="N264" s="1">
        <v>314</v>
      </c>
      <c r="O264" s="1">
        <v>478</v>
      </c>
      <c r="P264" s="1">
        <v>792</v>
      </c>
      <c r="Q264" s="1">
        <v>568</v>
      </c>
      <c r="R264" s="1">
        <v>867</v>
      </c>
      <c r="S264" s="1">
        <v>1435</v>
      </c>
      <c r="T264" s="1">
        <v>25</v>
      </c>
      <c r="U264" s="1">
        <v>30</v>
      </c>
      <c r="V264" s="1">
        <v>55</v>
      </c>
      <c r="W264" s="1">
        <f t="shared" ref="W264:X264" si="2368">SUM(E264,H264,K264,N264,Q264,T264)</f>
        <v>2780</v>
      </c>
      <c r="X264" s="1">
        <f t="shared" si="2368"/>
        <v>3300</v>
      </c>
      <c r="Y264" s="1">
        <f t="shared" si="2301"/>
        <v>6080</v>
      </c>
      <c r="Z264" s="1">
        <f t="shared" ref="Z264:AA264" si="2369">W264-T264</f>
        <v>2755</v>
      </c>
      <c r="AA264" s="1">
        <f t="shared" si="2369"/>
        <v>3270</v>
      </c>
      <c r="AB264" s="1">
        <f t="shared" si="2303"/>
        <v>6025</v>
      </c>
      <c r="AC264" s="1">
        <f t="shared" ref="AC264:AD264" si="2370">SUM(E264,H264,K264,N264)</f>
        <v>2187</v>
      </c>
      <c r="AD264" s="1">
        <f t="shared" si="2370"/>
        <v>2403</v>
      </c>
      <c r="AE264" s="1">
        <f t="shared" si="2305"/>
        <v>4590</v>
      </c>
      <c r="AF264" s="2">
        <f t="shared" ref="AF264:AH264" si="2371">AC264/Z264</f>
        <v>0.79382940108892919</v>
      </c>
      <c r="AG264" s="2">
        <f t="shared" si="2371"/>
        <v>0.73486238532110093</v>
      </c>
      <c r="AH264" s="2">
        <f t="shared" si="2371"/>
        <v>0.7618257261410788</v>
      </c>
      <c r="AI264" s="1">
        <f t="shared" ref="AI264:AJ264" si="2372">SUM(E264,H264,K264)</f>
        <v>1873</v>
      </c>
      <c r="AJ264" s="1">
        <f t="shared" si="2372"/>
        <v>1925</v>
      </c>
      <c r="AK264" s="1">
        <f t="shared" si="2308"/>
        <v>3798</v>
      </c>
      <c r="AL264" s="2">
        <f t="shared" ref="AL264:AN264" si="2373">AI264/Z264</f>
        <v>0.67985480943738652</v>
      </c>
      <c r="AM264" s="2">
        <f t="shared" si="2373"/>
        <v>0.58868501529051986</v>
      </c>
      <c r="AN264" s="2">
        <f t="shared" si="2373"/>
        <v>0.63037344398340245</v>
      </c>
      <c r="AO264" s="2">
        <f t="shared" ref="AO264:AQ264" si="2374">E264/Z264</f>
        <v>2.7586206896551724E-2</v>
      </c>
      <c r="AP264" s="2">
        <f t="shared" si="2374"/>
        <v>1.2538226299694189E-2</v>
      </c>
      <c r="AQ264" s="2">
        <f t="shared" si="2374"/>
        <v>1.9419087136929459E-2</v>
      </c>
      <c r="AR264" s="2">
        <f t="shared" si="2311"/>
        <v>0.31470054446460982</v>
      </c>
      <c r="AS264" s="2">
        <f t="shared" ref="AS264:AT264" si="2375">R264/AA264</f>
        <v>0.26513761467889907</v>
      </c>
      <c r="AT264" s="2">
        <f t="shared" si="2375"/>
        <v>0.23817427385892115</v>
      </c>
      <c r="AU264" s="2">
        <f t="shared" ref="AU264:AW264" si="2376">T264/W264</f>
        <v>8.9928057553956831E-3</v>
      </c>
      <c r="AV264" s="2">
        <f t="shared" si="2322"/>
        <v>9.0909090909090905E-3</v>
      </c>
      <c r="AW264" s="2">
        <f t="shared" si="2322"/>
        <v>9.0460526315789477E-3</v>
      </c>
    </row>
    <row r="265" spans="1:49" ht="13" x14ac:dyDescent="0.15">
      <c r="A265" s="1">
        <v>2023</v>
      </c>
      <c r="B265" s="1" t="s">
        <v>49</v>
      </c>
      <c r="C265" s="1" t="s">
        <v>54</v>
      </c>
      <c r="D265" s="1" t="s">
        <v>61</v>
      </c>
      <c r="E265" s="1">
        <v>919</v>
      </c>
      <c r="F265" s="1">
        <v>782</v>
      </c>
      <c r="G265" s="1">
        <v>1701</v>
      </c>
      <c r="H265" s="1">
        <v>1502</v>
      </c>
      <c r="I265" s="1">
        <v>1740</v>
      </c>
      <c r="J265" s="1">
        <v>3242</v>
      </c>
      <c r="K265" s="1">
        <v>263</v>
      </c>
      <c r="L265" s="1">
        <v>423</v>
      </c>
      <c r="M265" s="1">
        <v>686</v>
      </c>
      <c r="N265" s="1">
        <v>106</v>
      </c>
      <c r="O265" s="1">
        <v>127</v>
      </c>
      <c r="P265" s="1">
        <v>233</v>
      </c>
      <c r="Q265" s="1">
        <v>113</v>
      </c>
      <c r="R265" s="1">
        <v>96</v>
      </c>
      <c r="S265" s="1">
        <v>209</v>
      </c>
      <c r="T265" s="1">
        <v>39</v>
      </c>
      <c r="U265" s="1">
        <v>30</v>
      </c>
      <c r="V265" s="1">
        <v>69</v>
      </c>
      <c r="W265" s="1">
        <f t="shared" ref="W265:X265" si="2377">SUM(E265,H265,K265,N265,Q265,T265)</f>
        <v>2942</v>
      </c>
      <c r="X265" s="1">
        <f t="shared" si="2377"/>
        <v>3198</v>
      </c>
      <c r="Y265" s="1">
        <f t="shared" si="2301"/>
        <v>6140</v>
      </c>
      <c r="Z265" s="1">
        <f t="shared" ref="Z265:AA265" si="2378">W265-T265</f>
        <v>2903</v>
      </c>
      <c r="AA265" s="1">
        <f t="shared" si="2378"/>
        <v>3168</v>
      </c>
      <c r="AB265" s="1">
        <f t="shared" si="2303"/>
        <v>6071</v>
      </c>
      <c r="AC265" s="1">
        <f t="shared" ref="AC265:AD265" si="2379">SUM(E265,H265,K265,N265)</f>
        <v>2790</v>
      </c>
      <c r="AD265" s="1">
        <f t="shared" si="2379"/>
        <v>3072</v>
      </c>
      <c r="AE265" s="1">
        <f t="shared" si="2305"/>
        <v>5862</v>
      </c>
      <c r="AF265" s="2">
        <f t="shared" ref="AF265:AH265" si="2380">AC265/Z265</f>
        <v>0.96107475025835343</v>
      </c>
      <c r="AG265" s="2">
        <f t="shared" si="2380"/>
        <v>0.96969696969696972</v>
      </c>
      <c r="AH265" s="2">
        <f t="shared" si="2380"/>
        <v>0.96557404052050733</v>
      </c>
      <c r="AI265" s="1">
        <f t="shared" ref="AI265:AJ265" si="2381">SUM(E265,H265,K265)</f>
        <v>2684</v>
      </c>
      <c r="AJ265" s="1">
        <f t="shared" si="2381"/>
        <v>2945</v>
      </c>
      <c r="AK265" s="1">
        <f t="shared" si="2308"/>
        <v>5629</v>
      </c>
      <c r="AL265" s="2">
        <f t="shared" ref="AL265:AN265" si="2382">AI265/Z265</f>
        <v>0.92456079917326905</v>
      </c>
      <c r="AM265" s="2">
        <f t="shared" si="2382"/>
        <v>0.92960858585858586</v>
      </c>
      <c r="AN265" s="2">
        <f t="shared" si="2382"/>
        <v>0.9271948608137045</v>
      </c>
      <c r="AO265" s="2">
        <f t="shared" ref="AO265:AQ265" si="2383">E265/Z265</f>
        <v>0.31656906648294869</v>
      </c>
      <c r="AP265" s="2">
        <f t="shared" si="2383"/>
        <v>0.24684343434343434</v>
      </c>
      <c r="AQ265" s="2">
        <f t="shared" si="2383"/>
        <v>0.28018448361060783</v>
      </c>
      <c r="AR265" s="2">
        <f t="shared" si="2311"/>
        <v>3.3069238718566998E-2</v>
      </c>
      <c r="AS265" s="2">
        <f t="shared" ref="AS265:AT265" si="2384">R265/AA265</f>
        <v>3.0303030303030304E-2</v>
      </c>
      <c r="AT265" s="2">
        <f t="shared" si="2384"/>
        <v>3.4425959479492667E-2</v>
      </c>
      <c r="AU265" s="2">
        <f t="shared" ref="AU265:AW265" si="2385">T265/W265</f>
        <v>1.3256288239292998E-2</v>
      </c>
      <c r="AV265" s="2">
        <f t="shared" si="2322"/>
        <v>9.3808630393996256E-3</v>
      </c>
      <c r="AW265" s="2">
        <f t="shared" si="2322"/>
        <v>1.1237785016286646E-2</v>
      </c>
    </row>
    <row r="266" spans="1:49" ht="13" x14ac:dyDescent="0.15">
      <c r="A266" s="1">
        <v>2023</v>
      </c>
      <c r="B266" s="1" t="s">
        <v>49</v>
      </c>
      <c r="C266" s="1" t="s">
        <v>62</v>
      </c>
      <c r="D266" s="1" t="s">
        <v>63</v>
      </c>
      <c r="E266" s="1">
        <v>89</v>
      </c>
      <c r="F266" s="1">
        <v>81</v>
      </c>
      <c r="G266" s="1">
        <v>170</v>
      </c>
      <c r="H266" s="1">
        <v>708</v>
      </c>
      <c r="I266" s="1">
        <v>698</v>
      </c>
      <c r="J266" s="1">
        <v>1406</v>
      </c>
      <c r="K266" s="1">
        <v>674</v>
      </c>
      <c r="L266" s="1">
        <v>855</v>
      </c>
      <c r="M266" s="1">
        <v>1529</v>
      </c>
      <c r="N266" s="1">
        <v>318</v>
      </c>
      <c r="O266" s="1">
        <v>401</v>
      </c>
      <c r="P266" s="1">
        <v>719</v>
      </c>
      <c r="Q266" s="1">
        <v>536</v>
      </c>
      <c r="R266" s="1">
        <v>696</v>
      </c>
      <c r="S266" s="1">
        <v>1232</v>
      </c>
      <c r="T266" s="1">
        <v>56</v>
      </c>
      <c r="U266" s="1">
        <v>61</v>
      </c>
      <c r="V266" s="1">
        <v>117</v>
      </c>
      <c r="W266" s="1">
        <f t="shared" ref="W266:X266" si="2386">SUM(E266,H266,K266,N266,Q266,T266)</f>
        <v>2381</v>
      </c>
      <c r="X266" s="1">
        <f t="shared" si="2386"/>
        <v>2792</v>
      </c>
      <c r="Y266" s="1">
        <f t="shared" si="2301"/>
        <v>5173</v>
      </c>
      <c r="Z266" s="1">
        <f t="shared" ref="Z266:AA266" si="2387">W266-T266</f>
        <v>2325</v>
      </c>
      <c r="AA266" s="1">
        <f t="shared" si="2387"/>
        <v>2731</v>
      </c>
      <c r="AB266" s="1">
        <f t="shared" si="2303"/>
        <v>5056</v>
      </c>
      <c r="AC266" s="1">
        <f t="shared" ref="AC266:AD266" si="2388">SUM(E266,H266,K266,N266)</f>
        <v>1789</v>
      </c>
      <c r="AD266" s="1">
        <f t="shared" si="2388"/>
        <v>2035</v>
      </c>
      <c r="AE266" s="1">
        <f t="shared" si="2305"/>
        <v>3824</v>
      </c>
      <c r="AF266" s="2">
        <f t="shared" ref="AF266:AH266" si="2389">AC266/Z266</f>
        <v>0.7694623655913978</v>
      </c>
      <c r="AG266" s="2">
        <f t="shared" si="2389"/>
        <v>0.7451482973269864</v>
      </c>
      <c r="AH266" s="2">
        <f t="shared" si="2389"/>
        <v>0.75632911392405067</v>
      </c>
      <c r="AI266" s="1">
        <f t="shared" ref="AI266:AJ266" si="2390">SUM(E266,H266,K266)</f>
        <v>1471</v>
      </c>
      <c r="AJ266" s="1">
        <f t="shared" si="2390"/>
        <v>1634</v>
      </c>
      <c r="AK266" s="1">
        <f t="shared" si="2308"/>
        <v>3105</v>
      </c>
      <c r="AL266" s="2">
        <f t="shared" ref="AL266:AN266" si="2391">AI266/Z266</f>
        <v>0.63268817204301075</v>
      </c>
      <c r="AM266" s="2">
        <f t="shared" si="2391"/>
        <v>0.59831563529842546</v>
      </c>
      <c r="AN266" s="2">
        <f t="shared" si="2391"/>
        <v>0.614121835443038</v>
      </c>
      <c r="AO266" s="2">
        <f t="shared" ref="AO266:AQ266" si="2392">E266/Z266</f>
        <v>3.8279569892473116E-2</v>
      </c>
      <c r="AP266" s="2">
        <f t="shared" si="2392"/>
        <v>2.965946539729037E-2</v>
      </c>
      <c r="AQ266" s="2">
        <f t="shared" si="2392"/>
        <v>3.3623417721518986E-2</v>
      </c>
      <c r="AR266" s="2">
        <f t="shared" si="2311"/>
        <v>0.29935483870967744</v>
      </c>
      <c r="AS266" s="2">
        <f t="shared" ref="AS266:AT266" si="2393">R266/AA266</f>
        <v>0.25485170267301355</v>
      </c>
      <c r="AT266" s="2">
        <f t="shared" si="2393"/>
        <v>0.24367088607594936</v>
      </c>
      <c r="AU266" s="2">
        <f t="shared" ref="AU266:AW266" si="2394">T266/W266</f>
        <v>2.3519529609407813E-2</v>
      </c>
      <c r="AV266" s="2">
        <f t="shared" si="2322"/>
        <v>2.184813753581662E-2</v>
      </c>
      <c r="AW266" s="2">
        <f t="shared" si="2322"/>
        <v>2.2617436690508409E-2</v>
      </c>
    </row>
    <row r="267" spans="1:49" ht="13" x14ac:dyDescent="0.15">
      <c r="A267" s="1">
        <v>2023</v>
      </c>
      <c r="B267" s="1" t="s">
        <v>49</v>
      </c>
      <c r="C267" s="1" t="s">
        <v>59</v>
      </c>
      <c r="D267" s="1" t="s">
        <v>64</v>
      </c>
      <c r="E267" s="1">
        <v>249</v>
      </c>
      <c r="F267" s="1">
        <v>177</v>
      </c>
      <c r="G267" s="1">
        <v>426</v>
      </c>
      <c r="H267" s="1">
        <v>1431</v>
      </c>
      <c r="I267" s="1">
        <v>1327</v>
      </c>
      <c r="J267" s="1">
        <v>2758</v>
      </c>
      <c r="K267" s="1">
        <v>1019</v>
      </c>
      <c r="L267" s="1">
        <v>1251</v>
      </c>
      <c r="M267" s="1">
        <v>2270</v>
      </c>
      <c r="N267" s="1">
        <v>328</v>
      </c>
      <c r="O267" s="1">
        <v>526</v>
      </c>
      <c r="P267" s="1">
        <v>854</v>
      </c>
      <c r="Q267" s="1">
        <v>408</v>
      </c>
      <c r="R267" s="1">
        <v>662</v>
      </c>
      <c r="S267" s="1">
        <v>1070</v>
      </c>
      <c r="T267" s="1">
        <v>26</v>
      </c>
      <c r="U267" s="1">
        <v>34</v>
      </c>
      <c r="V267" s="1">
        <v>60</v>
      </c>
      <c r="W267" s="1">
        <f t="shared" ref="W267:X267" si="2395">SUM(E267,H267,K267,N267,Q267,T267)</f>
        <v>3461</v>
      </c>
      <c r="X267" s="1">
        <f t="shared" si="2395"/>
        <v>3977</v>
      </c>
      <c r="Y267" s="1">
        <f t="shared" si="2301"/>
        <v>7438</v>
      </c>
      <c r="Z267" s="1">
        <f t="shared" ref="Z267:AA267" si="2396">W267-T267</f>
        <v>3435</v>
      </c>
      <c r="AA267" s="1">
        <f t="shared" si="2396"/>
        <v>3943</v>
      </c>
      <c r="AB267" s="1">
        <f t="shared" si="2303"/>
        <v>7378</v>
      </c>
      <c r="AC267" s="1">
        <f t="shared" ref="AC267:AD267" si="2397">SUM(E267,H267,K267,N267)</f>
        <v>3027</v>
      </c>
      <c r="AD267" s="1">
        <f t="shared" si="2397"/>
        <v>3281</v>
      </c>
      <c r="AE267" s="1">
        <f t="shared" si="2305"/>
        <v>6308</v>
      </c>
      <c r="AF267" s="2">
        <f t="shared" ref="AF267:AH267" si="2398">AC267/Z267</f>
        <v>0.88122270742358078</v>
      </c>
      <c r="AG267" s="2">
        <f t="shared" si="2398"/>
        <v>0.83210753233578494</v>
      </c>
      <c r="AH267" s="2">
        <f t="shared" si="2398"/>
        <v>0.85497424776362163</v>
      </c>
      <c r="AI267" s="1">
        <f t="shared" ref="AI267:AJ267" si="2399">SUM(E267,H267,K267)</f>
        <v>2699</v>
      </c>
      <c r="AJ267" s="1">
        <f t="shared" si="2399"/>
        <v>2755</v>
      </c>
      <c r="AK267" s="1">
        <f t="shared" si="2308"/>
        <v>5454</v>
      </c>
      <c r="AL267" s="2">
        <f t="shared" ref="AL267:AN267" si="2400">AI267/Z267</f>
        <v>0.78573508005822412</v>
      </c>
      <c r="AM267" s="2">
        <f t="shared" si="2400"/>
        <v>0.69870656860258684</v>
      </c>
      <c r="AN267" s="2">
        <f t="shared" si="2400"/>
        <v>0.73922472214692325</v>
      </c>
      <c r="AO267" s="2">
        <f t="shared" ref="AO267:AQ267" si="2401">E267/Z267</f>
        <v>7.2489082969432309E-2</v>
      </c>
      <c r="AP267" s="2">
        <f t="shared" si="2401"/>
        <v>4.4889677910220645E-2</v>
      </c>
      <c r="AQ267" s="2">
        <f t="shared" si="2401"/>
        <v>5.7739224722146924E-2</v>
      </c>
      <c r="AR267" s="2">
        <f t="shared" si="2311"/>
        <v>0.19272197962154294</v>
      </c>
      <c r="AS267" s="2">
        <f t="shared" ref="AS267:AT267" si="2402">R267/AA267</f>
        <v>0.16789246766421506</v>
      </c>
      <c r="AT267" s="2">
        <f t="shared" si="2402"/>
        <v>0.14502575223637842</v>
      </c>
      <c r="AU267" s="2">
        <f t="shared" ref="AU267:AW267" si="2403">T267/W267</f>
        <v>7.512279687951459E-3</v>
      </c>
      <c r="AV267" s="2">
        <f t="shared" si="2322"/>
        <v>8.5491576565250183E-3</v>
      </c>
      <c r="AW267" s="2">
        <f t="shared" si="2322"/>
        <v>8.0666845926324286E-3</v>
      </c>
    </row>
    <row r="268" spans="1:49" ht="13" x14ac:dyDescent="0.15">
      <c r="A268" s="1">
        <v>2023</v>
      </c>
      <c r="B268" s="1" t="s">
        <v>49</v>
      </c>
      <c r="C268" s="1" t="s">
        <v>50</v>
      </c>
      <c r="D268" s="1" t="s">
        <v>65</v>
      </c>
      <c r="E268" s="1">
        <v>260</v>
      </c>
      <c r="F268" s="1">
        <v>189</v>
      </c>
      <c r="G268" s="1">
        <v>449</v>
      </c>
      <c r="H268" s="1">
        <v>1044</v>
      </c>
      <c r="I268" s="1">
        <v>1131</v>
      </c>
      <c r="J268" s="1">
        <v>2175</v>
      </c>
      <c r="K268" s="1">
        <v>456</v>
      </c>
      <c r="L268" s="1">
        <v>729</v>
      </c>
      <c r="M268" s="1">
        <v>1185</v>
      </c>
      <c r="N268" s="1">
        <v>202</v>
      </c>
      <c r="O268" s="1">
        <v>327</v>
      </c>
      <c r="P268" s="1">
        <v>529</v>
      </c>
      <c r="Q268" s="1">
        <v>267</v>
      </c>
      <c r="R268" s="1">
        <v>401</v>
      </c>
      <c r="S268" s="1">
        <v>668</v>
      </c>
      <c r="T268" s="1">
        <v>50</v>
      </c>
      <c r="U268" s="1">
        <v>78</v>
      </c>
      <c r="V268" s="1">
        <v>128</v>
      </c>
      <c r="W268" s="1">
        <f t="shared" ref="W268:X268" si="2404">SUM(E268,H268,K268,N268,Q268,T268)</f>
        <v>2279</v>
      </c>
      <c r="X268" s="1">
        <f t="shared" si="2404"/>
        <v>2855</v>
      </c>
      <c r="Y268" s="1">
        <f t="shared" si="2301"/>
        <v>5134</v>
      </c>
      <c r="Z268" s="1">
        <f t="shared" ref="Z268:AA268" si="2405">W268-T268</f>
        <v>2229</v>
      </c>
      <c r="AA268" s="1">
        <f t="shared" si="2405"/>
        <v>2777</v>
      </c>
      <c r="AB268" s="1">
        <f t="shared" si="2303"/>
        <v>5006</v>
      </c>
      <c r="AC268" s="1">
        <f t="shared" ref="AC268:AD268" si="2406">SUM(E268,H268,K268,N268)</f>
        <v>1962</v>
      </c>
      <c r="AD268" s="1">
        <f t="shared" si="2406"/>
        <v>2376</v>
      </c>
      <c r="AE268" s="1">
        <f t="shared" si="2305"/>
        <v>4338</v>
      </c>
      <c r="AF268" s="2">
        <f t="shared" ref="AF268:AH268" si="2407">AC268/Z268</f>
        <v>0.88021534320323014</v>
      </c>
      <c r="AG268" s="2">
        <f t="shared" si="2407"/>
        <v>0.85559956787900615</v>
      </c>
      <c r="AH268" s="2">
        <f t="shared" si="2407"/>
        <v>0.86656012784658409</v>
      </c>
      <c r="AI268" s="1">
        <f t="shared" ref="AI268:AJ268" si="2408">SUM(E268,H268,K268)</f>
        <v>1760</v>
      </c>
      <c r="AJ268" s="1">
        <f t="shared" si="2408"/>
        <v>2049</v>
      </c>
      <c r="AK268" s="1">
        <f t="shared" si="2308"/>
        <v>3809</v>
      </c>
      <c r="AL268" s="2">
        <f t="shared" ref="AL268:AN268" si="2409">AI268/Z268</f>
        <v>0.78959174517720954</v>
      </c>
      <c r="AM268" s="2">
        <f t="shared" si="2409"/>
        <v>0.73784659704717326</v>
      </c>
      <c r="AN268" s="2">
        <f t="shared" si="2409"/>
        <v>0.76088693567718735</v>
      </c>
      <c r="AO268" s="2">
        <f t="shared" ref="AO268:AQ268" si="2410">E268/Z268</f>
        <v>0.11664423508299686</v>
      </c>
      <c r="AP268" s="2">
        <f t="shared" si="2410"/>
        <v>6.8059056535830026E-2</v>
      </c>
      <c r="AQ268" s="2">
        <f t="shared" si="2410"/>
        <v>8.9692369157011592E-2</v>
      </c>
      <c r="AR268" s="2">
        <f t="shared" si="2311"/>
        <v>0.17990130103185284</v>
      </c>
      <c r="AS268" s="2">
        <f t="shared" ref="AS268:AT268" si="2411">R268/AA268</f>
        <v>0.14440043212099388</v>
      </c>
      <c r="AT268" s="2">
        <f t="shared" si="2411"/>
        <v>0.13343987215341591</v>
      </c>
      <c r="AU268" s="2">
        <f t="shared" ref="AU268:AW268" si="2412">T268/W268</f>
        <v>2.1939447125932425E-2</v>
      </c>
      <c r="AV268" s="2">
        <f t="shared" si="2322"/>
        <v>2.7320490367775833E-2</v>
      </c>
      <c r="AW268" s="2">
        <f t="shared" si="2322"/>
        <v>2.4931827035449942E-2</v>
      </c>
    </row>
    <row r="269" spans="1:49" ht="13" x14ac:dyDescent="0.15">
      <c r="A269" s="1">
        <v>2023</v>
      </c>
      <c r="B269" s="1" t="s">
        <v>66</v>
      </c>
      <c r="C269" s="1" t="s">
        <v>67</v>
      </c>
      <c r="D269" s="1" t="s">
        <v>68</v>
      </c>
      <c r="E269" s="1">
        <v>27</v>
      </c>
      <c r="F269" s="1">
        <v>5</v>
      </c>
      <c r="G269" s="1">
        <v>32</v>
      </c>
      <c r="H269" s="1">
        <v>1074</v>
      </c>
      <c r="I269" s="1">
        <v>320</v>
      </c>
      <c r="J269" s="1">
        <v>1394</v>
      </c>
      <c r="K269" s="1">
        <v>1007</v>
      </c>
      <c r="L269" s="1">
        <v>600</v>
      </c>
      <c r="M269" s="1">
        <v>1607</v>
      </c>
      <c r="N269" s="1">
        <v>509</v>
      </c>
      <c r="O269" s="1">
        <v>245</v>
      </c>
      <c r="P269" s="1">
        <v>754</v>
      </c>
      <c r="Q269" s="1">
        <v>562</v>
      </c>
      <c r="R269" s="1">
        <v>502</v>
      </c>
      <c r="S269" s="1">
        <v>1064</v>
      </c>
      <c r="T269" s="1">
        <v>106</v>
      </c>
      <c r="U269" s="1">
        <v>65</v>
      </c>
      <c r="V269" s="1">
        <v>171</v>
      </c>
      <c r="W269" s="1">
        <f t="shared" ref="W269:X269" si="2413">SUM(E269,H269,K269,N269,Q269,T269)</f>
        <v>3285</v>
      </c>
      <c r="X269" s="1">
        <f t="shared" si="2413"/>
        <v>1737</v>
      </c>
      <c r="Y269" s="1">
        <f t="shared" si="2301"/>
        <v>5022</v>
      </c>
      <c r="Z269" s="1">
        <f t="shared" ref="Z269:AA269" si="2414">W269-T269</f>
        <v>3179</v>
      </c>
      <c r="AA269" s="1">
        <f t="shared" si="2414"/>
        <v>1672</v>
      </c>
      <c r="AB269" s="1">
        <f t="shared" si="2303"/>
        <v>4851</v>
      </c>
      <c r="AC269" s="1">
        <f t="shared" ref="AC269:AD269" si="2415">SUM(E269,H269,K269,N269)</f>
        <v>2617</v>
      </c>
      <c r="AD269" s="1">
        <f t="shared" si="2415"/>
        <v>1170</v>
      </c>
      <c r="AE269" s="1">
        <f t="shared" si="2305"/>
        <v>3787</v>
      </c>
      <c r="AF269" s="2">
        <f t="shared" ref="AF269:AH269" si="2416">AC269/Z269</f>
        <v>0.82321484743630069</v>
      </c>
      <c r="AG269" s="2">
        <f t="shared" si="2416"/>
        <v>0.69976076555023925</v>
      </c>
      <c r="AH269" s="2">
        <f t="shared" si="2416"/>
        <v>0.78066378066378062</v>
      </c>
      <c r="AI269" s="1">
        <f t="shared" ref="AI269:AJ269" si="2417">SUM(E269,H269,K269)</f>
        <v>2108</v>
      </c>
      <c r="AJ269" s="1">
        <f t="shared" si="2417"/>
        <v>925</v>
      </c>
      <c r="AK269" s="1">
        <f t="shared" si="2308"/>
        <v>3033</v>
      </c>
      <c r="AL269" s="2">
        <f t="shared" ref="AL269:AN269" si="2418">AI269/Z269</f>
        <v>0.66310160427807485</v>
      </c>
      <c r="AM269" s="2">
        <f t="shared" si="2418"/>
        <v>0.55322966507177029</v>
      </c>
      <c r="AN269" s="2">
        <f t="shared" si="2418"/>
        <v>0.62523191094619668</v>
      </c>
      <c r="AO269" s="2">
        <f t="shared" ref="AO269:AQ269" si="2419">E269/Z269</f>
        <v>8.4932368669392889E-3</v>
      </c>
      <c r="AP269" s="2">
        <f t="shared" si="2419"/>
        <v>2.9904306220095694E-3</v>
      </c>
      <c r="AQ269" s="2">
        <f t="shared" si="2419"/>
        <v>6.5965780251494533E-3</v>
      </c>
      <c r="AR269" s="2">
        <f t="shared" si="2311"/>
        <v>0.15791129285938973</v>
      </c>
      <c r="AS269" s="2">
        <f t="shared" ref="AS269:AT269" si="2420">R269/AA269</f>
        <v>0.30023923444976075</v>
      </c>
      <c r="AT269" s="2">
        <f t="shared" si="2420"/>
        <v>0.21933621933621933</v>
      </c>
      <c r="AU269" s="2">
        <f t="shared" ref="AU269:AW269" si="2421">T269/W269</f>
        <v>3.2267884322678846E-2</v>
      </c>
      <c r="AV269" s="2">
        <f t="shared" si="2322"/>
        <v>3.7420840529648822E-2</v>
      </c>
      <c r="AW269" s="2">
        <f t="shared" si="2322"/>
        <v>3.4050179211469536E-2</v>
      </c>
    </row>
    <row r="270" spans="1:49" ht="13" x14ac:dyDescent="0.15">
      <c r="A270" s="1">
        <v>2023</v>
      </c>
      <c r="B270" s="1" t="s">
        <v>69</v>
      </c>
      <c r="C270" s="1" t="s">
        <v>70</v>
      </c>
      <c r="D270" s="1" t="s">
        <v>71</v>
      </c>
      <c r="E270" s="1">
        <v>374</v>
      </c>
      <c r="F270" s="1">
        <v>251</v>
      </c>
      <c r="G270" s="1">
        <v>625</v>
      </c>
      <c r="H270" s="1">
        <v>1813</v>
      </c>
      <c r="I270" s="1">
        <v>1642</v>
      </c>
      <c r="J270" s="1">
        <v>3455</v>
      </c>
      <c r="K270" s="1">
        <v>1275</v>
      </c>
      <c r="L270" s="1">
        <v>1421</v>
      </c>
      <c r="M270" s="1">
        <v>2696</v>
      </c>
      <c r="N270" s="1">
        <v>604</v>
      </c>
      <c r="O270" s="1">
        <v>726</v>
      </c>
      <c r="P270" s="1">
        <v>1330</v>
      </c>
      <c r="Q270" s="1">
        <v>833</v>
      </c>
      <c r="R270" s="1">
        <v>972</v>
      </c>
      <c r="S270" s="1">
        <v>1805</v>
      </c>
      <c r="T270" s="1">
        <v>55</v>
      </c>
      <c r="U270" s="1">
        <v>85</v>
      </c>
      <c r="V270" s="1">
        <v>140</v>
      </c>
      <c r="W270" s="1">
        <f t="shared" ref="W270:X270" si="2422">SUM(E270,H270,K270,N270,Q270,T270)</f>
        <v>4954</v>
      </c>
      <c r="X270" s="1">
        <f t="shared" si="2422"/>
        <v>5097</v>
      </c>
      <c r="Y270" s="1">
        <f t="shared" si="2301"/>
        <v>10051</v>
      </c>
      <c r="Z270" s="1">
        <f t="shared" ref="Z270:AA270" si="2423">W270-T270</f>
        <v>4899</v>
      </c>
      <c r="AA270" s="1">
        <f t="shared" si="2423"/>
        <v>5012</v>
      </c>
      <c r="AB270" s="1">
        <f t="shared" si="2303"/>
        <v>9911</v>
      </c>
      <c r="AC270" s="1">
        <f t="shared" ref="AC270:AD270" si="2424">SUM(E270,H270,K270,N270)</f>
        <v>4066</v>
      </c>
      <c r="AD270" s="1">
        <f t="shared" si="2424"/>
        <v>4040</v>
      </c>
      <c r="AE270" s="1">
        <f t="shared" si="2305"/>
        <v>8106</v>
      </c>
      <c r="AF270" s="2">
        <f t="shared" ref="AF270:AH270" si="2425">AC270/Z270</f>
        <v>0.82996529904062055</v>
      </c>
      <c r="AG270" s="2">
        <f t="shared" si="2425"/>
        <v>0.80606544293695137</v>
      </c>
      <c r="AH270" s="2">
        <f t="shared" si="2425"/>
        <v>0.8178791242054283</v>
      </c>
      <c r="AI270" s="1">
        <f t="shared" ref="AI270:AJ270" si="2426">SUM(E270,H270,K270)</f>
        <v>3462</v>
      </c>
      <c r="AJ270" s="1">
        <f t="shared" si="2426"/>
        <v>3314</v>
      </c>
      <c r="AK270" s="1">
        <f t="shared" si="2308"/>
        <v>6776</v>
      </c>
      <c r="AL270" s="2">
        <f t="shared" ref="AL270:AN270" si="2427">AI270/Z270</f>
        <v>0.70667483159828537</v>
      </c>
      <c r="AM270" s="2">
        <f t="shared" si="2427"/>
        <v>0.66121308858739025</v>
      </c>
      <c r="AN270" s="2">
        <f t="shared" si="2427"/>
        <v>0.68368479467258603</v>
      </c>
      <c r="AO270" s="2">
        <f t="shared" ref="AO270:AQ270" si="2428">E270/Z270</f>
        <v>7.6342110634823435E-2</v>
      </c>
      <c r="AP270" s="2">
        <f t="shared" si="2428"/>
        <v>5.0079808459696729E-2</v>
      </c>
      <c r="AQ270" s="2">
        <f t="shared" si="2428"/>
        <v>6.3061245081222878E-2</v>
      </c>
      <c r="AR270" s="2">
        <f t="shared" si="2311"/>
        <v>0.19840783833435394</v>
      </c>
      <c r="AS270" s="2">
        <f t="shared" ref="AS270:AT270" si="2429">R270/AA270</f>
        <v>0.19393455706304868</v>
      </c>
      <c r="AT270" s="2">
        <f t="shared" si="2429"/>
        <v>0.1821208757945717</v>
      </c>
      <c r="AU270" s="2">
        <f t="shared" ref="AU270:AW270" si="2430">T270/W270</f>
        <v>1.1102139685102947E-2</v>
      </c>
      <c r="AV270" s="2">
        <f t="shared" si="2322"/>
        <v>1.6676476358642337E-2</v>
      </c>
      <c r="AW270" s="2">
        <f t="shared" si="2322"/>
        <v>1.3928962292309223E-2</v>
      </c>
    </row>
    <row r="271" spans="1:49" ht="13" x14ac:dyDescent="0.15">
      <c r="A271" s="1">
        <v>2023</v>
      </c>
      <c r="B271" s="1" t="s">
        <v>69</v>
      </c>
      <c r="C271" s="1" t="s">
        <v>50</v>
      </c>
      <c r="D271" s="1" t="s">
        <v>72</v>
      </c>
      <c r="E271" s="1">
        <v>8502</v>
      </c>
      <c r="F271" s="1">
        <v>7363</v>
      </c>
      <c r="G271" s="1">
        <v>15865</v>
      </c>
      <c r="H271" s="1">
        <v>15539</v>
      </c>
      <c r="I271" s="1">
        <v>18598</v>
      </c>
      <c r="J271" s="1">
        <v>34137</v>
      </c>
      <c r="K271" s="1">
        <v>3181</v>
      </c>
      <c r="L271" s="1">
        <v>4638</v>
      </c>
      <c r="M271" s="1">
        <v>7819</v>
      </c>
      <c r="N271" s="1">
        <v>1506</v>
      </c>
      <c r="O271" s="1">
        <v>1996</v>
      </c>
      <c r="P271" s="1">
        <v>502</v>
      </c>
      <c r="Q271" s="1">
        <v>1383</v>
      </c>
      <c r="R271" s="1">
        <v>1525</v>
      </c>
      <c r="S271" s="1">
        <v>2908</v>
      </c>
      <c r="T271" s="1">
        <v>394</v>
      </c>
      <c r="U271" s="1">
        <v>456</v>
      </c>
      <c r="V271" s="1">
        <v>850</v>
      </c>
      <c r="W271" s="1">
        <f t="shared" ref="W271:X271" si="2431">SUM(E271,H271,K271,N271,Q271,T271)</f>
        <v>30505</v>
      </c>
      <c r="X271" s="1">
        <f t="shared" si="2431"/>
        <v>34576</v>
      </c>
      <c r="Y271" s="1">
        <f t="shared" si="2301"/>
        <v>65081</v>
      </c>
      <c r="Z271" s="1">
        <f t="shared" ref="Z271:AA271" si="2432">W271-T271</f>
        <v>30111</v>
      </c>
      <c r="AA271" s="1">
        <f t="shared" si="2432"/>
        <v>34120</v>
      </c>
      <c r="AB271" s="1">
        <f t="shared" si="2303"/>
        <v>64231</v>
      </c>
      <c r="AC271" s="1">
        <f t="shared" ref="AC271:AD271" si="2433">SUM(E271,H271,K271,N271)</f>
        <v>28728</v>
      </c>
      <c r="AD271" s="1">
        <f t="shared" si="2433"/>
        <v>32595</v>
      </c>
      <c r="AE271" s="1">
        <f t="shared" si="2305"/>
        <v>61323</v>
      </c>
      <c r="AF271" s="2">
        <f t="shared" ref="AF271:AH271" si="2434">AC271/Z271</f>
        <v>0.95406994121749522</v>
      </c>
      <c r="AG271" s="2">
        <f t="shared" si="2434"/>
        <v>0.95530480656506445</v>
      </c>
      <c r="AH271" s="2">
        <f t="shared" si="2434"/>
        <v>0.95472591116439098</v>
      </c>
      <c r="AI271" s="1">
        <f t="shared" ref="AI271:AJ271" si="2435">SUM(E271,H271,K271)</f>
        <v>27222</v>
      </c>
      <c r="AJ271" s="1">
        <f t="shared" si="2435"/>
        <v>30599</v>
      </c>
      <c r="AK271" s="1">
        <f t="shared" si="2308"/>
        <v>57821</v>
      </c>
      <c r="AL271" s="2">
        <f t="shared" ref="AL271:AN271" si="2436">AI271/Z271</f>
        <v>0.90405499651290222</v>
      </c>
      <c r="AM271" s="2">
        <f t="shared" si="2436"/>
        <v>0.89680539273153581</v>
      </c>
      <c r="AN271" s="2">
        <f t="shared" si="2436"/>
        <v>0.90020395136304898</v>
      </c>
      <c r="AO271" s="2">
        <f t="shared" ref="AO271:AQ271" si="2437">E271/Z271</f>
        <v>0.28235528544385774</v>
      </c>
      <c r="AP271" s="2">
        <f t="shared" si="2437"/>
        <v>0.21579718640093787</v>
      </c>
      <c r="AQ271" s="2">
        <f t="shared" si="2437"/>
        <v>0.24699911257803864</v>
      </c>
      <c r="AR271" s="2">
        <f t="shared" si="2311"/>
        <v>5.0645943342964364E-2</v>
      </c>
      <c r="AS271" s="2">
        <f t="shared" ref="AS271:AT271" si="2438">R271/AA271</f>
        <v>4.4695193434935519E-2</v>
      </c>
      <c r="AT271" s="2">
        <f t="shared" si="2438"/>
        <v>4.5274088835608975E-2</v>
      </c>
      <c r="AU271" s="2">
        <f t="shared" ref="AU271:AW271" si="2439">T271/W271</f>
        <v>1.2915915423701033E-2</v>
      </c>
      <c r="AV271" s="2">
        <f t="shared" si="2322"/>
        <v>1.3188338732068487E-2</v>
      </c>
      <c r="AW271" s="2">
        <f t="shared" si="2322"/>
        <v>1.3060647500806688E-2</v>
      </c>
    </row>
    <row r="272" spans="1:49" ht="13" x14ac:dyDescent="0.15">
      <c r="A272" s="1">
        <v>2023</v>
      </c>
      <c r="B272" s="1" t="s">
        <v>66</v>
      </c>
      <c r="C272" s="1" t="s">
        <v>67</v>
      </c>
      <c r="D272" s="1" t="s">
        <v>73</v>
      </c>
      <c r="E272" s="1">
        <v>81</v>
      </c>
      <c r="F272" s="1">
        <v>32</v>
      </c>
      <c r="G272" s="1">
        <v>113</v>
      </c>
      <c r="H272" s="1">
        <v>1297</v>
      </c>
      <c r="I272" s="1">
        <v>576</v>
      </c>
      <c r="J272" s="1">
        <v>1873</v>
      </c>
      <c r="K272" s="1">
        <v>1069</v>
      </c>
      <c r="L272" s="1">
        <v>731</v>
      </c>
      <c r="M272" s="1">
        <v>1800</v>
      </c>
      <c r="N272" s="1">
        <v>452</v>
      </c>
      <c r="O272" s="1">
        <v>327</v>
      </c>
      <c r="P272" s="1">
        <v>779</v>
      </c>
      <c r="Q272" s="1">
        <v>493</v>
      </c>
      <c r="R272" s="1">
        <v>478</v>
      </c>
      <c r="S272" s="1">
        <v>971</v>
      </c>
      <c r="T272" s="1">
        <v>69</v>
      </c>
      <c r="U272" s="1">
        <v>57</v>
      </c>
      <c r="V272" s="1">
        <v>126</v>
      </c>
      <c r="W272" s="1">
        <f t="shared" ref="W272:X272" si="2440">SUM(E272,H272,K272,N272,Q272,T272)</f>
        <v>3461</v>
      </c>
      <c r="X272" s="1">
        <f t="shared" si="2440"/>
        <v>2201</v>
      </c>
      <c r="Y272" s="1">
        <f t="shared" si="2301"/>
        <v>5662</v>
      </c>
      <c r="Z272" s="1">
        <f t="shared" ref="Z272:AA272" si="2441">W272-T272</f>
        <v>3392</v>
      </c>
      <c r="AA272" s="1">
        <f t="shared" si="2441"/>
        <v>2144</v>
      </c>
      <c r="AB272" s="1">
        <f t="shared" si="2303"/>
        <v>5536</v>
      </c>
      <c r="AC272" s="1">
        <f t="shared" ref="AC272:AD272" si="2442">SUM(E272,H272,K272,N272)</f>
        <v>2899</v>
      </c>
      <c r="AD272" s="1">
        <f t="shared" si="2442"/>
        <v>1666</v>
      </c>
      <c r="AE272" s="1">
        <f t="shared" si="2305"/>
        <v>4565</v>
      </c>
      <c r="AF272" s="2">
        <f t="shared" ref="AF272:AH272" si="2443">AC272/Z272</f>
        <v>0.85465801886792447</v>
      </c>
      <c r="AG272" s="2">
        <f t="shared" si="2443"/>
        <v>0.77705223880597019</v>
      </c>
      <c r="AH272" s="2">
        <f t="shared" si="2443"/>
        <v>0.82460260115606931</v>
      </c>
      <c r="AI272" s="1">
        <f t="shared" ref="AI272:AJ272" si="2444">SUM(E272,H272,K272)</f>
        <v>2447</v>
      </c>
      <c r="AJ272" s="1">
        <f t="shared" si="2444"/>
        <v>1339</v>
      </c>
      <c r="AK272" s="1">
        <f t="shared" si="2308"/>
        <v>3786</v>
      </c>
      <c r="AL272" s="2">
        <f t="shared" ref="AL272:AN272" si="2445">AI272/Z272</f>
        <v>0.72140330188679247</v>
      </c>
      <c r="AM272" s="2">
        <f t="shared" si="2445"/>
        <v>0.62453358208955223</v>
      </c>
      <c r="AN272" s="2">
        <f t="shared" si="2445"/>
        <v>0.68388728323699421</v>
      </c>
      <c r="AO272" s="2">
        <f t="shared" ref="AO272:AQ272" si="2446">E272/Z272</f>
        <v>2.3879716981132077E-2</v>
      </c>
      <c r="AP272" s="2">
        <f t="shared" si="2446"/>
        <v>1.4925373134328358E-2</v>
      </c>
      <c r="AQ272" s="2">
        <f t="shared" si="2446"/>
        <v>2.0411849710982657E-2</v>
      </c>
      <c r="AR272" s="2">
        <f t="shared" si="2311"/>
        <v>0.14091981132075471</v>
      </c>
      <c r="AS272" s="2">
        <f t="shared" ref="AS272:AT272" si="2447">R272/AA272</f>
        <v>0.22294776119402984</v>
      </c>
      <c r="AT272" s="2">
        <f t="shared" si="2447"/>
        <v>0.17539739884393063</v>
      </c>
      <c r="AU272" s="2">
        <f t="shared" ref="AU272:AW272" si="2448">T272/W272</f>
        <v>1.9936434556486565E-2</v>
      </c>
      <c r="AV272" s="2">
        <f t="shared" si="2322"/>
        <v>2.5897319400272602E-2</v>
      </c>
      <c r="AW272" s="2">
        <f t="shared" si="2322"/>
        <v>2.225362062875309E-2</v>
      </c>
    </row>
    <row r="273" spans="1:49" ht="13" x14ac:dyDescent="0.15">
      <c r="A273" s="1">
        <v>2023</v>
      </c>
      <c r="B273" s="1" t="s">
        <v>49</v>
      </c>
      <c r="C273" s="1" t="s">
        <v>67</v>
      </c>
      <c r="D273" s="1" t="s">
        <v>197</v>
      </c>
      <c r="E273" s="1">
        <v>29</v>
      </c>
      <c r="F273" s="1">
        <v>19</v>
      </c>
      <c r="G273" s="1">
        <v>48</v>
      </c>
      <c r="H273" s="1">
        <v>515</v>
      </c>
      <c r="I273" s="1">
        <v>277</v>
      </c>
      <c r="J273" s="1">
        <v>792</v>
      </c>
      <c r="K273" s="1">
        <v>418</v>
      </c>
      <c r="L273" s="1">
        <v>267</v>
      </c>
      <c r="M273" s="1">
        <v>685</v>
      </c>
      <c r="N273" s="1">
        <v>199</v>
      </c>
      <c r="O273" s="1">
        <v>105</v>
      </c>
      <c r="P273" s="1">
        <v>304</v>
      </c>
      <c r="Q273" s="1">
        <v>197</v>
      </c>
      <c r="R273" s="1">
        <v>141</v>
      </c>
      <c r="S273" s="1">
        <v>338</v>
      </c>
      <c r="T273" s="1">
        <v>14</v>
      </c>
      <c r="U273" s="1">
        <v>12</v>
      </c>
      <c r="V273" s="1">
        <v>26</v>
      </c>
      <c r="W273" s="1">
        <f t="shared" ref="W273:X273" si="2449">SUM(E273,H273,K273,N273,Q273,T273)</f>
        <v>1372</v>
      </c>
      <c r="X273" s="1">
        <f t="shared" si="2449"/>
        <v>821</v>
      </c>
      <c r="Y273" s="1">
        <f t="shared" si="2301"/>
        <v>2193</v>
      </c>
      <c r="Z273" s="1">
        <f t="shared" ref="Z273:AA273" si="2450">W273-T273</f>
        <v>1358</v>
      </c>
      <c r="AA273" s="1">
        <f t="shared" si="2450"/>
        <v>809</v>
      </c>
      <c r="AB273" s="1">
        <f t="shared" si="2303"/>
        <v>2167</v>
      </c>
      <c r="AC273" s="1">
        <f t="shared" ref="AC273:AD273" si="2451">SUM(E273,H273,K273,N273)</f>
        <v>1161</v>
      </c>
      <c r="AD273" s="1">
        <f t="shared" si="2451"/>
        <v>668</v>
      </c>
      <c r="AE273" s="1">
        <f t="shared" si="2305"/>
        <v>1829</v>
      </c>
      <c r="AF273" s="2">
        <f t="shared" ref="AF273:AH273" si="2452">AC273/Z273</f>
        <v>0.85493372606774665</v>
      </c>
      <c r="AG273" s="2">
        <f t="shared" si="2452"/>
        <v>0.82571075401730532</v>
      </c>
      <c r="AH273" s="2">
        <f t="shared" si="2452"/>
        <v>0.8440239963082603</v>
      </c>
      <c r="AI273" s="1">
        <f t="shared" ref="AI273:AJ273" si="2453">SUM(E273,H273,K273)</f>
        <v>962</v>
      </c>
      <c r="AJ273" s="1">
        <f t="shared" si="2453"/>
        <v>563</v>
      </c>
      <c r="AK273" s="1">
        <f t="shared" si="2308"/>
        <v>1525</v>
      </c>
      <c r="AL273" s="2">
        <f t="shared" ref="AL273:AN273" si="2454">AI273/Z273</f>
        <v>0.70839469808541977</v>
      </c>
      <c r="AM273" s="2">
        <f t="shared" si="2454"/>
        <v>0.69592088998763901</v>
      </c>
      <c r="AN273" s="2">
        <f t="shared" si="2454"/>
        <v>0.70373788647900326</v>
      </c>
      <c r="AO273" s="2">
        <f t="shared" ref="AO273:AQ273" si="2455">E273/Z273</f>
        <v>2.1354933726067747E-2</v>
      </c>
      <c r="AP273" s="2">
        <f t="shared" si="2455"/>
        <v>2.3485784919653894E-2</v>
      </c>
      <c r="AQ273" s="2">
        <f t="shared" si="2455"/>
        <v>2.2150438394093218E-2</v>
      </c>
      <c r="AR273" s="2">
        <f t="shared" si="2311"/>
        <v>0.10382916053019146</v>
      </c>
      <c r="AS273" s="2">
        <f t="shared" ref="AS273:AT273" si="2456">R273/AA273</f>
        <v>0.17428924598269468</v>
      </c>
      <c r="AT273" s="2">
        <f t="shared" si="2456"/>
        <v>0.15597600369173972</v>
      </c>
      <c r="AU273" s="2">
        <f t="shared" ref="AU273:AW273" si="2457">T273/W273</f>
        <v>1.020408163265306E-2</v>
      </c>
      <c r="AV273" s="2">
        <f t="shared" si="2322"/>
        <v>1.4616321559074299E-2</v>
      </c>
      <c r="AW273" s="2">
        <f t="shared" si="2322"/>
        <v>1.1855905152758778E-2</v>
      </c>
    </row>
    <row r="274" spans="1:49" ht="13" x14ac:dyDescent="0.15">
      <c r="A274" s="1">
        <v>2024</v>
      </c>
      <c r="B274" s="1" t="s">
        <v>74</v>
      </c>
      <c r="C274" s="1" t="s">
        <v>75</v>
      </c>
      <c r="D274" s="1" t="s">
        <v>201</v>
      </c>
      <c r="E274" s="1">
        <v>3</v>
      </c>
      <c r="F274" s="1">
        <v>1</v>
      </c>
      <c r="G274" s="1">
        <v>4</v>
      </c>
      <c r="H274" s="1">
        <v>112</v>
      </c>
      <c r="I274" s="1">
        <v>43</v>
      </c>
      <c r="J274" s="1">
        <v>155</v>
      </c>
      <c r="K274" s="1">
        <v>55</v>
      </c>
      <c r="L274" s="1">
        <v>54</v>
      </c>
      <c r="M274" s="1">
        <v>109</v>
      </c>
      <c r="N274" s="1">
        <v>14</v>
      </c>
      <c r="O274" s="1">
        <v>19</v>
      </c>
      <c r="P274" s="1">
        <v>33</v>
      </c>
      <c r="Q274" s="1">
        <v>7</v>
      </c>
      <c r="R274" s="1">
        <v>18</v>
      </c>
      <c r="S274" s="1">
        <v>25</v>
      </c>
      <c r="T274" s="1">
        <v>2</v>
      </c>
      <c r="U274" s="1">
        <v>0</v>
      </c>
      <c r="V274" s="1">
        <v>2</v>
      </c>
      <c r="W274" s="1">
        <f t="shared" ref="W274:X274" si="2458">SUM(E274,H274,K274,N274,Q274,T274)</f>
        <v>193</v>
      </c>
      <c r="X274" s="1">
        <f t="shared" si="2458"/>
        <v>135</v>
      </c>
      <c r="Y274" s="1">
        <f t="shared" si="2301"/>
        <v>328</v>
      </c>
      <c r="Z274" s="1">
        <f t="shared" ref="Z274:AA274" si="2459">W274-T274</f>
        <v>191</v>
      </c>
      <c r="AA274" s="1">
        <f t="shared" si="2459"/>
        <v>135</v>
      </c>
      <c r="AB274" s="1">
        <f t="shared" si="2303"/>
        <v>326</v>
      </c>
      <c r="AC274" s="1">
        <f t="shared" ref="AC274:AD274" si="2460">SUM(E274,H274,K274,N274)</f>
        <v>184</v>
      </c>
      <c r="AD274" s="1">
        <f t="shared" si="2460"/>
        <v>117</v>
      </c>
      <c r="AE274" s="1">
        <f t="shared" si="2305"/>
        <v>301</v>
      </c>
      <c r="AF274" s="2">
        <f t="shared" ref="AF274:AH274" si="2461">AC274/Z274</f>
        <v>0.96335078534031415</v>
      </c>
      <c r="AG274" s="2">
        <f t="shared" si="2461"/>
        <v>0.8666666666666667</v>
      </c>
      <c r="AH274" s="2">
        <f t="shared" si="2461"/>
        <v>0.92331288343558282</v>
      </c>
      <c r="AI274" s="1">
        <f t="shared" ref="AI274:AJ274" si="2462">SUM(E274,H274,K274)</f>
        <v>170</v>
      </c>
      <c r="AJ274" s="1">
        <f t="shared" si="2462"/>
        <v>98</v>
      </c>
      <c r="AK274" s="1">
        <f t="shared" si="2308"/>
        <v>268</v>
      </c>
      <c r="AL274" s="2">
        <f t="shared" ref="AL274:AN274" si="2463">AI274/Z274</f>
        <v>0.89005235602094246</v>
      </c>
      <c r="AM274" s="2">
        <f t="shared" si="2463"/>
        <v>0.72592592592592597</v>
      </c>
      <c r="AN274" s="2">
        <f t="shared" si="2463"/>
        <v>0.82208588957055218</v>
      </c>
      <c r="AO274" s="2">
        <f t="shared" ref="AO274:AQ274" si="2464">E274/Z274</f>
        <v>1.5706806282722512E-2</v>
      </c>
      <c r="AP274" s="2">
        <f t="shared" si="2464"/>
        <v>7.4074074074074077E-3</v>
      </c>
      <c r="AQ274" s="2">
        <f t="shared" si="2464"/>
        <v>1.2269938650306749E-2</v>
      </c>
      <c r="AR274" s="2">
        <f t="shared" si="2311"/>
        <v>9.4240837696335081E-2</v>
      </c>
      <c r="AS274" s="2">
        <f t="shared" ref="AS274:AT274" si="2465">R274/AA274</f>
        <v>0.13333333333333333</v>
      </c>
      <c r="AT274" s="2">
        <f t="shared" si="2465"/>
        <v>7.6687116564417179E-2</v>
      </c>
      <c r="AU274" s="2">
        <f t="shared" ref="AU274:AW289" si="2466">T274/W274</f>
        <v>1.0362694300518135E-2</v>
      </c>
      <c r="AV274" s="2">
        <f t="shared" si="2466"/>
        <v>0</v>
      </c>
      <c r="AW274" s="2">
        <f t="shared" si="2466"/>
        <v>6.0975609756097563E-3</v>
      </c>
    </row>
    <row r="275" spans="1:49" ht="13" x14ac:dyDescent="0.15">
      <c r="A275" s="1">
        <v>2022</v>
      </c>
      <c r="B275" s="1" t="s">
        <v>66</v>
      </c>
      <c r="C275" s="1" t="s">
        <v>67</v>
      </c>
      <c r="D275" s="1" t="s">
        <v>77</v>
      </c>
      <c r="E275" s="1">
        <v>149</v>
      </c>
      <c r="F275" s="1">
        <v>70</v>
      </c>
      <c r="G275" s="1">
        <v>219</v>
      </c>
      <c r="H275" s="1">
        <v>1275</v>
      </c>
      <c r="I275" s="1">
        <v>610</v>
      </c>
      <c r="J275" s="1">
        <v>1885</v>
      </c>
      <c r="K275" s="1">
        <v>1135</v>
      </c>
      <c r="L275" s="1">
        <v>761</v>
      </c>
      <c r="M275" s="1">
        <v>1896</v>
      </c>
      <c r="N275" s="1">
        <v>662</v>
      </c>
      <c r="O275" s="1">
        <v>490</v>
      </c>
      <c r="P275" s="1">
        <v>1152</v>
      </c>
      <c r="Q275" s="1">
        <v>554</v>
      </c>
      <c r="R275" s="1">
        <v>611</v>
      </c>
      <c r="S275" s="1">
        <v>1165</v>
      </c>
      <c r="T275" s="1">
        <v>51</v>
      </c>
      <c r="U275" s="1">
        <v>53</v>
      </c>
      <c r="V275" s="1">
        <v>104</v>
      </c>
      <c r="W275" s="1">
        <f t="shared" ref="W275:X275" si="2467">SUM(E275,H275,K275,N275,Q275,T275)</f>
        <v>3826</v>
      </c>
      <c r="X275" s="1">
        <f t="shared" si="2467"/>
        <v>2595</v>
      </c>
      <c r="Y275" s="1">
        <f t="shared" si="2301"/>
        <v>6421</v>
      </c>
      <c r="Z275" s="1">
        <f t="shared" ref="Z275:AA275" si="2468">W275-T275</f>
        <v>3775</v>
      </c>
      <c r="AA275" s="1">
        <f t="shared" si="2468"/>
        <v>2542</v>
      </c>
      <c r="AB275" s="1">
        <f t="shared" si="2303"/>
        <v>6317</v>
      </c>
      <c r="AC275" s="1">
        <f t="shared" ref="AC275:AD275" si="2469">SUM(E275,H275,K275,N275)</f>
        <v>3221</v>
      </c>
      <c r="AD275" s="1">
        <f t="shared" si="2469"/>
        <v>1931</v>
      </c>
      <c r="AE275" s="1">
        <f t="shared" si="2305"/>
        <v>5152</v>
      </c>
      <c r="AF275" s="2">
        <f t="shared" ref="AF275:AH275" si="2470">AC275/Z275</f>
        <v>0.85324503311258282</v>
      </c>
      <c r="AG275" s="2">
        <f t="shared" si="2470"/>
        <v>0.75963808025177026</v>
      </c>
      <c r="AH275" s="2">
        <f t="shared" si="2470"/>
        <v>0.81557701440557229</v>
      </c>
      <c r="AI275" s="1">
        <f t="shared" ref="AI275:AJ275" si="2471">SUM(E275,H275,K275)</f>
        <v>2559</v>
      </c>
      <c r="AJ275" s="1">
        <f t="shared" si="2471"/>
        <v>1441</v>
      </c>
      <c r="AK275" s="1">
        <f t="shared" si="2308"/>
        <v>4000</v>
      </c>
      <c r="AL275" s="2">
        <f t="shared" ref="AL275:AN275" si="2472">AI275/Z275</f>
        <v>0.6778807947019867</v>
      </c>
      <c r="AM275" s="2">
        <f t="shared" si="2472"/>
        <v>0.56687647521636508</v>
      </c>
      <c r="AN275" s="2">
        <f t="shared" si="2472"/>
        <v>0.63321196770618959</v>
      </c>
      <c r="AO275" s="2">
        <f t="shared" ref="AO275:AQ275" si="2473">E275/Z275</f>
        <v>3.9470198675496691E-2</v>
      </c>
      <c r="AP275" s="2">
        <f t="shared" si="2473"/>
        <v>2.7537372147915028E-2</v>
      </c>
      <c r="AQ275" s="2">
        <f t="shared" si="2473"/>
        <v>3.4668355231913882E-2</v>
      </c>
      <c r="AR275" s="2">
        <f t="shared" si="2311"/>
        <v>0.16185430463576159</v>
      </c>
      <c r="AS275" s="2">
        <f t="shared" ref="AS275:AT275" si="2474">R275/AA275</f>
        <v>0.24036191974822974</v>
      </c>
      <c r="AT275" s="2">
        <f t="shared" si="2474"/>
        <v>0.18442298559442774</v>
      </c>
      <c r="AU275" s="2">
        <f t="shared" ref="AU275:AW410" si="2475">T275/W275</f>
        <v>1.3329848405645583E-2</v>
      </c>
      <c r="AV275" s="2">
        <f t="shared" si="2466"/>
        <v>2.042389210019268E-2</v>
      </c>
      <c r="AW275" s="2">
        <f t="shared" si="2466"/>
        <v>1.6196854072574367E-2</v>
      </c>
    </row>
    <row r="276" spans="1:49" ht="13" x14ac:dyDescent="0.15">
      <c r="A276" s="1">
        <v>2022</v>
      </c>
      <c r="B276" s="1" t="s">
        <v>49</v>
      </c>
      <c r="C276" s="1" t="s">
        <v>78</v>
      </c>
      <c r="D276" s="1" t="s">
        <v>79</v>
      </c>
      <c r="E276" s="1">
        <v>69</v>
      </c>
      <c r="F276" s="1">
        <v>37</v>
      </c>
      <c r="G276" s="1">
        <v>106</v>
      </c>
      <c r="H276" s="1">
        <v>838</v>
      </c>
      <c r="I276" s="1">
        <v>430</v>
      </c>
      <c r="J276" s="1">
        <v>1268</v>
      </c>
      <c r="K276" s="1">
        <v>616</v>
      </c>
      <c r="L276" s="1">
        <v>492</v>
      </c>
      <c r="M276" s="1">
        <v>1108</v>
      </c>
      <c r="N276" s="1">
        <v>466</v>
      </c>
      <c r="O276" s="1">
        <v>370</v>
      </c>
      <c r="P276" s="1">
        <v>836</v>
      </c>
      <c r="Q276" s="1">
        <v>832</v>
      </c>
      <c r="R276" s="1">
        <v>900</v>
      </c>
      <c r="S276" s="1">
        <v>1732</v>
      </c>
      <c r="T276" s="1">
        <v>41</v>
      </c>
      <c r="U276" s="1">
        <v>61</v>
      </c>
      <c r="V276" s="1">
        <v>102</v>
      </c>
      <c r="W276" s="1">
        <f t="shared" ref="W276:X276" si="2476">SUM(E276,H276,K276,N276,Q276,T276)</f>
        <v>2862</v>
      </c>
      <c r="X276" s="1">
        <f t="shared" si="2476"/>
        <v>2290</v>
      </c>
      <c r="Y276" s="1">
        <f t="shared" si="2301"/>
        <v>5152</v>
      </c>
      <c r="Z276" s="1">
        <f t="shared" ref="Z276:AA276" si="2477">W276-T276</f>
        <v>2821</v>
      </c>
      <c r="AA276" s="1">
        <f t="shared" si="2477"/>
        <v>2229</v>
      </c>
      <c r="AB276" s="1">
        <f t="shared" si="2303"/>
        <v>5050</v>
      </c>
      <c r="AC276" s="1">
        <f t="shared" ref="AC276:AD276" si="2478">SUM(E276,H276,K276,N276)</f>
        <v>1989</v>
      </c>
      <c r="AD276" s="1">
        <f t="shared" si="2478"/>
        <v>1329</v>
      </c>
      <c r="AE276" s="1">
        <f t="shared" si="2305"/>
        <v>3318</v>
      </c>
      <c r="AF276" s="2">
        <f t="shared" ref="AF276:AH276" si="2479">AC276/Z276</f>
        <v>0.70506912442396308</v>
      </c>
      <c r="AG276" s="2">
        <f t="shared" si="2479"/>
        <v>0.59623149394347241</v>
      </c>
      <c r="AH276" s="2">
        <f t="shared" si="2479"/>
        <v>0.65702970297029706</v>
      </c>
      <c r="AI276" s="1">
        <f t="shared" ref="AI276:AJ276" si="2480">SUM(E276,H276,K276)</f>
        <v>1523</v>
      </c>
      <c r="AJ276" s="1">
        <f t="shared" si="2480"/>
        <v>959</v>
      </c>
      <c r="AK276" s="1">
        <f t="shared" si="2308"/>
        <v>2482</v>
      </c>
      <c r="AL276" s="2">
        <f t="shared" ref="AL276:AN276" si="2481">AI276/Z276</f>
        <v>0.53987947536334635</v>
      </c>
      <c r="AM276" s="2">
        <f t="shared" si="2481"/>
        <v>0.43023777478689995</v>
      </c>
      <c r="AN276" s="2">
        <f t="shared" si="2481"/>
        <v>0.49148514851485148</v>
      </c>
      <c r="AO276" s="2">
        <f t="shared" ref="AO276:AQ276" si="2482">E276/Z276</f>
        <v>2.4459411556185751E-2</v>
      </c>
      <c r="AP276" s="2">
        <f t="shared" si="2482"/>
        <v>1.6599371915657246E-2</v>
      </c>
      <c r="AQ276" s="2">
        <f t="shared" si="2482"/>
        <v>2.0990099009900991E-2</v>
      </c>
      <c r="AR276" s="2">
        <f t="shared" si="2311"/>
        <v>0.31903580290677064</v>
      </c>
      <c r="AS276" s="2">
        <f t="shared" ref="AS276:AT276" si="2483">R276/AA276</f>
        <v>0.40376850605652759</v>
      </c>
      <c r="AT276" s="2">
        <f t="shared" si="2483"/>
        <v>0.342970297029703</v>
      </c>
      <c r="AU276" s="2">
        <f t="shared" si="2475"/>
        <v>1.43256464011181E-2</v>
      </c>
      <c r="AV276" s="2">
        <f t="shared" si="2466"/>
        <v>2.6637554585152837E-2</v>
      </c>
      <c r="AW276" s="2">
        <f t="shared" si="2466"/>
        <v>1.9798136645962732E-2</v>
      </c>
    </row>
    <row r="277" spans="1:49" ht="13" x14ac:dyDescent="0.15">
      <c r="A277" s="1">
        <v>2022</v>
      </c>
      <c r="B277" s="1" t="s">
        <v>49</v>
      </c>
      <c r="C277" s="1" t="s">
        <v>80</v>
      </c>
      <c r="D277" s="1" t="s">
        <v>81</v>
      </c>
      <c r="E277" s="1">
        <v>97</v>
      </c>
      <c r="F277" s="1">
        <v>54</v>
      </c>
      <c r="G277" s="1">
        <v>151</v>
      </c>
      <c r="H277" s="1">
        <v>846</v>
      </c>
      <c r="I277" s="1">
        <v>578</v>
      </c>
      <c r="J277" s="1">
        <v>1424</v>
      </c>
      <c r="K277" s="1">
        <v>458</v>
      </c>
      <c r="L277" s="1">
        <v>433</v>
      </c>
      <c r="M277" s="1">
        <v>891</v>
      </c>
      <c r="N277" s="1">
        <v>396</v>
      </c>
      <c r="O277" s="1">
        <v>364</v>
      </c>
      <c r="P277" s="1">
        <v>760</v>
      </c>
      <c r="Q277" s="1">
        <v>621</v>
      </c>
      <c r="R277" s="1">
        <v>612</v>
      </c>
      <c r="S277" s="1">
        <v>1233</v>
      </c>
      <c r="T277" s="1">
        <v>43</v>
      </c>
      <c r="U277" s="1">
        <v>39</v>
      </c>
      <c r="V277" s="1">
        <v>82</v>
      </c>
      <c r="W277" s="1">
        <f t="shared" ref="W277:X277" si="2484">SUM(E277,H277,K277,N277,Q277,T277)</f>
        <v>2461</v>
      </c>
      <c r="X277" s="1">
        <f t="shared" si="2484"/>
        <v>2080</v>
      </c>
      <c r="Y277" s="1">
        <f t="shared" si="2301"/>
        <v>4541</v>
      </c>
      <c r="Z277" s="1">
        <f t="shared" ref="Z277:AA277" si="2485">W277-T277</f>
        <v>2418</v>
      </c>
      <c r="AA277" s="1">
        <f t="shared" si="2485"/>
        <v>2041</v>
      </c>
      <c r="AB277" s="1">
        <f t="shared" si="2303"/>
        <v>4459</v>
      </c>
      <c r="AC277" s="1">
        <f t="shared" ref="AC277:AD277" si="2486">SUM(E277,H277,K277,N277)</f>
        <v>1797</v>
      </c>
      <c r="AD277" s="1">
        <f t="shared" si="2486"/>
        <v>1429</v>
      </c>
      <c r="AE277" s="1">
        <f t="shared" si="2305"/>
        <v>3226</v>
      </c>
      <c r="AF277" s="2">
        <f t="shared" ref="AF277:AH277" si="2487">AC277/Z277</f>
        <v>0.74317617866004959</v>
      </c>
      <c r="AG277" s="2">
        <f t="shared" si="2487"/>
        <v>0.70014698677119058</v>
      </c>
      <c r="AH277" s="2">
        <f t="shared" si="2487"/>
        <v>0.72348060103162148</v>
      </c>
      <c r="AI277" s="1">
        <f t="shared" ref="AI277:AJ277" si="2488">SUM(E277,H277,K277)</f>
        <v>1401</v>
      </c>
      <c r="AJ277" s="1">
        <f t="shared" si="2488"/>
        <v>1065</v>
      </c>
      <c r="AK277" s="1">
        <f t="shared" si="2308"/>
        <v>2466</v>
      </c>
      <c r="AL277" s="2">
        <f t="shared" ref="AL277:AN277" si="2489">AI277/Z277</f>
        <v>0.57940446650124067</v>
      </c>
      <c r="AM277" s="2">
        <f t="shared" si="2489"/>
        <v>0.52180303772660463</v>
      </c>
      <c r="AN277" s="2">
        <f t="shared" si="2489"/>
        <v>0.55303879793675714</v>
      </c>
      <c r="AO277" s="2">
        <f t="shared" ref="AO277:AQ277" si="2490">E277/Z277</f>
        <v>4.0115798180314306E-2</v>
      </c>
      <c r="AP277" s="2">
        <f t="shared" si="2490"/>
        <v>2.6457618814306711E-2</v>
      </c>
      <c r="AQ277" s="2">
        <f t="shared" si="2490"/>
        <v>3.3864095088584886E-2</v>
      </c>
      <c r="AR277" s="2">
        <f t="shared" si="2311"/>
        <v>0.25310173697270472</v>
      </c>
      <c r="AS277" s="2">
        <f t="shared" ref="AS277:AT277" si="2491">R277/AA277</f>
        <v>0.29985301322880942</v>
      </c>
      <c r="AT277" s="2">
        <f t="shared" si="2491"/>
        <v>0.27651939896837857</v>
      </c>
      <c r="AU277" s="2">
        <f t="shared" si="2475"/>
        <v>1.7472572125152377E-2</v>
      </c>
      <c r="AV277" s="2">
        <f t="shared" si="2466"/>
        <v>1.8749999999999999E-2</v>
      </c>
      <c r="AW277" s="2">
        <f t="shared" si="2466"/>
        <v>1.8057696542611759E-2</v>
      </c>
    </row>
    <row r="278" spans="1:49" ht="13" x14ac:dyDescent="0.15">
      <c r="A278" s="1">
        <v>2022</v>
      </c>
      <c r="B278" s="1" t="s">
        <v>49</v>
      </c>
      <c r="C278" s="1" t="s">
        <v>80</v>
      </c>
      <c r="D278" s="1" t="s">
        <v>82</v>
      </c>
      <c r="E278" s="1">
        <v>97</v>
      </c>
      <c r="F278" s="1">
        <v>50</v>
      </c>
      <c r="G278" s="1">
        <v>147</v>
      </c>
      <c r="H278" s="1">
        <v>612</v>
      </c>
      <c r="I278" s="1">
        <v>391</v>
      </c>
      <c r="J278" s="1">
        <v>1003</v>
      </c>
      <c r="K278" s="1">
        <v>331</v>
      </c>
      <c r="L278" s="1">
        <v>289</v>
      </c>
      <c r="M278" s="1">
        <v>620</v>
      </c>
      <c r="N278" s="1">
        <v>230</v>
      </c>
      <c r="O278" s="1">
        <v>228</v>
      </c>
      <c r="P278" s="1">
        <v>458</v>
      </c>
      <c r="Q278" s="1">
        <v>456</v>
      </c>
      <c r="R278" s="1">
        <v>413</v>
      </c>
      <c r="S278" s="1">
        <v>869</v>
      </c>
      <c r="T278" s="1">
        <v>20</v>
      </c>
      <c r="U278" s="1">
        <v>22</v>
      </c>
      <c r="V278" s="1">
        <v>42</v>
      </c>
      <c r="W278" s="1">
        <f t="shared" ref="W278:X278" si="2492">SUM(E278,H278,K278,N278,Q278,T278)</f>
        <v>1746</v>
      </c>
      <c r="X278" s="1">
        <f t="shared" si="2492"/>
        <v>1393</v>
      </c>
      <c r="Y278" s="1">
        <f t="shared" si="2301"/>
        <v>3139</v>
      </c>
      <c r="Z278" s="1">
        <f t="shared" ref="Z278:AA278" si="2493">W278-T278</f>
        <v>1726</v>
      </c>
      <c r="AA278" s="1">
        <f t="shared" si="2493"/>
        <v>1371</v>
      </c>
      <c r="AB278" s="1">
        <f t="shared" si="2303"/>
        <v>3097</v>
      </c>
      <c r="AC278" s="1">
        <f t="shared" ref="AC278:AD278" si="2494">SUM(E278,H278,K278,N278)</f>
        <v>1270</v>
      </c>
      <c r="AD278" s="1">
        <f t="shared" si="2494"/>
        <v>958</v>
      </c>
      <c r="AE278" s="1">
        <f t="shared" si="2305"/>
        <v>2228</v>
      </c>
      <c r="AF278" s="2">
        <f t="shared" ref="AF278:AH278" si="2495">AC278/Z278</f>
        <v>0.73580533024333716</v>
      </c>
      <c r="AG278" s="2">
        <f t="shared" si="2495"/>
        <v>0.69876002917578406</v>
      </c>
      <c r="AH278" s="2">
        <f t="shared" si="2495"/>
        <v>0.71940587665482725</v>
      </c>
      <c r="AI278" s="1">
        <f t="shared" ref="AI278:AJ278" si="2496">SUM(E278,H278,K278)</f>
        <v>1040</v>
      </c>
      <c r="AJ278" s="1">
        <f t="shared" si="2496"/>
        <v>730</v>
      </c>
      <c r="AK278" s="1">
        <f t="shared" si="2308"/>
        <v>1770</v>
      </c>
      <c r="AL278" s="2">
        <f t="shared" ref="AL278:AN278" si="2497">AI278/Z278</f>
        <v>0.60254924681344146</v>
      </c>
      <c r="AM278" s="2">
        <f t="shared" si="2497"/>
        <v>0.53245805981035743</v>
      </c>
      <c r="AN278" s="2">
        <f t="shared" si="2497"/>
        <v>0.57152082660639325</v>
      </c>
      <c r="AO278" s="2">
        <f t="shared" ref="AO278:AQ278" si="2498">E278/Z278</f>
        <v>5.619930475086906E-2</v>
      </c>
      <c r="AP278" s="2">
        <f t="shared" si="2498"/>
        <v>3.6469730123997082E-2</v>
      </c>
      <c r="AQ278" s="2">
        <f t="shared" si="2498"/>
        <v>4.7465288989344524E-2</v>
      </c>
      <c r="AR278" s="2">
        <f t="shared" si="2311"/>
        <v>0.23928157589803012</v>
      </c>
      <c r="AS278" s="2">
        <f t="shared" ref="AS278:AT278" si="2499">R278/AA278</f>
        <v>0.30123997082421589</v>
      </c>
      <c r="AT278" s="2">
        <f t="shared" si="2499"/>
        <v>0.28059412334517275</v>
      </c>
      <c r="AU278" s="2">
        <f t="shared" si="2475"/>
        <v>1.1454753722794959E-2</v>
      </c>
      <c r="AV278" s="2">
        <f t="shared" si="2466"/>
        <v>1.5793251974156496E-2</v>
      </c>
      <c r="AW278" s="2">
        <f t="shared" si="2466"/>
        <v>1.3380057343102899E-2</v>
      </c>
    </row>
    <row r="279" spans="1:49" ht="13" x14ac:dyDescent="0.15">
      <c r="A279" s="1">
        <v>2023</v>
      </c>
      <c r="B279" s="1" t="s">
        <v>74</v>
      </c>
      <c r="C279" s="1" t="s">
        <v>75</v>
      </c>
      <c r="D279" s="1" t="s">
        <v>201</v>
      </c>
      <c r="E279" s="1">
        <v>6</v>
      </c>
      <c r="F279" s="1">
        <v>0</v>
      </c>
      <c r="G279" s="1">
        <v>6</v>
      </c>
      <c r="H279" s="1">
        <v>111</v>
      </c>
      <c r="I279" s="1">
        <v>58</v>
      </c>
      <c r="J279" s="1">
        <v>169</v>
      </c>
      <c r="K279" s="1">
        <v>33</v>
      </c>
      <c r="L279" s="1">
        <v>61</v>
      </c>
      <c r="M279" s="1">
        <v>94</v>
      </c>
      <c r="N279" s="1">
        <v>10</v>
      </c>
      <c r="O279" s="1">
        <v>9</v>
      </c>
      <c r="P279" s="1">
        <v>19</v>
      </c>
      <c r="Q279" s="1">
        <v>10</v>
      </c>
      <c r="R279" s="1">
        <v>17</v>
      </c>
      <c r="S279" s="1">
        <v>27</v>
      </c>
      <c r="T279" s="1">
        <v>7</v>
      </c>
      <c r="U279" s="1">
        <v>3</v>
      </c>
      <c r="V279" s="1">
        <v>10</v>
      </c>
      <c r="W279" s="1">
        <f t="shared" ref="W279:X279" si="2500">SUM(E279,H279,K279,N279,Q279,T279)</f>
        <v>177</v>
      </c>
      <c r="X279" s="1">
        <f t="shared" si="2500"/>
        <v>148</v>
      </c>
      <c r="Y279" s="1">
        <f t="shared" si="2301"/>
        <v>325</v>
      </c>
      <c r="Z279" s="1">
        <f t="shared" ref="Z279:AA279" si="2501">W279-T279</f>
        <v>170</v>
      </c>
      <c r="AA279" s="1">
        <f t="shared" si="2501"/>
        <v>145</v>
      </c>
      <c r="AB279" s="1">
        <f t="shared" si="2303"/>
        <v>315</v>
      </c>
      <c r="AC279" s="1">
        <f t="shared" ref="AC279:AD279" si="2502">SUM(E279,H279,K279,N279)</f>
        <v>160</v>
      </c>
      <c r="AD279" s="1">
        <f t="shared" si="2502"/>
        <v>128</v>
      </c>
      <c r="AE279" s="1">
        <f t="shared" si="2305"/>
        <v>288</v>
      </c>
      <c r="AF279" s="2">
        <f t="shared" ref="AF279:AH279" si="2503">AC279/Z279</f>
        <v>0.94117647058823528</v>
      </c>
      <c r="AG279" s="2">
        <f t="shared" si="2503"/>
        <v>0.88275862068965516</v>
      </c>
      <c r="AH279" s="2">
        <f t="shared" si="2503"/>
        <v>0.91428571428571426</v>
      </c>
      <c r="AI279" s="1">
        <f t="shared" ref="AI279:AJ279" si="2504">SUM(E279,H279,K279)</f>
        <v>150</v>
      </c>
      <c r="AJ279" s="1">
        <f t="shared" si="2504"/>
        <v>119</v>
      </c>
      <c r="AK279" s="1">
        <f t="shared" si="2308"/>
        <v>269</v>
      </c>
      <c r="AL279" s="2">
        <f t="shared" ref="AL279:AN279" si="2505">AI279/Z279</f>
        <v>0.88235294117647056</v>
      </c>
      <c r="AM279" s="2">
        <f t="shared" si="2505"/>
        <v>0.82068965517241377</v>
      </c>
      <c r="AN279" s="2">
        <f t="shared" si="2505"/>
        <v>0.85396825396825393</v>
      </c>
      <c r="AO279" s="2">
        <f t="shared" ref="AO279:AQ279" si="2506">E279/Z279</f>
        <v>3.5294117647058823E-2</v>
      </c>
      <c r="AP279" s="2">
        <f t="shared" si="2506"/>
        <v>0</v>
      </c>
      <c r="AQ279" s="2">
        <f t="shared" si="2506"/>
        <v>1.9047619047619049E-2</v>
      </c>
      <c r="AR279" s="2">
        <f t="shared" si="2311"/>
        <v>0.1</v>
      </c>
      <c r="AS279" s="2">
        <f t="shared" ref="AS279:AT279" si="2507">R279/AA279</f>
        <v>0.11724137931034483</v>
      </c>
      <c r="AT279" s="2">
        <f t="shared" si="2507"/>
        <v>8.5714285714285715E-2</v>
      </c>
      <c r="AU279" s="2">
        <f t="shared" si="2475"/>
        <v>3.954802259887006E-2</v>
      </c>
      <c r="AV279" s="2">
        <f t="shared" si="2466"/>
        <v>2.0270270270270271E-2</v>
      </c>
      <c r="AW279" s="2">
        <f t="shared" si="2466"/>
        <v>3.0769230769230771E-2</v>
      </c>
    </row>
    <row r="280" spans="1:49" ht="13" x14ac:dyDescent="0.15">
      <c r="A280" s="1">
        <v>2022</v>
      </c>
      <c r="B280" s="1" t="s">
        <v>49</v>
      </c>
      <c r="C280" s="1" t="s">
        <v>59</v>
      </c>
      <c r="D280" s="1" t="s">
        <v>83</v>
      </c>
      <c r="E280" s="1">
        <v>65</v>
      </c>
      <c r="F280" s="1">
        <v>30</v>
      </c>
      <c r="G280" s="1">
        <v>95</v>
      </c>
      <c r="H280" s="1">
        <v>834</v>
      </c>
      <c r="I280" s="1">
        <v>674</v>
      </c>
      <c r="J280" s="1">
        <v>1508</v>
      </c>
      <c r="K280" s="1">
        <v>552</v>
      </c>
      <c r="L280" s="1">
        <v>556</v>
      </c>
      <c r="M280" s="1">
        <v>1108</v>
      </c>
      <c r="N280" s="1">
        <v>295</v>
      </c>
      <c r="O280" s="1">
        <v>344</v>
      </c>
      <c r="P280" s="1">
        <v>639</v>
      </c>
      <c r="Q280" s="1">
        <v>394</v>
      </c>
      <c r="R280" s="1">
        <v>411</v>
      </c>
      <c r="S280" s="1">
        <v>805</v>
      </c>
      <c r="T280" s="1">
        <v>30</v>
      </c>
      <c r="U280" s="1">
        <v>44</v>
      </c>
      <c r="V280" s="1">
        <v>74</v>
      </c>
      <c r="W280" s="1">
        <f t="shared" ref="W280:X280" si="2508">SUM(E280,H280,K280,N280,Q280,T280)</f>
        <v>2170</v>
      </c>
      <c r="X280" s="1">
        <f t="shared" si="2508"/>
        <v>2059</v>
      </c>
      <c r="Y280" s="1">
        <f t="shared" si="2301"/>
        <v>4229</v>
      </c>
      <c r="Z280" s="1">
        <f t="shared" ref="Z280:AA280" si="2509">W280-T280</f>
        <v>2140</v>
      </c>
      <c r="AA280" s="1">
        <f t="shared" si="2509"/>
        <v>2015</v>
      </c>
      <c r="AB280" s="1">
        <f t="shared" si="2303"/>
        <v>4155</v>
      </c>
      <c r="AC280" s="1">
        <f t="shared" ref="AC280:AD280" si="2510">SUM(E280,H280,K280,N280)</f>
        <v>1746</v>
      </c>
      <c r="AD280" s="1">
        <f t="shared" si="2510"/>
        <v>1604</v>
      </c>
      <c r="AE280" s="1">
        <f t="shared" si="2305"/>
        <v>3350</v>
      </c>
      <c r="AF280" s="2">
        <f t="shared" ref="AF280:AH280" si="2511">AC280/Z280</f>
        <v>0.81588785046728973</v>
      </c>
      <c r="AG280" s="2">
        <f t="shared" si="2511"/>
        <v>0.79602977667493802</v>
      </c>
      <c r="AH280" s="2">
        <f t="shared" si="2511"/>
        <v>0.80625752105896509</v>
      </c>
      <c r="AI280" s="1">
        <f t="shared" ref="AI280:AJ280" si="2512">SUM(E280,H280,K280)</f>
        <v>1451</v>
      </c>
      <c r="AJ280" s="1">
        <f t="shared" si="2512"/>
        <v>1260</v>
      </c>
      <c r="AK280" s="1">
        <f t="shared" si="2308"/>
        <v>2711</v>
      </c>
      <c r="AL280" s="2">
        <f t="shared" ref="AL280:AN280" si="2513">AI280/Z280</f>
        <v>0.67803738317757012</v>
      </c>
      <c r="AM280" s="2">
        <f t="shared" si="2513"/>
        <v>0.62531017369727049</v>
      </c>
      <c r="AN280" s="2">
        <f t="shared" si="2513"/>
        <v>0.65246690734055357</v>
      </c>
      <c r="AO280" s="2">
        <f t="shared" ref="AO280:AQ280" si="2514">E280/Z280</f>
        <v>3.0373831775700934E-2</v>
      </c>
      <c r="AP280" s="2">
        <f t="shared" si="2514"/>
        <v>1.488833746898263E-2</v>
      </c>
      <c r="AQ280" s="2">
        <f t="shared" si="2514"/>
        <v>2.2864019253910951E-2</v>
      </c>
      <c r="AR280" s="2">
        <f t="shared" si="2311"/>
        <v>0.19205607476635514</v>
      </c>
      <c r="AS280" s="2">
        <f t="shared" ref="AS280:AT280" si="2515">R280/AA280</f>
        <v>0.20397022332506204</v>
      </c>
      <c r="AT280" s="2">
        <f t="shared" si="2515"/>
        <v>0.19374247894103488</v>
      </c>
      <c r="AU280" s="2">
        <f t="shared" si="2475"/>
        <v>1.3824884792626729E-2</v>
      </c>
      <c r="AV280" s="2">
        <f t="shared" si="2466"/>
        <v>2.1369596891694997E-2</v>
      </c>
      <c r="AW280" s="2">
        <f t="shared" si="2466"/>
        <v>1.7498226531094823E-2</v>
      </c>
    </row>
    <row r="281" spans="1:49" ht="13" x14ac:dyDescent="0.15">
      <c r="A281" s="1">
        <v>2022</v>
      </c>
      <c r="B281" s="1" t="s">
        <v>49</v>
      </c>
      <c r="C281" s="1" t="s">
        <v>78</v>
      </c>
      <c r="D281" s="1" t="s">
        <v>84</v>
      </c>
      <c r="E281" s="1">
        <v>66</v>
      </c>
      <c r="F281" s="1">
        <v>42</v>
      </c>
      <c r="G281" s="1">
        <v>108</v>
      </c>
      <c r="H281" s="1">
        <v>868</v>
      </c>
      <c r="I281" s="1">
        <v>442</v>
      </c>
      <c r="J281" s="1">
        <v>1310</v>
      </c>
      <c r="K281" s="1">
        <v>580</v>
      </c>
      <c r="L281" s="1">
        <v>421</v>
      </c>
      <c r="M281" s="1">
        <v>1001</v>
      </c>
      <c r="N281" s="1">
        <v>415</v>
      </c>
      <c r="O281" s="1">
        <v>250</v>
      </c>
      <c r="P281" s="1">
        <v>665</v>
      </c>
      <c r="Q281" s="1">
        <v>329</v>
      </c>
      <c r="R281" s="1">
        <v>366</v>
      </c>
      <c r="S281" s="1">
        <v>695</v>
      </c>
      <c r="T281" s="1">
        <v>75</v>
      </c>
      <c r="U281" s="1">
        <v>56</v>
      </c>
      <c r="V281" s="1">
        <v>131</v>
      </c>
      <c r="W281" s="1">
        <f t="shared" ref="W281:X281" si="2516">SUM(E281,H281,K281,N281,Q281,T281)</f>
        <v>2333</v>
      </c>
      <c r="X281" s="1">
        <f t="shared" si="2516"/>
        <v>1577</v>
      </c>
      <c r="Y281" s="1">
        <f t="shared" si="2301"/>
        <v>3910</v>
      </c>
      <c r="Z281" s="1">
        <f t="shared" ref="Z281:AA281" si="2517">W281-T281</f>
        <v>2258</v>
      </c>
      <c r="AA281" s="1">
        <f t="shared" si="2517"/>
        <v>1521</v>
      </c>
      <c r="AB281" s="1">
        <f t="shared" si="2303"/>
        <v>3779</v>
      </c>
      <c r="AC281" s="1">
        <f t="shared" ref="AC281:AD281" si="2518">SUM(E281,H281,K281,N281)</f>
        <v>1929</v>
      </c>
      <c r="AD281" s="1">
        <f t="shared" si="2518"/>
        <v>1155</v>
      </c>
      <c r="AE281" s="1">
        <f t="shared" si="2305"/>
        <v>3084</v>
      </c>
      <c r="AF281" s="2">
        <f t="shared" ref="AF281:AH281" si="2519">AC281/Z281</f>
        <v>0.85429583702391498</v>
      </c>
      <c r="AG281" s="2">
        <f t="shared" si="2519"/>
        <v>0.75936883629191321</v>
      </c>
      <c r="AH281" s="2">
        <f t="shared" si="2519"/>
        <v>0.8160889124106907</v>
      </c>
      <c r="AI281" s="1">
        <f t="shared" ref="AI281:AJ281" si="2520">SUM(E281,H281,K281)</f>
        <v>1514</v>
      </c>
      <c r="AJ281" s="1">
        <f t="shared" si="2520"/>
        <v>905</v>
      </c>
      <c r="AK281" s="1">
        <f t="shared" si="2308"/>
        <v>2419</v>
      </c>
      <c r="AL281" s="2">
        <f t="shared" ref="AL281:AN281" si="2521">AI281/Z281</f>
        <v>0.67050487156775906</v>
      </c>
      <c r="AM281" s="2">
        <f t="shared" si="2521"/>
        <v>0.59500328731097962</v>
      </c>
      <c r="AN281" s="2">
        <f t="shared" si="2521"/>
        <v>0.64011643291876152</v>
      </c>
      <c r="AO281" s="2">
        <f t="shared" ref="AO281:AQ281" si="2522">E281/Z281</f>
        <v>2.9229406554472984E-2</v>
      </c>
      <c r="AP281" s="2">
        <f t="shared" si="2522"/>
        <v>2.7613412228796843E-2</v>
      </c>
      <c r="AQ281" s="2">
        <f t="shared" si="2522"/>
        <v>2.8578989150568935E-2</v>
      </c>
      <c r="AR281" s="2">
        <f t="shared" si="2311"/>
        <v>0.16209034543844109</v>
      </c>
      <c r="AS281" s="2">
        <f t="shared" ref="AS281:AT281" si="2523">R281/AA281</f>
        <v>0.24063116370808679</v>
      </c>
      <c r="AT281" s="2">
        <f t="shared" si="2523"/>
        <v>0.18391108758930935</v>
      </c>
      <c r="AU281" s="2">
        <f t="shared" si="2475"/>
        <v>3.214744963566224E-2</v>
      </c>
      <c r="AV281" s="2">
        <f t="shared" si="2466"/>
        <v>3.5510462904248571E-2</v>
      </c>
      <c r="AW281" s="2">
        <f t="shared" si="2466"/>
        <v>3.3503836317135549E-2</v>
      </c>
    </row>
    <row r="282" spans="1:49" ht="13" x14ac:dyDescent="0.15">
      <c r="A282" s="1">
        <v>2022</v>
      </c>
      <c r="B282" s="1" t="s">
        <v>49</v>
      </c>
      <c r="C282" s="1" t="s">
        <v>80</v>
      </c>
      <c r="D282" s="1" t="s">
        <v>85</v>
      </c>
      <c r="E282" s="1">
        <v>87</v>
      </c>
      <c r="F282" s="1">
        <v>63</v>
      </c>
      <c r="G282" s="1">
        <v>150</v>
      </c>
      <c r="H282" s="1">
        <v>787</v>
      </c>
      <c r="I282" s="1">
        <v>626</v>
      </c>
      <c r="J282" s="1">
        <v>1413</v>
      </c>
      <c r="K282" s="1">
        <v>324</v>
      </c>
      <c r="L282" s="1">
        <v>351</v>
      </c>
      <c r="M282" s="1">
        <v>675</v>
      </c>
      <c r="N282" s="1">
        <v>229</v>
      </c>
      <c r="O282" s="1">
        <v>199</v>
      </c>
      <c r="P282" s="1">
        <v>428</v>
      </c>
      <c r="Q282" s="1">
        <v>210</v>
      </c>
      <c r="R282" s="1">
        <v>231</v>
      </c>
      <c r="S282" s="1">
        <v>441</v>
      </c>
      <c r="T282" s="1">
        <v>25</v>
      </c>
      <c r="U282" s="1">
        <v>20</v>
      </c>
      <c r="V282" s="1">
        <v>45</v>
      </c>
      <c r="W282" s="1">
        <f t="shared" ref="W282:X282" si="2524">SUM(E282,H282,K282,N282,Q282,T282)</f>
        <v>1662</v>
      </c>
      <c r="X282" s="1">
        <f t="shared" si="2524"/>
        <v>1490</v>
      </c>
      <c r="Y282" s="1">
        <f t="shared" si="2301"/>
        <v>3152</v>
      </c>
      <c r="Z282" s="1">
        <f t="shared" ref="Z282:AA282" si="2525">W282-T282</f>
        <v>1637</v>
      </c>
      <c r="AA282" s="1">
        <f t="shared" si="2525"/>
        <v>1470</v>
      </c>
      <c r="AB282" s="1">
        <f t="shared" si="2303"/>
        <v>3107</v>
      </c>
      <c r="AC282" s="1">
        <f t="shared" ref="AC282:AD282" si="2526">SUM(E282,H282,K282,N282)</f>
        <v>1427</v>
      </c>
      <c r="AD282" s="1">
        <f t="shared" si="2526"/>
        <v>1239</v>
      </c>
      <c r="AE282" s="1">
        <f t="shared" si="2305"/>
        <v>2666</v>
      </c>
      <c r="AF282" s="2">
        <f t="shared" ref="AF282:AH282" si="2527">AC282/Z282</f>
        <v>0.87171655467318265</v>
      </c>
      <c r="AG282" s="2">
        <f t="shared" si="2527"/>
        <v>0.84285714285714286</v>
      </c>
      <c r="AH282" s="2">
        <f t="shared" si="2527"/>
        <v>0.85806243965239781</v>
      </c>
      <c r="AI282" s="1">
        <f t="shared" ref="AI282:AJ282" si="2528">SUM(E282,H282,K282)</f>
        <v>1198</v>
      </c>
      <c r="AJ282" s="1">
        <f t="shared" si="2528"/>
        <v>1040</v>
      </c>
      <c r="AK282" s="1">
        <f t="shared" si="2308"/>
        <v>2238</v>
      </c>
      <c r="AL282" s="2">
        <f t="shared" ref="AL282:AN282" si="2529">AI282/Z282</f>
        <v>0.73182651191203418</v>
      </c>
      <c r="AM282" s="2">
        <f t="shared" si="2529"/>
        <v>0.70748299319727892</v>
      </c>
      <c r="AN282" s="2">
        <f t="shared" si="2529"/>
        <v>0.72030897972320562</v>
      </c>
      <c r="AO282" s="2">
        <f t="shared" ref="AO282:AQ282" si="2530">E282/Z282</f>
        <v>5.3145998778252899E-2</v>
      </c>
      <c r="AP282" s="2">
        <f t="shared" si="2530"/>
        <v>4.2857142857142858E-2</v>
      </c>
      <c r="AQ282" s="2">
        <f t="shared" si="2530"/>
        <v>4.8278081750885098E-2</v>
      </c>
      <c r="AR282" s="2">
        <f t="shared" si="2311"/>
        <v>0.14111178985949907</v>
      </c>
      <c r="AS282" s="2">
        <f t="shared" ref="AS282:AT282" si="2531">R282/AA282</f>
        <v>0.15714285714285714</v>
      </c>
      <c r="AT282" s="2">
        <f t="shared" si="2531"/>
        <v>0.14193756034760219</v>
      </c>
      <c r="AU282" s="2">
        <f t="shared" si="2475"/>
        <v>1.5042117930204572E-2</v>
      </c>
      <c r="AV282" s="2">
        <f t="shared" si="2466"/>
        <v>1.3422818791946308E-2</v>
      </c>
      <c r="AW282" s="2">
        <f t="shared" si="2466"/>
        <v>1.4276649746192893E-2</v>
      </c>
    </row>
    <row r="283" spans="1:49" ht="13" x14ac:dyDescent="0.15">
      <c r="A283" s="1">
        <v>2022</v>
      </c>
      <c r="B283" s="1" t="s">
        <v>49</v>
      </c>
      <c r="C283" s="1" t="s">
        <v>67</v>
      </c>
      <c r="D283" s="1" t="s">
        <v>86</v>
      </c>
      <c r="E283" s="1">
        <v>389</v>
      </c>
      <c r="F283" s="1">
        <v>252</v>
      </c>
      <c r="G283" s="1">
        <v>641</v>
      </c>
      <c r="H283" s="1">
        <v>1980</v>
      </c>
      <c r="I283" s="1">
        <v>1756</v>
      </c>
      <c r="J283" s="1">
        <v>3736</v>
      </c>
      <c r="K283" s="1">
        <v>1095</v>
      </c>
      <c r="L283" s="1">
        <v>1127</v>
      </c>
      <c r="M283" s="1">
        <v>2222</v>
      </c>
      <c r="N283" s="1">
        <v>610</v>
      </c>
      <c r="O283" s="1">
        <v>705</v>
      </c>
      <c r="P283" s="1">
        <v>1315</v>
      </c>
      <c r="Q283" s="1">
        <v>648</v>
      </c>
      <c r="R283" s="1">
        <v>656</v>
      </c>
      <c r="S283" s="1">
        <v>1304</v>
      </c>
      <c r="T283" s="1">
        <v>200</v>
      </c>
      <c r="U283" s="1">
        <v>164</v>
      </c>
      <c r="V283" s="1">
        <v>364</v>
      </c>
      <c r="W283" s="1">
        <f t="shared" ref="W283:X283" si="2532">SUM(E283,H283,K283,N283,Q283,T283)</f>
        <v>4922</v>
      </c>
      <c r="X283" s="1">
        <f t="shared" si="2532"/>
        <v>4660</v>
      </c>
      <c r="Y283" s="1">
        <f t="shared" si="2301"/>
        <v>9582</v>
      </c>
      <c r="Z283" s="1">
        <f t="shared" ref="Z283:AA283" si="2533">W283-T283</f>
        <v>4722</v>
      </c>
      <c r="AA283" s="1">
        <f t="shared" si="2533"/>
        <v>4496</v>
      </c>
      <c r="AB283" s="1">
        <f t="shared" si="2303"/>
        <v>9218</v>
      </c>
      <c r="AC283" s="1">
        <f t="shared" ref="AC283:AD283" si="2534">SUM(E283,H283,K283,N283)</f>
        <v>4074</v>
      </c>
      <c r="AD283" s="1">
        <f t="shared" si="2534"/>
        <v>3840</v>
      </c>
      <c r="AE283" s="1">
        <f t="shared" si="2305"/>
        <v>7914</v>
      </c>
      <c r="AF283" s="2">
        <f t="shared" ref="AF283:AH283" si="2535">AC283/Z283</f>
        <v>0.86277001270648035</v>
      </c>
      <c r="AG283" s="2">
        <f t="shared" si="2535"/>
        <v>0.85409252669039148</v>
      </c>
      <c r="AH283" s="2">
        <f t="shared" si="2535"/>
        <v>0.85853764374050767</v>
      </c>
      <c r="AI283" s="1">
        <f t="shared" ref="AI283:AJ283" si="2536">SUM(E283,H283,K283)</f>
        <v>3464</v>
      </c>
      <c r="AJ283" s="1">
        <f t="shared" si="2536"/>
        <v>3135</v>
      </c>
      <c r="AK283" s="1">
        <f t="shared" si="2308"/>
        <v>6599</v>
      </c>
      <c r="AL283" s="2">
        <f t="shared" ref="AL283:AN283" si="2537">AI283/Z283</f>
        <v>0.73358746293943244</v>
      </c>
      <c r="AM283" s="2">
        <f t="shared" si="2537"/>
        <v>0.69728647686832745</v>
      </c>
      <c r="AN283" s="2">
        <f t="shared" si="2537"/>
        <v>0.71588197005858101</v>
      </c>
      <c r="AO283" s="2">
        <f t="shared" ref="AO283:AQ283" si="2538">E283/Z283</f>
        <v>8.2380347310461663E-2</v>
      </c>
      <c r="AP283" s="2">
        <f t="shared" si="2538"/>
        <v>5.6049822064056939E-2</v>
      </c>
      <c r="AQ283" s="2">
        <f t="shared" si="2538"/>
        <v>6.9537860707311785E-2</v>
      </c>
      <c r="AR283" s="2">
        <f t="shared" si="2311"/>
        <v>0.13892418466751377</v>
      </c>
      <c r="AS283" s="2">
        <f t="shared" ref="AS283:AT283" si="2539">R283/AA283</f>
        <v>0.14590747330960854</v>
      </c>
      <c r="AT283" s="2">
        <f t="shared" si="2539"/>
        <v>0.1414623562594923</v>
      </c>
      <c r="AU283" s="2">
        <f t="shared" si="2475"/>
        <v>4.063388866314506E-2</v>
      </c>
      <c r="AV283" s="2">
        <f t="shared" si="2466"/>
        <v>3.51931330472103E-2</v>
      </c>
      <c r="AW283" s="2">
        <f t="shared" si="2466"/>
        <v>3.7987893967856394E-2</v>
      </c>
    </row>
    <row r="284" spans="1:49" ht="13" x14ac:dyDescent="0.15">
      <c r="A284" s="1">
        <v>2022</v>
      </c>
      <c r="B284" s="1" t="s">
        <v>49</v>
      </c>
      <c r="C284" s="1" t="s">
        <v>70</v>
      </c>
      <c r="D284" s="1" t="s">
        <v>87</v>
      </c>
      <c r="E284" s="1">
        <v>198</v>
      </c>
      <c r="F284" s="1">
        <v>149</v>
      </c>
      <c r="G284" s="1">
        <v>347</v>
      </c>
      <c r="H284" s="1">
        <v>962</v>
      </c>
      <c r="I284" s="1">
        <v>869</v>
      </c>
      <c r="J284" s="1">
        <v>1831</v>
      </c>
      <c r="K284" s="1">
        <v>570</v>
      </c>
      <c r="L284" s="1">
        <v>596</v>
      </c>
      <c r="M284" s="1">
        <v>1166</v>
      </c>
      <c r="N284" s="1">
        <v>500</v>
      </c>
      <c r="O284" s="1">
        <v>532</v>
      </c>
      <c r="P284" s="1">
        <v>1032</v>
      </c>
      <c r="Q284" s="1">
        <v>596</v>
      </c>
      <c r="R284" s="1">
        <v>594</v>
      </c>
      <c r="S284" s="1">
        <v>1190</v>
      </c>
      <c r="T284" s="1">
        <v>27</v>
      </c>
      <c r="U284" s="1">
        <v>70</v>
      </c>
      <c r="V284" s="1">
        <v>97</v>
      </c>
      <c r="W284" s="1">
        <f t="shared" ref="W284:X284" si="2540">SUM(E284,H284,K284,N284,Q284,T284)</f>
        <v>2853</v>
      </c>
      <c r="X284" s="1">
        <f t="shared" si="2540"/>
        <v>2810</v>
      </c>
      <c r="Y284" s="1">
        <f t="shared" si="2301"/>
        <v>5663</v>
      </c>
      <c r="Z284" s="1">
        <f t="shared" ref="Z284:AA284" si="2541">W284-T284</f>
        <v>2826</v>
      </c>
      <c r="AA284" s="1">
        <f t="shared" si="2541"/>
        <v>2740</v>
      </c>
      <c r="AB284" s="1">
        <f t="shared" si="2303"/>
        <v>5566</v>
      </c>
      <c r="AC284" s="1">
        <f t="shared" ref="AC284:AD284" si="2542">SUM(E284,H284,K284,N284)</f>
        <v>2230</v>
      </c>
      <c r="AD284" s="1">
        <f t="shared" si="2542"/>
        <v>2146</v>
      </c>
      <c r="AE284" s="1">
        <f t="shared" si="2305"/>
        <v>4376</v>
      </c>
      <c r="AF284" s="2">
        <f t="shared" ref="AF284:AH284" si="2543">AC284/Z284</f>
        <v>0.78910120311394194</v>
      </c>
      <c r="AG284" s="2">
        <f t="shared" si="2543"/>
        <v>0.78321167883211684</v>
      </c>
      <c r="AH284" s="2">
        <f t="shared" si="2543"/>
        <v>0.78620194035213797</v>
      </c>
      <c r="AI284" s="1">
        <f t="shared" ref="AI284:AJ284" si="2544">SUM(E284,H284,K284)</f>
        <v>1730</v>
      </c>
      <c r="AJ284" s="1">
        <f t="shared" si="2544"/>
        <v>1614</v>
      </c>
      <c r="AK284" s="1">
        <f t="shared" si="2308"/>
        <v>3344</v>
      </c>
      <c r="AL284" s="2">
        <f t="shared" ref="AL284:AN284" si="2545">AI284/Z284</f>
        <v>0.61217268223637655</v>
      </c>
      <c r="AM284" s="2">
        <f t="shared" si="2545"/>
        <v>0.589051094890511</v>
      </c>
      <c r="AN284" s="2">
        <f t="shared" si="2545"/>
        <v>0.60079051383399207</v>
      </c>
      <c r="AO284" s="2">
        <f t="shared" ref="AO284:AQ284" si="2546">E284/Z284</f>
        <v>7.0063694267515922E-2</v>
      </c>
      <c r="AP284" s="2">
        <f t="shared" si="2546"/>
        <v>5.4379562043795619E-2</v>
      </c>
      <c r="AQ284" s="2">
        <f t="shared" si="2546"/>
        <v>6.2342795544376571E-2</v>
      </c>
      <c r="AR284" s="2">
        <f t="shared" si="2311"/>
        <v>0.21019108280254778</v>
      </c>
      <c r="AS284" s="2">
        <f t="shared" ref="AS284:AT284" si="2547">R284/AA284</f>
        <v>0.21678832116788321</v>
      </c>
      <c r="AT284" s="2">
        <f t="shared" si="2547"/>
        <v>0.21379805964786203</v>
      </c>
      <c r="AU284" s="2">
        <f t="shared" si="2475"/>
        <v>9.4637223974763408E-3</v>
      </c>
      <c r="AV284" s="2">
        <f t="shared" si="2466"/>
        <v>2.491103202846975E-2</v>
      </c>
      <c r="AW284" s="2">
        <f t="shared" si="2466"/>
        <v>1.7128730354935548E-2</v>
      </c>
    </row>
    <row r="285" spans="1:49" ht="13" x14ac:dyDescent="0.15">
      <c r="A285" s="1">
        <v>2022</v>
      </c>
      <c r="B285" s="1" t="s">
        <v>49</v>
      </c>
      <c r="C285" s="1" t="s">
        <v>62</v>
      </c>
      <c r="D285" s="1" t="s">
        <v>88</v>
      </c>
      <c r="E285" s="1">
        <v>65</v>
      </c>
      <c r="F285" s="1">
        <v>53</v>
      </c>
      <c r="G285" s="1">
        <v>118</v>
      </c>
      <c r="H285" s="1">
        <v>528</v>
      </c>
      <c r="I285" s="1">
        <v>667</v>
      </c>
      <c r="J285" s="1">
        <v>1195</v>
      </c>
      <c r="K285" s="1">
        <v>302</v>
      </c>
      <c r="L285" s="1">
        <v>369</v>
      </c>
      <c r="M285" s="1">
        <v>671</v>
      </c>
      <c r="N285" s="1">
        <v>228</v>
      </c>
      <c r="O285" s="1">
        <v>295</v>
      </c>
      <c r="P285" s="1">
        <v>523</v>
      </c>
      <c r="Q285" s="1">
        <v>224</v>
      </c>
      <c r="R285" s="1">
        <v>336</v>
      </c>
      <c r="S285" s="1">
        <v>560</v>
      </c>
      <c r="T285" s="1">
        <v>39</v>
      </c>
      <c r="U285" s="1">
        <v>58</v>
      </c>
      <c r="V285" s="1">
        <v>97</v>
      </c>
      <c r="W285" s="1">
        <f t="shared" ref="W285:X285" si="2548">SUM(E285,H285,K285,N285,Q285,T285)</f>
        <v>1386</v>
      </c>
      <c r="X285" s="1">
        <f t="shared" si="2548"/>
        <v>1778</v>
      </c>
      <c r="Y285" s="1">
        <f t="shared" si="2301"/>
        <v>3164</v>
      </c>
      <c r="Z285" s="1">
        <f t="shared" ref="Z285:AA285" si="2549">W285-T285</f>
        <v>1347</v>
      </c>
      <c r="AA285" s="1">
        <f t="shared" si="2549"/>
        <v>1720</v>
      </c>
      <c r="AB285" s="1">
        <f t="shared" si="2303"/>
        <v>3067</v>
      </c>
      <c r="AC285" s="1">
        <f t="shared" ref="AC285:AD285" si="2550">SUM(E285,H285,K285,N285)</f>
        <v>1123</v>
      </c>
      <c r="AD285" s="1">
        <f t="shared" si="2550"/>
        <v>1384</v>
      </c>
      <c r="AE285" s="1">
        <f t="shared" si="2305"/>
        <v>2507</v>
      </c>
      <c r="AF285" s="2">
        <f t="shared" ref="AF285:AH285" si="2551">AC285/Z285</f>
        <v>0.83370452858203414</v>
      </c>
      <c r="AG285" s="2">
        <f t="shared" si="2551"/>
        <v>0.8046511627906977</v>
      </c>
      <c r="AH285" s="2">
        <f t="shared" si="2551"/>
        <v>0.81741115096185202</v>
      </c>
      <c r="AI285" s="1">
        <f t="shared" ref="AI285:AJ285" si="2552">SUM(E285,H285,K285)</f>
        <v>895</v>
      </c>
      <c r="AJ285" s="1">
        <f t="shared" si="2552"/>
        <v>1089</v>
      </c>
      <c r="AK285" s="1">
        <f t="shared" si="2308"/>
        <v>1984</v>
      </c>
      <c r="AL285" s="2">
        <f t="shared" ref="AL285:AN285" si="2553">AI285/Z285</f>
        <v>0.66443949517446177</v>
      </c>
      <c r="AM285" s="2">
        <f t="shared" si="2553"/>
        <v>0.63313953488372088</v>
      </c>
      <c r="AN285" s="2">
        <f t="shared" si="2553"/>
        <v>0.64688620802086727</v>
      </c>
      <c r="AO285" s="2">
        <f t="shared" ref="AO285:AQ285" si="2554">E285/Z285</f>
        <v>4.8255382331106163E-2</v>
      </c>
      <c r="AP285" s="2">
        <f t="shared" si="2554"/>
        <v>3.0813953488372094E-2</v>
      </c>
      <c r="AQ285" s="2">
        <f t="shared" si="2554"/>
        <v>3.8474078904466906E-2</v>
      </c>
      <c r="AR285" s="2">
        <f t="shared" si="2311"/>
        <v>0.24944320712694878</v>
      </c>
      <c r="AS285" s="2">
        <f t="shared" ref="AS285:AT285" si="2555">R285/AA285</f>
        <v>0.19534883720930232</v>
      </c>
      <c r="AT285" s="2">
        <f t="shared" si="2555"/>
        <v>0.18258884903814804</v>
      </c>
      <c r="AU285" s="2">
        <f t="shared" si="2475"/>
        <v>2.813852813852814E-2</v>
      </c>
      <c r="AV285" s="2">
        <f t="shared" si="2466"/>
        <v>3.2620922384701913E-2</v>
      </c>
      <c r="AW285" s="2">
        <f t="shared" si="2466"/>
        <v>3.065739570164349E-2</v>
      </c>
    </row>
    <row r="286" spans="1:49" ht="13" x14ac:dyDescent="0.15">
      <c r="A286" s="1">
        <v>2022</v>
      </c>
      <c r="B286" s="1" t="s">
        <v>49</v>
      </c>
      <c r="C286" s="1" t="s">
        <v>89</v>
      </c>
      <c r="D286" s="1" t="s">
        <v>90</v>
      </c>
      <c r="E286" s="1">
        <v>253</v>
      </c>
      <c r="F286" s="1">
        <v>169</v>
      </c>
      <c r="G286" s="1">
        <v>422</v>
      </c>
      <c r="H286" s="1">
        <v>1420</v>
      </c>
      <c r="I286" s="1">
        <v>1447</v>
      </c>
      <c r="J286" s="1">
        <v>2867</v>
      </c>
      <c r="K286" s="1">
        <v>747</v>
      </c>
      <c r="L286" s="1">
        <v>873</v>
      </c>
      <c r="M286" s="1">
        <v>1620</v>
      </c>
      <c r="N286" s="1">
        <v>510</v>
      </c>
      <c r="O286" s="1">
        <v>606</v>
      </c>
      <c r="P286" s="1">
        <v>1116</v>
      </c>
      <c r="Q286" s="1">
        <v>562</v>
      </c>
      <c r="R286" s="1">
        <v>610</v>
      </c>
      <c r="S286" s="1">
        <v>1172</v>
      </c>
      <c r="T286" s="1">
        <v>43</v>
      </c>
      <c r="U286" s="1">
        <v>68</v>
      </c>
      <c r="V286" s="1">
        <v>111</v>
      </c>
      <c r="W286" s="1">
        <f t="shared" ref="W286:X286" si="2556">SUM(E286,H286,K286,N286,Q286,T286)</f>
        <v>3535</v>
      </c>
      <c r="X286" s="1">
        <f t="shared" si="2556"/>
        <v>3773</v>
      </c>
      <c r="Y286" s="1">
        <f t="shared" si="2301"/>
        <v>7308</v>
      </c>
      <c r="Z286" s="1">
        <f t="shared" ref="Z286:AA286" si="2557">W286-T286</f>
        <v>3492</v>
      </c>
      <c r="AA286" s="1">
        <f t="shared" si="2557"/>
        <v>3705</v>
      </c>
      <c r="AB286" s="1">
        <f t="shared" si="2303"/>
        <v>7197</v>
      </c>
      <c r="AC286" s="1">
        <f t="shared" ref="AC286:AD286" si="2558">SUM(E286,H286,K286,N286)</f>
        <v>2930</v>
      </c>
      <c r="AD286" s="1">
        <f t="shared" si="2558"/>
        <v>3095</v>
      </c>
      <c r="AE286" s="1">
        <f t="shared" si="2305"/>
        <v>6025</v>
      </c>
      <c r="AF286" s="2">
        <f t="shared" ref="AF286:AH286" si="2559">AC286/Z286</f>
        <v>0.83906071019473083</v>
      </c>
      <c r="AG286" s="2">
        <f t="shared" si="2559"/>
        <v>0.83535762483130904</v>
      </c>
      <c r="AH286" s="2">
        <f t="shared" si="2559"/>
        <v>0.8371543698763374</v>
      </c>
      <c r="AI286" s="1">
        <f t="shared" ref="AI286:AJ286" si="2560">SUM(E286,H286,K286)</f>
        <v>2420</v>
      </c>
      <c r="AJ286" s="1">
        <f t="shared" si="2560"/>
        <v>2489</v>
      </c>
      <c r="AK286" s="1">
        <f t="shared" si="2308"/>
        <v>4909</v>
      </c>
      <c r="AL286" s="2">
        <f t="shared" ref="AL286:AN286" si="2561">AI286/Z286</f>
        <v>0.69301260022909505</v>
      </c>
      <c r="AM286" s="2">
        <f t="shared" si="2561"/>
        <v>0.67179487179487174</v>
      </c>
      <c r="AN286" s="2">
        <f t="shared" si="2561"/>
        <v>0.68208975962206475</v>
      </c>
      <c r="AO286" s="2">
        <f t="shared" ref="AO286:AQ286" si="2562">E286/Z286</f>
        <v>7.2451317296678128E-2</v>
      </c>
      <c r="AP286" s="2">
        <f t="shared" si="2562"/>
        <v>4.5614035087719301E-2</v>
      </c>
      <c r="AQ286" s="2">
        <f t="shared" si="2562"/>
        <v>5.8635542587189109E-2</v>
      </c>
      <c r="AR286" s="2">
        <f t="shared" si="2311"/>
        <v>0.17468499427262313</v>
      </c>
      <c r="AS286" s="2">
        <f t="shared" ref="AS286:AT286" si="2563">R286/AA286</f>
        <v>0.16464237516869096</v>
      </c>
      <c r="AT286" s="2">
        <f t="shared" si="2563"/>
        <v>0.16284563012366263</v>
      </c>
      <c r="AU286" s="2">
        <f t="shared" si="2475"/>
        <v>1.2164073550212163E-2</v>
      </c>
      <c r="AV286" s="2">
        <f t="shared" si="2466"/>
        <v>1.8022793532997614E-2</v>
      </c>
      <c r="AW286" s="2">
        <f t="shared" si="2466"/>
        <v>1.5188834154351396E-2</v>
      </c>
    </row>
    <row r="287" spans="1:49" ht="13" x14ac:dyDescent="0.15">
      <c r="A287" s="1">
        <v>2022</v>
      </c>
      <c r="B287" s="1" t="s">
        <v>49</v>
      </c>
      <c r="C287" s="1" t="s">
        <v>89</v>
      </c>
      <c r="D287" s="1" t="s">
        <v>91</v>
      </c>
      <c r="E287" s="1">
        <v>111</v>
      </c>
      <c r="F287" s="1">
        <v>89</v>
      </c>
      <c r="G287" s="1">
        <v>200</v>
      </c>
      <c r="H287" s="1">
        <v>832</v>
      </c>
      <c r="I287" s="1">
        <v>912</v>
      </c>
      <c r="J287" s="1">
        <v>1744</v>
      </c>
      <c r="K287" s="1">
        <v>389</v>
      </c>
      <c r="L287" s="1">
        <v>464</v>
      </c>
      <c r="M287" s="1">
        <v>853</v>
      </c>
      <c r="N287" s="1">
        <v>332</v>
      </c>
      <c r="O287" s="1">
        <v>374</v>
      </c>
      <c r="P287" s="1">
        <v>706</v>
      </c>
      <c r="Q287" s="1">
        <v>323</v>
      </c>
      <c r="R287" s="1">
        <v>346</v>
      </c>
      <c r="S287" s="1">
        <v>669</v>
      </c>
      <c r="T287" s="1">
        <v>77</v>
      </c>
      <c r="U287" s="1">
        <v>91</v>
      </c>
      <c r="V287" s="1">
        <v>168</v>
      </c>
      <c r="W287" s="1">
        <f t="shared" ref="W287:X287" si="2564">SUM(E287,H287,K287,N287,Q287,T287)</f>
        <v>2064</v>
      </c>
      <c r="X287" s="1">
        <f t="shared" si="2564"/>
        <v>2276</v>
      </c>
      <c r="Y287" s="1">
        <f t="shared" si="2301"/>
        <v>4340</v>
      </c>
      <c r="Z287" s="1">
        <f t="shared" ref="Z287:AA287" si="2565">W287-T287</f>
        <v>1987</v>
      </c>
      <c r="AA287" s="1">
        <f t="shared" si="2565"/>
        <v>2185</v>
      </c>
      <c r="AB287" s="1">
        <f t="shared" si="2303"/>
        <v>4172</v>
      </c>
      <c r="AC287" s="1">
        <f t="shared" ref="AC287:AD287" si="2566">SUM(E287,H287,K287,N287)</f>
        <v>1664</v>
      </c>
      <c r="AD287" s="1">
        <f t="shared" si="2566"/>
        <v>1839</v>
      </c>
      <c r="AE287" s="1">
        <f t="shared" si="2305"/>
        <v>3503</v>
      </c>
      <c r="AF287" s="2">
        <f t="shared" ref="AF287:AH287" si="2567">AC287/Z287</f>
        <v>0.83744338198288881</v>
      </c>
      <c r="AG287" s="2">
        <f t="shared" si="2567"/>
        <v>0.84164759725400462</v>
      </c>
      <c r="AH287" s="2">
        <f t="shared" si="2567"/>
        <v>0.8396452540747843</v>
      </c>
      <c r="AI287" s="1">
        <f t="shared" ref="AI287:AJ287" si="2568">SUM(E287,H287,K287)</f>
        <v>1332</v>
      </c>
      <c r="AJ287" s="1">
        <f t="shared" si="2568"/>
        <v>1465</v>
      </c>
      <c r="AK287" s="1">
        <f t="shared" si="2308"/>
        <v>2797</v>
      </c>
      <c r="AL287" s="2">
        <f t="shared" ref="AL287:AN287" si="2569">AI287/Z287</f>
        <v>0.67035732259687975</v>
      </c>
      <c r="AM287" s="2">
        <f t="shared" si="2569"/>
        <v>0.67048054919908462</v>
      </c>
      <c r="AN287" s="2">
        <f t="shared" si="2569"/>
        <v>0.67042186001917548</v>
      </c>
      <c r="AO287" s="2">
        <f t="shared" ref="AO287:AQ287" si="2570">E287/Z287</f>
        <v>5.5863110216406643E-2</v>
      </c>
      <c r="AP287" s="2">
        <f t="shared" si="2570"/>
        <v>4.0732265446224256E-2</v>
      </c>
      <c r="AQ287" s="2">
        <f t="shared" si="2570"/>
        <v>4.793863854266539E-2</v>
      </c>
      <c r="AR287" s="2">
        <f t="shared" si="2311"/>
        <v>0.17413185707096124</v>
      </c>
      <c r="AS287" s="2">
        <f t="shared" ref="AS287:AT287" si="2571">R287/AA287</f>
        <v>0.15835240274599544</v>
      </c>
      <c r="AT287" s="2">
        <f t="shared" si="2571"/>
        <v>0.16035474592521573</v>
      </c>
      <c r="AU287" s="2">
        <f t="shared" si="2475"/>
        <v>3.7306201550387594E-2</v>
      </c>
      <c r="AV287" s="2">
        <f t="shared" si="2466"/>
        <v>3.9982425307557121E-2</v>
      </c>
      <c r="AW287" s="2">
        <f t="shared" si="2466"/>
        <v>3.870967741935484E-2</v>
      </c>
    </row>
    <row r="288" spans="1:49" ht="13" x14ac:dyDescent="0.15">
      <c r="A288" s="1">
        <v>2022</v>
      </c>
      <c r="B288" s="1" t="s">
        <v>49</v>
      </c>
      <c r="C288" s="1" t="s">
        <v>54</v>
      </c>
      <c r="D288" s="1" t="s">
        <v>92</v>
      </c>
      <c r="E288" s="1">
        <v>167</v>
      </c>
      <c r="F288" s="1">
        <v>142</v>
      </c>
      <c r="G288" s="1">
        <v>309</v>
      </c>
      <c r="H288" s="1">
        <v>541</v>
      </c>
      <c r="I288" s="1">
        <v>687</v>
      </c>
      <c r="J288" s="1">
        <v>1228</v>
      </c>
      <c r="K288" s="1">
        <v>101</v>
      </c>
      <c r="L288" s="1">
        <v>192</v>
      </c>
      <c r="M288" s="1">
        <v>293</v>
      </c>
      <c r="N288" s="1">
        <v>68</v>
      </c>
      <c r="O288" s="1">
        <v>86</v>
      </c>
      <c r="P288" s="1">
        <v>154</v>
      </c>
      <c r="Q288" s="1">
        <v>46</v>
      </c>
      <c r="R288" s="1">
        <v>59</v>
      </c>
      <c r="S288" s="1">
        <v>105</v>
      </c>
      <c r="T288" s="1">
        <v>32</v>
      </c>
      <c r="U288" s="1">
        <v>26</v>
      </c>
      <c r="V288" s="1">
        <v>58</v>
      </c>
      <c r="W288" s="1">
        <f t="shared" ref="W288:X288" si="2572">SUM(E288,H288,K288,N288,Q288,T288)</f>
        <v>955</v>
      </c>
      <c r="X288" s="1">
        <f t="shared" si="2572"/>
        <v>1192</v>
      </c>
      <c r="Y288" s="1">
        <f t="shared" si="2301"/>
        <v>2147</v>
      </c>
      <c r="Z288" s="1">
        <f t="shared" ref="Z288:AA288" si="2573">W288-T288</f>
        <v>923</v>
      </c>
      <c r="AA288" s="1">
        <f t="shared" si="2573"/>
        <v>1166</v>
      </c>
      <c r="AB288" s="1">
        <f t="shared" si="2303"/>
        <v>2089</v>
      </c>
      <c r="AC288" s="1">
        <f t="shared" ref="AC288:AD288" si="2574">SUM(E288,H288,K288,N288)</f>
        <v>877</v>
      </c>
      <c r="AD288" s="1">
        <f t="shared" si="2574"/>
        <v>1107</v>
      </c>
      <c r="AE288" s="1">
        <f t="shared" si="2305"/>
        <v>1984</v>
      </c>
      <c r="AF288" s="2">
        <f t="shared" ref="AF288:AH288" si="2575">AC288/Z288</f>
        <v>0.95016251354279524</v>
      </c>
      <c r="AG288" s="2">
        <f t="shared" si="2575"/>
        <v>0.94939965694682671</v>
      </c>
      <c r="AH288" s="2">
        <f t="shared" si="2575"/>
        <v>0.94973671613212063</v>
      </c>
      <c r="AI288" s="1">
        <f t="shared" ref="AI288:AJ288" si="2576">SUM(E288,H288,K288)</f>
        <v>809</v>
      </c>
      <c r="AJ288" s="1">
        <f t="shared" si="2576"/>
        <v>1021</v>
      </c>
      <c r="AK288" s="1">
        <f t="shared" si="2308"/>
        <v>1830</v>
      </c>
      <c r="AL288" s="2">
        <f t="shared" ref="AL288:AN288" si="2577">AI288/Z288</f>
        <v>0.87648970747562294</v>
      </c>
      <c r="AM288" s="2">
        <f t="shared" si="2577"/>
        <v>0.87564322469982847</v>
      </c>
      <c r="AN288" s="2">
        <f t="shared" si="2577"/>
        <v>0.87601723312589752</v>
      </c>
      <c r="AO288" s="2">
        <f t="shared" ref="AO288:AQ288" si="2578">E288/Z288</f>
        <v>0.18093174431202599</v>
      </c>
      <c r="AP288" s="2">
        <f t="shared" si="2578"/>
        <v>0.12178387650085763</v>
      </c>
      <c r="AQ288" s="2">
        <f t="shared" si="2578"/>
        <v>0.14791766395404499</v>
      </c>
      <c r="AR288" s="2">
        <f t="shared" si="2311"/>
        <v>6.3921993499458291E-2</v>
      </c>
      <c r="AS288" s="2">
        <f t="shared" ref="AS288:AT288" si="2579">R288/AA288</f>
        <v>5.0600343053173243E-2</v>
      </c>
      <c r="AT288" s="2">
        <f t="shared" si="2579"/>
        <v>5.0263283867879371E-2</v>
      </c>
      <c r="AU288" s="2">
        <f t="shared" si="2475"/>
        <v>3.3507853403141365E-2</v>
      </c>
      <c r="AV288" s="2">
        <f t="shared" si="2466"/>
        <v>2.1812080536912751E-2</v>
      </c>
      <c r="AW288" s="2">
        <f t="shared" si="2466"/>
        <v>2.7014438751746622E-2</v>
      </c>
    </row>
    <row r="289" spans="1:49" ht="13" x14ac:dyDescent="0.15">
      <c r="A289" s="1">
        <v>2022</v>
      </c>
      <c r="B289" s="1" t="s">
        <v>49</v>
      </c>
      <c r="C289" s="1" t="s">
        <v>93</v>
      </c>
      <c r="D289" s="1" t="s">
        <v>94</v>
      </c>
      <c r="E289" s="1">
        <v>965</v>
      </c>
      <c r="F289" s="1">
        <v>1023</v>
      </c>
      <c r="G289" s="1">
        <v>1988</v>
      </c>
      <c r="H289" s="1">
        <v>2567</v>
      </c>
      <c r="I289" s="1">
        <v>3331</v>
      </c>
      <c r="J289" s="1">
        <v>5898</v>
      </c>
      <c r="K289" s="1">
        <v>802</v>
      </c>
      <c r="L289" s="1">
        <v>1071</v>
      </c>
      <c r="M289" s="1">
        <v>1873</v>
      </c>
      <c r="N289" s="1">
        <v>595</v>
      </c>
      <c r="O289" s="1">
        <v>799</v>
      </c>
      <c r="P289" s="1">
        <v>1394</v>
      </c>
      <c r="Q289" s="1">
        <v>525</v>
      </c>
      <c r="R289" s="1">
        <v>548</v>
      </c>
      <c r="S289" s="1">
        <v>1073</v>
      </c>
      <c r="T289" s="1">
        <v>147</v>
      </c>
      <c r="U289" s="1">
        <v>175</v>
      </c>
      <c r="V289" s="1">
        <v>322</v>
      </c>
      <c r="W289" s="1">
        <f t="shared" ref="W289:X289" si="2580">SUM(E289,H289,K289,N289,Q289,T289)</f>
        <v>5601</v>
      </c>
      <c r="X289" s="1">
        <f t="shared" si="2580"/>
        <v>6947</v>
      </c>
      <c r="Y289" s="1">
        <f t="shared" si="2301"/>
        <v>12548</v>
      </c>
      <c r="Z289" s="1">
        <f t="shared" ref="Z289:AA289" si="2581">W289-T289</f>
        <v>5454</v>
      </c>
      <c r="AA289" s="1">
        <f t="shared" si="2581"/>
        <v>6772</v>
      </c>
      <c r="AB289" s="1">
        <f t="shared" si="2303"/>
        <v>12226</v>
      </c>
      <c r="AC289" s="1">
        <f t="shared" ref="AC289:AD289" si="2582">SUM(E289,H289,K289,N289)</f>
        <v>4929</v>
      </c>
      <c r="AD289" s="1">
        <f t="shared" si="2582"/>
        <v>6224</v>
      </c>
      <c r="AE289" s="1">
        <f t="shared" si="2305"/>
        <v>11153</v>
      </c>
      <c r="AF289" s="2">
        <f t="shared" ref="AF289:AH289" si="2583">AC289/Z289</f>
        <v>0.9037403740374037</v>
      </c>
      <c r="AG289" s="2">
        <f t="shared" si="2583"/>
        <v>0.91907855877141165</v>
      </c>
      <c r="AH289" s="2">
        <f t="shared" si="2583"/>
        <v>0.91223621789628662</v>
      </c>
      <c r="AI289" s="1">
        <f t="shared" ref="AI289:AJ289" si="2584">SUM(E289,H289,K289)</f>
        <v>4334</v>
      </c>
      <c r="AJ289" s="1">
        <f t="shared" si="2584"/>
        <v>5425</v>
      </c>
      <c r="AK289" s="1">
        <f t="shared" si="2308"/>
        <v>9759</v>
      </c>
      <c r="AL289" s="2">
        <f t="shared" ref="AL289:AN289" si="2585">AI289/Z289</f>
        <v>0.79464613127979467</v>
      </c>
      <c r="AM289" s="2">
        <f t="shared" si="2585"/>
        <v>0.80109273479031307</v>
      </c>
      <c r="AN289" s="2">
        <f t="shared" si="2585"/>
        <v>0.79821691477179779</v>
      </c>
      <c r="AO289" s="2">
        <f t="shared" ref="AO289:AQ289" si="2586">E289/Z289</f>
        <v>0.17693436010267694</v>
      </c>
      <c r="AP289" s="2">
        <f t="shared" si="2586"/>
        <v>0.15106320141760188</v>
      </c>
      <c r="AQ289" s="2">
        <f t="shared" si="2586"/>
        <v>0.16260428594797971</v>
      </c>
      <c r="AR289" s="2">
        <f t="shared" si="2311"/>
        <v>0.10047671433810047</v>
      </c>
      <c r="AS289" s="2">
        <f t="shared" ref="AS289:AT289" si="2587">R289/AA289</f>
        <v>8.0921441228588312E-2</v>
      </c>
      <c r="AT289" s="2">
        <f t="shared" si="2587"/>
        <v>8.7763782103713397E-2</v>
      </c>
      <c r="AU289" s="2">
        <f t="shared" si="2475"/>
        <v>2.6245313336904125E-2</v>
      </c>
      <c r="AV289" s="2">
        <f t="shared" si="2466"/>
        <v>2.5190729811429394E-2</v>
      </c>
      <c r="AW289" s="2">
        <f t="shared" si="2466"/>
        <v>2.5661459993624482E-2</v>
      </c>
    </row>
    <row r="290" spans="1:49" ht="13" x14ac:dyDescent="0.15">
      <c r="A290" s="1">
        <v>2022</v>
      </c>
      <c r="B290" s="1" t="s">
        <v>49</v>
      </c>
      <c r="C290" s="1" t="s">
        <v>59</v>
      </c>
      <c r="D290" s="1" t="s">
        <v>95</v>
      </c>
      <c r="E290" s="1">
        <v>127</v>
      </c>
      <c r="F290" s="1">
        <v>71</v>
      </c>
      <c r="G290" s="1">
        <v>198</v>
      </c>
      <c r="H290" s="1">
        <v>1095</v>
      </c>
      <c r="I290" s="1">
        <v>1017</v>
      </c>
      <c r="J290" s="1">
        <v>2112</v>
      </c>
      <c r="K290" s="1">
        <v>760</v>
      </c>
      <c r="L290" s="1">
        <v>906</v>
      </c>
      <c r="M290" s="1">
        <v>1666</v>
      </c>
      <c r="N290" s="1">
        <v>411</v>
      </c>
      <c r="O290" s="1">
        <v>627</v>
      </c>
      <c r="P290" s="1">
        <v>1038</v>
      </c>
      <c r="Q290" s="1">
        <v>462</v>
      </c>
      <c r="R290" s="1">
        <v>658</v>
      </c>
      <c r="S290" s="1">
        <v>1120</v>
      </c>
      <c r="T290" s="1">
        <v>23</v>
      </c>
      <c r="U290" s="1">
        <v>34</v>
      </c>
      <c r="V290" s="1">
        <v>57</v>
      </c>
      <c r="W290" s="1">
        <f t="shared" ref="W290:X290" si="2588">SUM(E290,H290,K290,N290,Q290,T290)</f>
        <v>2878</v>
      </c>
      <c r="X290" s="1">
        <f t="shared" si="2588"/>
        <v>3313</v>
      </c>
      <c r="Y290" s="1">
        <f t="shared" si="2301"/>
        <v>6191</v>
      </c>
      <c r="Z290" s="1">
        <f t="shared" ref="Z290:AA290" si="2589">W290-T290</f>
        <v>2855</v>
      </c>
      <c r="AA290" s="1">
        <f t="shared" si="2589"/>
        <v>3279</v>
      </c>
      <c r="AB290" s="1">
        <f t="shared" si="2303"/>
        <v>6134</v>
      </c>
      <c r="AC290" s="1">
        <f t="shared" ref="AC290:AD290" si="2590">SUM(E290,H290,K290,N290)</f>
        <v>2393</v>
      </c>
      <c r="AD290" s="1">
        <f t="shared" si="2590"/>
        <v>2621</v>
      </c>
      <c r="AE290" s="1">
        <f t="shared" si="2305"/>
        <v>5014</v>
      </c>
      <c r="AF290" s="2">
        <f t="shared" ref="AF290:AH290" si="2591">AC290/Z290</f>
        <v>0.83817863397548165</v>
      </c>
      <c r="AG290" s="2">
        <f t="shared" si="2591"/>
        <v>0.79932906373894475</v>
      </c>
      <c r="AH290" s="2">
        <f t="shared" si="2591"/>
        <v>0.81741115096185202</v>
      </c>
      <c r="AI290" s="1">
        <f t="shared" ref="AI290:AJ290" si="2592">SUM(E290,H290,K290)</f>
        <v>1982</v>
      </c>
      <c r="AJ290" s="1">
        <f t="shared" si="2592"/>
        <v>1994</v>
      </c>
      <c r="AK290" s="1">
        <f t="shared" si="2308"/>
        <v>3976</v>
      </c>
      <c r="AL290" s="2">
        <f t="shared" ref="AL290:AN290" si="2593">AI290/Z290</f>
        <v>0.69422066549912431</v>
      </c>
      <c r="AM290" s="2">
        <f t="shared" si="2593"/>
        <v>0.60811222933821285</v>
      </c>
      <c r="AN290" s="2">
        <f t="shared" si="2593"/>
        <v>0.64819041408542555</v>
      </c>
      <c r="AO290" s="2">
        <f t="shared" ref="AO290:AQ290" si="2594">E290/Z290</f>
        <v>4.4483362521891417E-2</v>
      </c>
      <c r="AP290" s="2">
        <f t="shared" si="2594"/>
        <v>2.165294297041781E-2</v>
      </c>
      <c r="AQ290" s="2">
        <f t="shared" si="2594"/>
        <v>3.2279100097815455E-2</v>
      </c>
      <c r="AR290" s="2">
        <f t="shared" si="2311"/>
        <v>0.23047285464098075</v>
      </c>
      <c r="AS290" s="2">
        <f t="shared" ref="AS290:AT290" si="2595">R290/AA290</f>
        <v>0.2006709362610552</v>
      </c>
      <c r="AT290" s="2">
        <f t="shared" si="2595"/>
        <v>0.18258884903814804</v>
      </c>
      <c r="AU290" s="2">
        <f t="shared" si="2475"/>
        <v>7.9916608756080611E-3</v>
      </c>
      <c r="AV290" s="2">
        <f t="shared" si="2475"/>
        <v>1.0262601871415635E-2</v>
      </c>
      <c r="AW290" s="2">
        <f t="shared" ref="AW290:AW353" si="2596">V290/Y290</f>
        <v>9.2069132611855928E-3</v>
      </c>
    </row>
    <row r="291" spans="1:49" ht="13" x14ac:dyDescent="0.15">
      <c r="A291" s="1">
        <v>2022</v>
      </c>
      <c r="B291" s="1" t="s">
        <v>49</v>
      </c>
      <c r="C291" s="1" t="s">
        <v>50</v>
      </c>
      <c r="D291" s="1" t="s">
        <v>96</v>
      </c>
      <c r="E291" s="1">
        <v>242</v>
      </c>
      <c r="F291" s="1">
        <v>253</v>
      </c>
      <c r="G291" s="1">
        <v>495</v>
      </c>
      <c r="H291" s="1">
        <v>749</v>
      </c>
      <c r="I291" s="1">
        <v>1042</v>
      </c>
      <c r="J291" s="1">
        <v>1791</v>
      </c>
      <c r="K291" s="1">
        <v>235</v>
      </c>
      <c r="L291" s="1">
        <v>407</v>
      </c>
      <c r="M291" s="1">
        <v>642</v>
      </c>
      <c r="N291" s="1">
        <v>170</v>
      </c>
      <c r="O291" s="1">
        <v>244</v>
      </c>
      <c r="P291" s="1">
        <v>414</v>
      </c>
      <c r="Q291" s="1">
        <v>144</v>
      </c>
      <c r="R291" s="1">
        <v>224</v>
      </c>
      <c r="S291" s="1">
        <v>368</v>
      </c>
      <c r="T291" s="1">
        <v>80</v>
      </c>
      <c r="U291" s="1">
        <v>71</v>
      </c>
      <c r="V291" s="1">
        <v>151</v>
      </c>
      <c r="W291" s="1">
        <f t="shared" ref="W291:X291" si="2597">SUM(E291,H291,K291,N291,Q291,T291)</f>
        <v>1620</v>
      </c>
      <c r="X291" s="1">
        <f t="shared" si="2597"/>
        <v>2241</v>
      </c>
      <c r="Y291" s="1">
        <f t="shared" si="2301"/>
        <v>3861</v>
      </c>
      <c r="Z291" s="1">
        <f t="shared" ref="Z291:AA291" si="2598">W291-T291</f>
        <v>1540</v>
      </c>
      <c r="AA291" s="1">
        <f t="shared" si="2598"/>
        <v>2170</v>
      </c>
      <c r="AB291" s="1">
        <f t="shared" si="2303"/>
        <v>3710</v>
      </c>
      <c r="AC291" s="1">
        <f t="shared" ref="AC291:AD291" si="2599">SUM(E291,H291,K291,N291)</f>
        <v>1396</v>
      </c>
      <c r="AD291" s="1">
        <f t="shared" si="2599"/>
        <v>1946</v>
      </c>
      <c r="AE291" s="1">
        <f t="shared" si="2305"/>
        <v>3342</v>
      </c>
      <c r="AF291" s="2">
        <f t="shared" ref="AF291:AH291" si="2600">AC291/Z291</f>
        <v>0.90649350649350646</v>
      </c>
      <c r="AG291" s="2">
        <f t="shared" si="2600"/>
        <v>0.89677419354838706</v>
      </c>
      <c r="AH291" s="2">
        <f t="shared" si="2600"/>
        <v>0.90080862533692718</v>
      </c>
      <c r="AI291" s="1">
        <f t="shared" ref="AI291:AJ291" si="2601">SUM(E291,H291,K291)</f>
        <v>1226</v>
      </c>
      <c r="AJ291" s="1">
        <f t="shared" si="2601"/>
        <v>1702</v>
      </c>
      <c r="AK291" s="1">
        <f t="shared" si="2308"/>
        <v>2928</v>
      </c>
      <c r="AL291" s="2">
        <f t="shared" ref="AL291:AN291" si="2602">AI291/Z291</f>
        <v>0.79610389610389609</v>
      </c>
      <c r="AM291" s="2">
        <f t="shared" si="2602"/>
        <v>0.784331797235023</v>
      </c>
      <c r="AN291" s="2">
        <f t="shared" si="2602"/>
        <v>0.78921832884097032</v>
      </c>
      <c r="AO291" s="2">
        <f t="shared" ref="AO291:AQ291" si="2603">E291/Z291</f>
        <v>0.15714285714285714</v>
      </c>
      <c r="AP291" s="2">
        <f t="shared" si="2603"/>
        <v>0.11658986175115207</v>
      </c>
      <c r="AQ291" s="2">
        <f t="shared" si="2603"/>
        <v>0.13342318059299191</v>
      </c>
      <c r="AR291" s="2">
        <f t="shared" si="2311"/>
        <v>0.14545454545454545</v>
      </c>
      <c r="AS291" s="2">
        <f t="shared" ref="AS291:AT291" si="2604">R291/AA291</f>
        <v>0.1032258064516129</v>
      </c>
      <c r="AT291" s="2">
        <f t="shared" si="2604"/>
        <v>9.9191374663072776E-2</v>
      </c>
      <c r="AU291" s="2">
        <f t="shared" si="2475"/>
        <v>4.9382716049382713E-2</v>
      </c>
      <c r="AV291" s="2">
        <f t="shared" si="2475"/>
        <v>3.1682284694332888E-2</v>
      </c>
      <c r="AW291" s="2">
        <f t="shared" si="2596"/>
        <v>3.9109039109039109E-2</v>
      </c>
    </row>
    <row r="292" spans="1:49" ht="13" x14ac:dyDescent="0.15">
      <c r="A292" s="1">
        <v>2022</v>
      </c>
      <c r="B292" s="1" t="s">
        <v>49</v>
      </c>
      <c r="C292" s="1" t="s">
        <v>62</v>
      </c>
      <c r="D292" s="1" t="s">
        <v>97</v>
      </c>
      <c r="E292" s="1">
        <v>21</v>
      </c>
      <c r="F292" s="1">
        <v>16</v>
      </c>
      <c r="G292" s="1">
        <v>37</v>
      </c>
      <c r="H292" s="1">
        <v>449</v>
      </c>
      <c r="I292" s="1">
        <v>476</v>
      </c>
      <c r="J292" s="1">
        <v>925</v>
      </c>
      <c r="K292" s="1">
        <v>317</v>
      </c>
      <c r="L292" s="1">
        <v>370</v>
      </c>
      <c r="M292" s="1">
        <v>687</v>
      </c>
      <c r="N292" s="1">
        <v>321</v>
      </c>
      <c r="O292" s="1">
        <v>369</v>
      </c>
      <c r="P292" s="1">
        <v>690</v>
      </c>
      <c r="Q292" s="1">
        <v>430</v>
      </c>
      <c r="R292" s="1">
        <v>586</v>
      </c>
      <c r="S292" s="1">
        <v>1016</v>
      </c>
      <c r="T292" s="1">
        <v>7</v>
      </c>
      <c r="U292" s="1">
        <v>21</v>
      </c>
      <c r="V292" s="1">
        <v>28</v>
      </c>
      <c r="W292" s="1">
        <f t="shared" ref="W292:X292" si="2605">SUM(E292,H292,K292,N292,Q292,T292)</f>
        <v>1545</v>
      </c>
      <c r="X292" s="1">
        <f t="shared" si="2605"/>
        <v>1838</v>
      </c>
      <c r="Y292" s="1">
        <f t="shared" si="2301"/>
        <v>3383</v>
      </c>
      <c r="Z292" s="1">
        <f t="shared" ref="Z292:AA292" si="2606">W292-T292</f>
        <v>1538</v>
      </c>
      <c r="AA292" s="1">
        <f t="shared" si="2606"/>
        <v>1817</v>
      </c>
      <c r="AB292" s="1">
        <f t="shared" si="2303"/>
        <v>3355</v>
      </c>
      <c r="AC292" s="1">
        <f t="shared" ref="AC292:AD292" si="2607">SUM(E292,H292,K292,N292)</f>
        <v>1108</v>
      </c>
      <c r="AD292" s="1">
        <f t="shared" si="2607"/>
        <v>1231</v>
      </c>
      <c r="AE292" s="1">
        <f t="shared" si="2305"/>
        <v>2339</v>
      </c>
      <c r="AF292" s="2">
        <f t="shared" ref="AF292:AH292" si="2608">AC292/Z292</f>
        <v>0.72041612483745121</v>
      </c>
      <c r="AG292" s="2">
        <f t="shared" si="2608"/>
        <v>0.67749036873968083</v>
      </c>
      <c r="AH292" s="2">
        <f t="shared" si="2608"/>
        <v>0.6971684053651267</v>
      </c>
      <c r="AI292" s="1">
        <f t="shared" ref="AI292:AJ292" si="2609">SUM(E292,H292,K292)</f>
        <v>787</v>
      </c>
      <c r="AJ292" s="1">
        <f t="shared" si="2609"/>
        <v>862</v>
      </c>
      <c r="AK292" s="1">
        <f t="shared" si="2308"/>
        <v>1649</v>
      </c>
      <c r="AL292" s="2">
        <f t="shared" ref="AL292:AN292" si="2610">AI292/Z292</f>
        <v>0.51170351105331602</v>
      </c>
      <c r="AM292" s="2">
        <f t="shared" si="2610"/>
        <v>0.4744083654375344</v>
      </c>
      <c r="AN292" s="2">
        <f t="shared" si="2610"/>
        <v>0.49150521609538</v>
      </c>
      <c r="AO292" s="2">
        <f t="shared" ref="AO292:AQ292" si="2611">E292/Z292</f>
        <v>1.3654096228868661E-2</v>
      </c>
      <c r="AP292" s="2">
        <f t="shared" si="2611"/>
        <v>8.8057237204182716E-3</v>
      </c>
      <c r="AQ292" s="2">
        <f t="shared" si="2611"/>
        <v>1.1028315946348734E-2</v>
      </c>
      <c r="AR292" s="2">
        <f t="shared" si="2311"/>
        <v>0.38101430429128741</v>
      </c>
      <c r="AS292" s="2">
        <f t="shared" ref="AS292:AT292" si="2612">R292/AA292</f>
        <v>0.32250963126031923</v>
      </c>
      <c r="AT292" s="2">
        <f t="shared" si="2612"/>
        <v>0.3028315946348733</v>
      </c>
      <c r="AU292" s="2">
        <f t="shared" si="2475"/>
        <v>4.5307443365695792E-3</v>
      </c>
      <c r="AV292" s="2">
        <f t="shared" si="2475"/>
        <v>1.1425462459194777E-2</v>
      </c>
      <c r="AW292" s="2">
        <f t="shared" si="2596"/>
        <v>8.276677505172924E-3</v>
      </c>
    </row>
    <row r="293" spans="1:49" ht="13" x14ac:dyDescent="0.15">
      <c r="A293" s="1">
        <v>2022</v>
      </c>
      <c r="B293" s="1" t="s">
        <v>49</v>
      </c>
      <c r="C293" s="1" t="s">
        <v>62</v>
      </c>
      <c r="D293" s="1" t="s">
        <v>98</v>
      </c>
      <c r="E293" s="1">
        <v>60</v>
      </c>
      <c r="F293" s="1">
        <v>21</v>
      </c>
      <c r="G293" s="1">
        <v>81</v>
      </c>
      <c r="H293" s="1">
        <v>512</v>
      </c>
      <c r="I293" s="1">
        <v>451</v>
      </c>
      <c r="J293" s="1">
        <v>963</v>
      </c>
      <c r="K293" s="1">
        <v>412</v>
      </c>
      <c r="L293" s="1">
        <v>415</v>
      </c>
      <c r="M293" s="1">
        <v>827</v>
      </c>
      <c r="N293" s="1">
        <v>245</v>
      </c>
      <c r="O293" s="1">
        <v>378</v>
      </c>
      <c r="P293" s="1">
        <v>623</v>
      </c>
      <c r="Q293" s="1">
        <v>455</v>
      </c>
      <c r="R293" s="1">
        <v>435</v>
      </c>
      <c r="S293" s="1">
        <v>890</v>
      </c>
      <c r="T293" s="1">
        <v>49</v>
      </c>
      <c r="U293" s="1">
        <v>72</v>
      </c>
      <c r="V293" s="1">
        <v>121</v>
      </c>
      <c r="W293" s="1">
        <f t="shared" ref="W293:X293" si="2613">SUM(E293,H293,K293,N293,Q293,T293)</f>
        <v>1733</v>
      </c>
      <c r="X293" s="1">
        <f t="shared" si="2613"/>
        <v>1772</v>
      </c>
      <c r="Y293" s="1">
        <f t="shared" si="2301"/>
        <v>3505</v>
      </c>
      <c r="Z293" s="1">
        <f t="shared" ref="Z293:AA293" si="2614">W293-T293</f>
        <v>1684</v>
      </c>
      <c r="AA293" s="1">
        <f t="shared" si="2614"/>
        <v>1700</v>
      </c>
      <c r="AB293" s="1">
        <f t="shared" si="2303"/>
        <v>3384</v>
      </c>
      <c r="AC293" s="1">
        <f t="shared" ref="AC293:AD293" si="2615">SUM(E293,H293,K293,N293)</f>
        <v>1229</v>
      </c>
      <c r="AD293" s="1">
        <f t="shared" si="2615"/>
        <v>1265</v>
      </c>
      <c r="AE293" s="1">
        <f t="shared" si="2305"/>
        <v>2494</v>
      </c>
      <c r="AF293" s="2">
        <f t="shared" ref="AF293:AH293" si="2616">AC293/Z293</f>
        <v>0.72980997624703092</v>
      </c>
      <c r="AG293" s="2">
        <f t="shared" si="2616"/>
        <v>0.74411764705882355</v>
      </c>
      <c r="AH293" s="2">
        <f t="shared" si="2616"/>
        <v>0.73699763593380618</v>
      </c>
      <c r="AI293" s="1">
        <f t="shared" ref="AI293:AJ293" si="2617">SUM(E293,H293,K293)</f>
        <v>984</v>
      </c>
      <c r="AJ293" s="1">
        <f t="shared" si="2617"/>
        <v>887</v>
      </c>
      <c r="AK293" s="1">
        <f t="shared" si="2308"/>
        <v>1871</v>
      </c>
      <c r="AL293" s="2">
        <f t="shared" ref="AL293:AN293" si="2618">AI293/Z293</f>
        <v>0.58432304038004745</v>
      </c>
      <c r="AM293" s="2">
        <f t="shared" si="2618"/>
        <v>0.52176470588235291</v>
      </c>
      <c r="AN293" s="2">
        <f t="shared" si="2618"/>
        <v>0.5528959810874704</v>
      </c>
      <c r="AO293" s="2">
        <f t="shared" ref="AO293:AQ293" si="2619">E293/Z293</f>
        <v>3.5629453681710214E-2</v>
      </c>
      <c r="AP293" s="2">
        <f t="shared" si="2619"/>
        <v>1.2352941176470587E-2</v>
      </c>
      <c r="AQ293" s="2">
        <f t="shared" si="2619"/>
        <v>2.3936170212765957E-2</v>
      </c>
      <c r="AR293" s="2">
        <f t="shared" si="2311"/>
        <v>0.25831353919239908</v>
      </c>
      <c r="AS293" s="2">
        <f t="shared" ref="AS293:AT293" si="2620">R293/AA293</f>
        <v>0.25588235294117645</v>
      </c>
      <c r="AT293" s="2">
        <f t="shared" si="2620"/>
        <v>0.26300236406619387</v>
      </c>
      <c r="AU293" s="2">
        <f t="shared" si="2475"/>
        <v>2.8274668205424121E-2</v>
      </c>
      <c r="AV293" s="2">
        <f t="shared" si="2475"/>
        <v>4.0632054176072234E-2</v>
      </c>
      <c r="AW293" s="2">
        <f t="shared" si="2596"/>
        <v>3.4522111269614839E-2</v>
      </c>
    </row>
    <row r="294" spans="1:49" ht="13" x14ac:dyDescent="0.15">
      <c r="A294" s="1">
        <v>2022</v>
      </c>
      <c r="B294" s="1" t="s">
        <v>49</v>
      </c>
      <c r="C294" s="1" t="s">
        <v>99</v>
      </c>
      <c r="D294" s="1" t="s">
        <v>100</v>
      </c>
      <c r="E294" s="1">
        <v>57</v>
      </c>
      <c r="F294" s="1">
        <v>29</v>
      </c>
      <c r="G294" s="1">
        <v>86</v>
      </c>
      <c r="H294" s="1">
        <v>489</v>
      </c>
      <c r="I294" s="1">
        <v>329</v>
      </c>
      <c r="J294" s="1">
        <v>818</v>
      </c>
      <c r="K294" s="1">
        <v>252</v>
      </c>
      <c r="L294" s="1">
        <v>232</v>
      </c>
      <c r="M294" s="1">
        <v>484</v>
      </c>
      <c r="N294" s="1">
        <v>152</v>
      </c>
      <c r="O294" s="1">
        <v>153</v>
      </c>
      <c r="P294" s="1">
        <v>305</v>
      </c>
      <c r="Q294" s="1">
        <v>167</v>
      </c>
      <c r="R294" s="1">
        <v>197</v>
      </c>
      <c r="S294" s="1">
        <v>364</v>
      </c>
      <c r="T294" s="1">
        <v>26</v>
      </c>
      <c r="U294" s="1">
        <v>15</v>
      </c>
      <c r="V294" s="1">
        <v>41</v>
      </c>
      <c r="W294" s="1">
        <f t="shared" ref="W294:X294" si="2621">SUM(E294,H294,K294,N294,Q294,T294)</f>
        <v>1143</v>
      </c>
      <c r="X294" s="1">
        <f t="shared" si="2621"/>
        <v>955</v>
      </c>
      <c r="Y294" s="1">
        <f t="shared" si="2301"/>
        <v>2098</v>
      </c>
      <c r="Z294" s="1">
        <f t="shared" ref="Z294:AA294" si="2622">W294-T294</f>
        <v>1117</v>
      </c>
      <c r="AA294" s="1">
        <f t="shared" si="2622"/>
        <v>940</v>
      </c>
      <c r="AB294" s="1">
        <f t="shared" si="2303"/>
        <v>2057</v>
      </c>
      <c r="AC294" s="1">
        <f t="shared" ref="AC294:AD294" si="2623">SUM(E294,H294,K294,N294)</f>
        <v>950</v>
      </c>
      <c r="AD294" s="1">
        <f t="shared" si="2623"/>
        <v>743</v>
      </c>
      <c r="AE294" s="1">
        <f t="shared" si="2305"/>
        <v>1693</v>
      </c>
      <c r="AF294" s="2">
        <f t="shared" ref="AF294:AH294" si="2624">AC294/Z294</f>
        <v>0.85049239033124435</v>
      </c>
      <c r="AG294" s="2">
        <f t="shared" si="2624"/>
        <v>0.79042553191489362</v>
      </c>
      <c r="AH294" s="2">
        <f t="shared" si="2624"/>
        <v>0.82304326689353424</v>
      </c>
      <c r="AI294" s="1">
        <f t="shared" ref="AI294:AJ294" si="2625">SUM(E294,H294,K294)</f>
        <v>798</v>
      </c>
      <c r="AJ294" s="1">
        <f t="shared" si="2625"/>
        <v>590</v>
      </c>
      <c r="AK294" s="1">
        <f t="shared" si="2308"/>
        <v>1388</v>
      </c>
      <c r="AL294" s="2">
        <f t="shared" ref="AL294:AN294" si="2626">AI294/Z294</f>
        <v>0.71441360787824526</v>
      </c>
      <c r="AM294" s="2">
        <f t="shared" si="2626"/>
        <v>0.62765957446808507</v>
      </c>
      <c r="AN294" s="2">
        <f t="shared" si="2626"/>
        <v>0.6747690811861935</v>
      </c>
      <c r="AO294" s="2">
        <f t="shared" ref="AO294:AQ294" si="2627">E294/Z294</f>
        <v>5.1029543419874666E-2</v>
      </c>
      <c r="AP294" s="2">
        <f t="shared" si="2627"/>
        <v>3.0851063829787233E-2</v>
      </c>
      <c r="AQ294" s="2">
        <f t="shared" si="2627"/>
        <v>4.1808458920758386E-2</v>
      </c>
      <c r="AR294" s="2">
        <f t="shared" si="2311"/>
        <v>0.17636526410026857</v>
      </c>
      <c r="AS294" s="2">
        <f t="shared" ref="AS294:AT294" si="2628">R294/AA294</f>
        <v>0.20957446808510638</v>
      </c>
      <c r="AT294" s="2">
        <f t="shared" si="2628"/>
        <v>0.17695673310646573</v>
      </c>
      <c r="AU294" s="2">
        <f t="shared" si="2475"/>
        <v>2.2747156605424323E-2</v>
      </c>
      <c r="AV294" s="2">
        <f t="shared" si="2475"/>
        <v>1.5706806282722512E-2</v>
      </c>
      <c r="AW294" s="2">
        <f t="shared" si="2596"/>
        <v>1.9542421353670163E-2</v>
      </c>
    </row>
    <row r="295" spans="1:49" ht="13" x14ac:dyDescent="0.15">
      <c r="A295" s="1">
        <v>2022</v>
      </c>
      <c r="B295" s="1" t="s">
        <v>49</v>
      </c>
      <c r="C295" s="1" t="s">
        <v>101</v>
      </c>
      <c r="D295" s="1" t="s">
        <v>102</v>
      </c>
      <c r="E295" s="1">
        <v>199</v>
      </c>
      <c r="F295" s="1">
        <v>137</v>
      </c>
      <c r="G295" s="1">
        <v>336</v>
      </c>
      <c r="H295" s="1">
        <v>1239</v>
      </c>
      <c r="I295" s="1">
        <v>1016</v>
      </c>
      <c r="J295" s="1">
        <v>2255</v>
      </c>
      <c r="K295" s="1">
        <v>459</v>
      </c>
      <c r="L295" s="1">
        <v>415</v>
      </c>
      <c r="M295" s="1">
        <v>874</v>
      </c>
      <c r="N295" s="1">
        <v>326</v>
      </c>
      <c r="O295" s="1">
        <v>263</v>
      </c>
      <c r="P295" s="1">
        <v>589</v>
      </c>
      <c r="Q295" s="1">
        <v>182</v>
      </c>
      <c r="R295" s="1">
        <v>172</v>
      </c>
      <c r="S295" s="1">
        <v>354</v>
      </c>
      <c r="T295" s="1">
        <v>97</v>
      </c>
      <c r="U295" s="1">
        <v>94</v>
      </c>
      <c r="V295" s="1">
        <v>191</v>
      </c>
      <c r="W295" s="1">
        <f t="shared" ref="W295:X295" si="2629">SUM(E295,H295,K295,N295,Q295,T295)</f>
        <v>2502</v>
      </c>
      <c r="X295" s="1">
        <f t="shared" si="2629"/>
        <v>2097</v>
      </c>
      <c r="Y295" s="1">
        <f t="shared" si="2301"/>
        <v>4599</v>
      </c>
      <c r="Z295" s="1">
        <f t="shared" ref="Z295:AA295" si="2630">W295-T295</f>
        <v>2405</v>
      </c>
      <c r="AA295" s="1">
        <f t="shared" si="2630"/>
        <v>2003</v>
      </c>
      <c r="AB295" s="1">
        <f t="shared" si="2303"/>
        <v>4408</v>
      </c>
      <c r="AC295" s="1">
        <f t="shared" ref="AC295:AD295" si="2631">SUM(E295,H295,K295,N295)</f>
        <v>2223</v>
      </c>
      <c r="AD295" s="1">
        <f t="shared" si="2631"/>
        <v>1831</v>
      </c>
      <c r="AE295" s="1">
        <f t="shared" si="2305"/>
        <v>4054</v>
      </c>
      <c r="AF295" s="2">
        <f t="shared" ref="AF295:AH295" si="2632">AC295/Z295</f>
        <v>0.92432432432432432</v>
      </c>
      <c r="AG295" s="2">
        <f t="shared" si="2632"/>
        <v>0.91412880678981523</v>
      </c>
      <c r="AH295" s="2">
        <f t="shared" si="2632"/>
        <v>0.91969147005444651</v>
      </c>
      <c r="AI295" s="1">
        <f t="shared" ref="AI295:AJ295" si="2633">SUM(E295,H295,K295)</f>
        <v>1897</v>
      </c>
      <c r="AJ295" s="1">
        <f t="shared" si="2633"/>
        <v>1568</v>
      </c>
      <c r="AK295" s="1">
        <f t="shared" si="2308"/>
        <v>3465</v>
      </c>
      <c r="AL295" s="2">
        <f t="shared" ref="AL295:AN295" si="2634">AI295/Z295</f>
        <v>0.78877338877338876</v>
      </c>
      <c r="AM295" s="2">
        <f t="shared" si="2634"/>
        <v>0.782825761357963</v>
      </c>
      <c r="AN295" s="2">
        <f t="shared" si="2634"/>
        <v>0.78607078039927403</v>
      </c>
      <c r="AO295" s="2">
        <f t="shared" ref="AO295:AQ295" si="2635">E295/Z295</f>
        <v>8.2744282744282749E-2</v>
      </c>
      <c r="AP295" s="2">
        <f t="shared" si="2635"/>
        <v>6.8397403894158756E-2</v>
      </c>
      <c r="AQ295" s="2">
        <f t="shared" si="2635"/>
        <v>7.6225045372050812E-2</v>
      </c>
      <c r="AR295" s="2">
        <f t="shared" si="2311"/>
        <v>7.1517671517671522E-2</v>
      </c>
      <c r="AS295" s="2">
        <f t="shared" ref="AS295:AT295" si="2636">R295/AA295</f>
        <v>8.5871193210184729E-2</v>
      </c>
      <c r="AT295" s="2">
        <f t="shared" si="2636"/>
        <v>8.0308529945553542E-2</v>
      </c>
      <c r="AU295" s="2">
        <f t="shared" si="2475"/>
        <v>3.8768984812150277E-2</v>
      </c>
      <c r="AV295" s="2">
        <f t="shared" si="2475"/>
        <v>4.4825941821649978E-2</v>
      </c>
      <c r="AW295" s="2">
        <f t="shared" si="2596"/>
        <v>4.1530767558164816E-2</v>
      </c>
    </row>
    <row r="296" spans="1:49" ht="13" x14ac:dyDescent="0.15">
      <c r="A296" s="1">
        <v>2022</v>
      </c>
      <c r="B296" s="1" t="s">
        <v>49</v>
      </c>
      <c r="C296" s="1" t="s">
        <v>101</v>
      </c>
      <c r="D296" s="1" t="s">
        <v>103</v>
      </c>
      <c r="E296" s="1">
        <v>444</v>
      </c>
      <c r="F296" s="1">
        <v>501</v>
      </c>
      <c r="G296" s="1">
        <v>945</v>
      </c>
      <c r="H296" s="1">
        <v>1048</v>
      </c>
      <c r="I296" s="1">
        <v>1262</v>
      </c>
      <c r="J296" s="1">
        <v>2310</v>
      </c>
      <c r="K296" s="1">
        <v>94</v>
      </c>
      <c r="L296" s="1">
        <v>120</v>
      </c>
      <c r="M296" s="1">
        <v>214</v>
      </c>
      <c r="N296" s="1">
        <v>52</v>
      </c>
      <c r="O296" s="1">
        <v>47</v>
      </c>
      <c r="P296" s="1">
        <v>99</v>
      </c>
      <c r="Q296" s="1">
        <v>14</v>
      </c>
      <c r="R296" s="1">
        <v>11</v>
      </c>
      <c r="S296" s="1">
        <v>25</v>
      </c>
      <c r="T296" s="1">
        <v>51</v>
      </c>
      <c r="U296" s="1">
        <v>51</v>
      </c>
      <c r="V296" s="1">
        <v>102</v>
      </c>
      <c r="W296" s="1">
        <f t="shared" ref="W296:X296" si="2637">SUM(E296,H296,K296,N296,Q296,T296)</f>
        <v>1703</v>
      </c>
      <c r="X296" s="1">
        <f t="shared" si="2637"/>
        <v>1992</v>
      </c>
      <c r="Y296" s="1">
        <f t="shared" si="2301"/>
        <v>3695</v>
      </c>
      <c r="Z296" s="1">
        <f t="shared" ref="Z296:AA296" si="2638">W296-T296</f>
        <v>1652</v>
      </c>
      <c r="AA296" s="1">
        <f t="shared" si="2638"/>
        <v>1941</v>
      </c>
      <c r="AB296" s="1">
        <f t="shared" si="2303"/>
        <v>3593</v>
      </c>
      <c r="AC296" s="1">
        <f t="shared" ref="AC296:AD296" si="2639">SUM(E296,H296,K296,N296)</f>
        <v>1638</v>
      </c>
      <c r="AD296" s="1">
        <f t="shared" si="2639"/>
        <v>1930</v>
      </c>
      <c r="AE296" s="1">
        <f t="shared" si="2305"/>
        <v>3568</v>
      </c>
      <c r="AF296" s="2">
        <f t="shared" ref="AF296:AH296" si="2640">AC296/Z296</f>
        <v>0.99152542372881358</v>
      </c>
      <c r="AG296" s="2">
        <f t="shared" si="2640"/>
        <v>0.99433281813498198</v>
      </c>
      <c r="AH296" s="2">
        <f t="shared" si="2640"/>
        <v>0.99304202616198167</v>
      </c>
      <c r="AI296" s="1">
        <f t="shared" ref="AI296:AJ296" si="2641">SUM(E296,H296,K296)</f>
        <v>1586</v>
      </c>
      <c r="AJ296" s="1">
        <f t="shared" si="2641"/>
        <v>1883</v>
      </c>
      <c r="AK296" s="1">
        <f t="shared" si="2308"/>
        <v>3469</v>
      </c>
      <c r="AL296" s="2">
        <f t="shared" ref="AL296:AN296" si="2642">AI296/Z296</f>
        <v>0.96004842615012109</v>
      </c>
      <c r="AM296" s="2">
        <f t="shared" si="2642"/>
        <v>0.97011849562081398</v>
      </c>
      <c r="AN296" s="2">
        <f t="shared" si="2642"/>
        <v>0.96548844976342885</v>
      </c>
      <c r="AO296" s="2">
        <f t="shared" ref="AO296:AQ296" si="2643">E296/Z296</f>
        <v>0.26876513317191281</v>
      </c>
      <c r="AP296" s="2">
        <f t="shared" si="2643"/>
        <v>0.25811437403400311</v>
      </c>
      <c r="AQ296" s="2">
        <f t="shared" si="2643"/>
        <v>0.26301141107709436</v>
      </c>
      <c r="AR296" s="2">
        <f t="shared" si="2311"/>
        <v>6.6585956416464892E-3</v>
      </c>
      <c r="AS296" s="2">
        <f t="shared" ref="AS296:AT296" si="2644">R296/AA296</f>
        <v>5.6671818650180323E-3</v>
      </c>
      <c r="AT296" s="2">
        <f t="shared" si="2644"/>
        <v>6.9579738380183692E-3</v>
      </c>
      <c r="AU296" s="2">
        <f t="shared" si="2475"/>
        <v>2.9947152084556665E-2</v>
      </c>
      <c r="AV296" s="2">
        <f t="shared" si="2475"/>
        <v>2.5602409638554216E-2</v>
      </c>
      <c r="AW296" s="2">
        <f t="shared" si="2596"/>
        <v>2.7604871447902572E-2</v>
      </c>
    </row>
    <row r="297" spans="1:49" ht="13" x14ac:dyDescent="0.15">
      <c r="A297" s="1">
        <v>2022</v>
      </c>
      <c r="B297" s="1" t="s">
        <v>49</v>
      </c>
      <c r="C297" s="1" t="s">
        <v>54</v>
      </c>
      <c r="D297" s="1" t="s">
        <v>104</v>
      </c>
      <c r="E297" s="1">
        <v>990</v>
      </c>
      <c r="F297" s="1">
        <v>1126</v>
      </c>
      <c r="G297" s="1">
        <v>2116</v>
      </c>
      <c r="H297" s="1">
        <v>1495</v>
      </c>
      <c r="I297" s="1">
        <v>1940</v>
      </c>
      <c r="J297" s="1">
        <v>3435</v>
      </c>
      <c r="K297" s="1">
        <v>263</v>
      </c>
      <c r="L297" s="1">
        <v>327</v>
      </c>
      <c r="M297" s="1">
        <v>590</v>
      </c>
      <c r="N297" s="1">
        <v>127</v>
      </c>
      <c r="O297" s="1">
        <v>159</v>
      </c>
      <c r="P297" s="1">
        <v>286</v>
      </c>
      <c r="Q297" s="1">
        <v>64</v>
      </c>
      <c r="R297" s="1">
        <v>35</v>
      </c>
      <c r="S297" s="1">
        <v>99</v>
      </c>
      <c r="T297" s="1">
        <v>56</v>
      </c>
      <c r="U297" s="1">
        <v>66</v>
      </c>
      <c r="V297" s="1">
        <v>122</v>
      </c>
      <c r="W297" s="1">
        <f t="shared" ref="W297:X297" si="2645">SUM(E297,H297,K297,N297,Q297,T297)</f>
        <v>2995</v>
      </c>
      <c r="X297" s="1">
        <f t="shared" si="2645"/>
        <v>3653</v>
      </c>
      <c r="Y297" s="1">
        <f t="shared" si="2301"/>
        <v>6648</v>
      </c>
      <c r="Z297" s="1">
        <f t="shared" ref="Z297:AA297" si="2646">W297-T297</f>
        <v>2939</v>
      </c>
      <c r="AA297" s="1">
        <f t="shared" si="2646"/>
        <v>3587</v>
      </c>
      <c r="AB297" s="1">
        <f t="shared" si="2303"/>
        <v>6526</v>
      </c>
      <c r="AC297" s="1">
        <f t="shared" ref="AC297:AD297" si="2647">SUM(E297,H297,K297,N297)</f>
        <v>2875</v>
      </c>
      <c r="AD297" s="1">
        <f t="shared" si="2647"/>
        <v>3552</v>
      </c>
      <c r="AE297" s="1">
        <f t="shared" si="2305"/>
        <v>6427</v>
      </c>
      <c r="AF297" s="2">
        <f t="shared" ref="AF297:AH297" si="2648">AC297/Z297</f>
        <v>0.97822388567539975</v>
      </c>
      <c r="AG297" s="2">
        <f t="shared" si="2648"/>
        <v>0.99024254251463617</v>
      </c>
      <c r="AH297" s="2">
        <f t="shared" si="2648"/>
        <v>0.98482991112473184</v>
      </c>
      <c r="AI297" s="1">
        <f t="shared" ref="AI297:AJ297" si="2649">SUM(E297,H297,K297)</f>
        <v>2748</v>
      </c>
      <c r="AJ297" s="1">
        <f t="shared" si="2649"/>
        <v>3393</v>
      </c>
      <c r="AK297" s="1">
        <f t="shared" si="2308"/>
        <v>6141</v>
      </c>
      <c r="AL297" s="2">
        <f t="shared" ref="AL297:AN297" si="2650">AI297/Z297</f>
        <v>0.93501190881252128</v>
      </c>
      <c r="AM297" s="2">
        <f t="shared" si="2650"/>
        <v>0.94591580708112633</v>
      </c>
      <c r="AN297" s="2">
        <f t="shared" si="2650"/>
        <v>0.94100520992951275</v>
      </c>
      <c r="AO297" s="2">
        <f t="shared" ref="AO297:AQ297" si="2651">E297/Z297</f>
        <v>0.33684926845865942</v>
      </c>
      <c r="AP297" s="2">
        <f t="shared" si="2651"/>
        <v>0.313911346529133</v>
      </c>
      <c r="AQ297" s="2">
        <f t="shared" si="2651"/>
        <v>0.3242414955562366</v>
      </c>
      <c r="AR297" s="2">
        <f t="shared" si="2311"/>
        <v>1.1908812521265737E-2</v>
      </c>
      <c r="AS297" s="2">
        <f t="shared" ref="AS297:AT297" si="2652">R297/AA297</f>
        <v>9.757457485363814E-3</v>
      </c>
      <c r="AT297" s="2">
        <f t="shared" si="2652"/>
        <v>1.5170088875268158E-2</v>
      </c>
      <c r="AU297" s="2">
        <f t="shared" si="2475"/>
        <v>1.8697829716193656E-2</v>
      </c>
      <c r="AV297" s="2">
        <f t="shared" si="2475"/>
        <v>1.8067341910758282E-2</v>
      </c>
      <c r="AW297" s="2">
        <f t="shared" si="2596"/>
        <v>1.8351383874849577E-2</v>
      </c>
    </row>
    <row r="298" spans="1:49" ht="13" x14ac:dyDescent="0.15">
      <c r="A298" s="1">
        <v>2022</v>
      </c>
      <c r="B298" s="1" t="s">
        <v>49</v>
      </c>
      <c r="C298" s="1" t="s">
        <v>70</v>
      </c>
      <c r="D298" s="1" t="s">
        <v>105</v>
      </c>
      <c r="E298" s="1">
        <v>398</v>
      </c>
      <c r="F298" s="1">
        <v>318</v>
      </c>
      <c r="G298" s="1">
        <v>716</v>
      </c>
      <c r="H298" s="1">
        <v>1831</v>
      </c>
      <c r="I298" s="1">
        <v>1967</v>
      </c>
      <c r="J298" s="1">
        <v>3798</v>
      </c>
      <c r="K298" s="1">
        <v>778</v>
      </c>
      <c r="L298" s="1">
        <v>964</v>
      </c>
      <c r="M298" s="1">
        <v>1742</v>
      </c>
      <c r="N298" s="1">
        <v>495</v>
      </c>
      <c r="O298" s="1">
        <v>581</v>
      </c>
      <c r="P298" s="1">
        <v>1076</v>
      </c>
      <c r="Q298" s="1">
        <v>524</v>
      </c>
      <c r="R298" s="1">
        <v>570</v>
      </c>
      <c r="S298" s="1">
        <v>1094</v>
      </c>
      <c r="T298" s="1">
        <v>90</v>
      </c>
      <c r="U298" s="1">
        <v>133</v>
      </c>
      <c r="V298" s="1">
        <v>223</v>
      </c>
      <c r="W298" s="1">
        <f t="shared" ref="W298:X298" si="2653">SUM(E298,H298,K298,N298,Q298,T298)</f>
        <v>4116</v>
      </c>
      <c r="X298" s="1">
        <f t="shared" si="2653"/>
        <v>4533</v>
      </c>
      <c r="Y298" s="1">
        <f t="shared" si="2301"/>
        <v>8649</v>
      </c>
      <c r="Z298" s="1">
        <f t="shared" ref="Z298:AA298" si="2654">W298-T298</f>
        <v>4026</v>
      </c>
      <c r="AA298" s="1">
        <f t="shared" si="2654"/>
        <v>4400</v>
      </c>
      <c r="AB298" s="1">
        <f t="shared" si="2303"/>
        <v>8426</v>
      </c>
      <c r="AC298" s="1">
        <f t="shared" ref="AC298:AD298" si="2655">SUM(E298,H298,K298,N298)</f>
        <v>3502</v>
      </c>
      <c r="AD298" s="1">
        <f t="shared" si="2655"/>
        <v>3830</v>
      </c>
      <c r="AE298" s="1">
        <f t="shared" si="2305"/>
        <v>7332</v>
      </c>
      <c r="AF298" s="2">
        <f t="shared" ref="AF298:AH298" si="2656">AC298/Z298</f>
        <v>0.86984600099354192</v>
      </c>
      <c r="AG298" s="2">
        <f t="shared" si="2656"/>
        <v>0.87045454545454548</v>
      </c>
      <c r="AH298" s="2">
        <f t="shared" si="2656"/>
        <v>0.87016377877996676</v>
      </c>
      <c r="AI298" s="1">
        <f t="shared" ref="AI298:AJ298" si="2657">SUM(E298,H298,K298)</f>
        <v>3007</v>
      </c>
      <c r="AJ298" s="1">
        <f t="shared" si="2657"/>
        <v>3249</v>
      </c>
      <c r="AK298" s="1">
        <f t="shared" si="2308"/>
        <v>6256</v>
      </c>
      <c r="AL298" s="2">
        <f t="shared" ref="AL298:AN298" si="2658">AI298/Z298</f>
        <v>0.74689518132141086</v>
      </c>
      <c r="AM298" s="2">
        <f t="shared" si="2658"/>
        <v>0.7384090909090909</v>
      </c>
      <c r="AN298" s="2">
        <f t="shared" si="2658"/>
        <v>0.74246380251602184</v>
      </c>
      <c r="AO298" s="2">
        <f t="shared" ref="AO298:AQ298" si="2659">E298/Z298</f>
        <v>9.8857426726279188E-2</v>
      </c>
      <c r="AP298" s="2">
        <f t="shared" si="2659"/>
        <v>7.2272727272727266E-2</v>
      </c>
      <c r="AQ298" s="2">
        <f t="shared" si="2659"/>
        <v>8.4975077142178973E-2</v>
      </c>
      <c r="AR298" s="2">
        <f t="shared" si="2311"/>
        <v>0.14157973174366617</v>
      </c>
      <c r="AS298" s="2">
        <f t="shared" ref="AS298:AT298" si="2660">R298/AA298</f>
        <v>0.12954545454545455</v>
      </c>
      <c r="AT298" s="2">
        <f t="shared" si="2660"/>
        <v>0.12983622122003324</v>
      </c>
      <c r="AU298" s="2">
        <f t="shared" si="2475"/>
        <v>2.1865889212827987E-2</v>
      </c>
      <c r="AV298" s="2">
        <f t="shared" si="2475"/>
        <v>2.9340392675932053E-2</v>
      </c>
      <c r="AW298" s="2">
        <f t="shared" si="2596"/>
        <v>2.5783327552318186E-2</v>
      </c>
    </row>
    <row r="299" spans="1:49" ht="13" x14ac:dyDescent="0.15">
      <c r="A299" s="1">
        <v>2022</v>
      </c>
      <c r="B299" s="1" t="s">
        <v>49</v>
      </c>
      <c r="C299" s="1" t="s">
        <v>70</v>
      </c>
      <c r="D299" s="1" t="s">
        <v>106</v>
      </c>
      <c r="E299" s="1">
        <v>133</v>
      </c>
      <c r="F299" s="1">
        <v>75</v>
      </c>
      <c r="G299" s="1">
        <v>208</v>
      </c>
      <c r="H299" s="1">
        <v>1022</v>
      </c>
      <c r="I299" s="1">
        <v>828</v>
      </c>
      <c r="J299" s="1">
        <v>1850</v>
      </c>
      <c r="K299" s="1">
        <v>646</v>
      </c>
      <c r="L299" s="1">
        <v>695</v>
      </c>
      <c r="M299" s="1">
        <v>1341</v>
      </c>
      <c r="N299" s="1">
        <v>470</v>
      </c>
      <c r="O299" s="1">
        <v>588</v>
      </c>
      <c r="P299" s="1">
        <v>1058</v>
      </c>
      <c r="Q299" s="1">
        <v>708</v>
      </c>
      <c r="R299" s="1">
        <v>714</v>
      </c>
      <c r="S299" s="1">
        <v>1422</v>
      </c>
      <c r="T299" s="1">
        <v>116</v>
      </c>
      <c r="U299" s="1">
        <v>154</v>
      </c>
      <c r="V299" s="1">
        <v>270</v>
      </c>
      <c r="W299" s="1">
        <f t="shared" ref="W299:X299" si="2661">SUM(E299,H299,K299,N299,Q299,T299)</f>
        <v>3095</v>
      </c>
      <c r="X299" s="1">
        <f t="shared" si="2661"/>
        <v>3054</v>
      </c>
      <c r="Y299" s="1">
        <f t="shared" si="2301"/>
        <v>6149</v>
      </c>
      <c r="Z299" s="1">
        <f t="shared" ref="Z299:AA299" si="2662">W299-T299</f>
        <v>2979</v>
      </c>
      <c r="AA299" s="1">
        <f t="shared" si="2662"/>
        <v>2900</v>
      </c>
      <c r="AB299" s="1">
        <f t="shared" si="2303"/>
        <v>5879</v>
      </c>
      <c r="AC299" s="1">
        <f t="shared" ref="AC299:AD299" si="2663">SUM(E299,H299,K299,N299)</f>
        <v>2271</v>
      </c>
      <c r="AD299" s="1">
        <f t="shared" si="2663"/>
        <v>2186</v>
      </c>
      <c r="AE299" s="1">
        <f t="shared" si="2305"/>
        <v>4457</v>
      </c>
      <c r="AF299" s="2">
        <f t="shared" ref="AF299:AH299" si="2664">AC299/Z299</f>
        <v>0.7623363544813696</v>
      </c>
      <c r="AG299" s="2">
        <f t="shared" si="2664"/>
        <v>0.75379310344827588</v>
      </c>
      <c r="AH299" s="2">
        <f t="shared" si="2664"/>
        <v>0.75812212961387992</v>
      </c>
      <c r="AI299" s="1">
        <f t="shared" ref="AI299:AJ299" si="2665">SUM(E299,H299,K299)</f>
        <v>1801</v>
      </c>
      <c r="AJ299" s="1">
        <f t="shared" si="2665"/>
        <v>1598</v>
      </c>
      <c r="AK299" s="1">
        <f t="shared" si="2308"/>
        <v>3399</v>
      </c>
      <c r="AL299" s="2">
        <f t="shared" ref="AL299:AN299" si="2666">AI299/Z299</f>
        <v>0.60456529036589457</v>
      </c>
      <c r="AM299" s="2">
        <f t="shared" si="2666"/>
        <v>0.55103448275862066</v>
      </c>
      <c r="AN299" s="2">
        <f t="shared" si="2666"/>
        <v>0.57815955094403815</v>
      </c>
      <c r="AO299" s="2">
        <f t="shared" ref="AO299:AQ299" si="2667">E299/Z299</f>
        <v>4.4645854313528029E-2</v>
      </c>
      <c r="AP299" s="2">
        <f t="shared" si="2667"/>
        <v>2.5862068965517241E-2</v>
      </c>
      <c r="AQ299" s="2">
        <f t="shared" si="2667"/>
        <v>3.538016669501616E-2</v>
      </c>
      <c r="AR299" s="2">
        <f t="shared" si="2311"/>
        <v>0.23967774420946628</v>
      </c>
      <c r="AS299" s="2">
        <f t="shared" ref="AS299:AT299" si="2668">R299/AA299</f>
        <v>0.24620689655172415</v>
      </c>
      <c r="AT299" s="2">
        <f t="shared" si="2668"/>
        <v>0.24187787038612008</v>
      </c>
      <c r="AU299" s="2">
        <f t="shared" si="2475"/>
        <v>3.7479806138933765E-2</v>
      </c>
      <c r="AV299" s="2">
        <f t="shared" si="2475"/>
        <v>5.04256712508186E-2</v>
      </c>
      <c r="AW299" s="2">
        <f t="shared" si="2596"/>
        <v>4.3909578793299722E-2</v>
      </c>
    </row>
    <row r="300" spans="1:49" ht="13" x14ac:dyDescent="0.15">
      <c r="A300" s="1">
        <v>2022</v>
      </c>
      <c r="B300" s="1" t="s">
        <v>49</v>
      </c>
      <c r="C300" s="1" t="s">
        <v>50</v>
      </c>
      <c r="D300" s="1" t="s">
        <v>107</v>
      </c>
      <c r="E300" s="1">
        <v>249</v>
      </c>
      <c r="F300" s="1">
        <v>266</v>
      </c>
      <c r="G300" s="1">
        <v>515</v>
      </c>
      <c r="H300" s="1">
        <v>937</v>
      </c>
      <c r="I300" s="1">
        <v>1187</v>
      </c>
      <c r="J300" s="1">
        <v>2124</v>
      </c>
      <c r="K300" s="1">
        <v>304</v>
      </c>
      <c r="L300" s="1">
        <v>416</v>
      </c>
      <c r="M300" s="1">
        <v>720</v>
      </c>
      <c r="N300" s="1">
        <v>281</v>
      </c>
      <c r="O300" s="1">
        <v>326</v>
      </c>
      <c r="P300" s="1">
        <v>607</v>
      </c>
      <c r="Q300" s="1">
        <v>164</v>
      </c>
      <c r="R300" s="1">
        <v>176</v>
      </c>
      <c r="S300" s="1">
        <v>340</v>
      </c>
      <c r="T300" s="1">
        <v>123</v>
      </c>
      <c r="U300" s="1">
        <v>93</v>
      </c>
      <c r="V300" s="1">
        <v>216</v>
      </c>
      <c r="W300" s="1">
        <f t="shared" ref="W300:X300" si="2669">SUM(E300,H300,K300,N300,Q300,T300)</f>
        <v>2058</v>
      </c>
      <c r="X300" s="1">
        <f t="shared" si="2669"/>
        <v>2464</v>
      </c>
      <c r="Y300" s="1">
        <f t="shared" si="2301"/>
        <v>4522</v>
      </c>
      <c r="Z300" s="1">
        <f t="shared" ref="Z300:AA300" si="2670">W300-T300</f>
        <v>1935</v>
      </c>
      <c r="AA300" s="1">
        <f t="shared" si="2670"/>
        <v>2371</v>
      </c>
      <c r="AB300" s="1">
        <f t="shared" si="2303"/>
        <v>4306</v>
      </c>
      <c r="AC300" s="1">
        <f t="shared" ref="AC300:AD300" si="2671">SUM(E300,H300,K300,N300)</f>
        <v>1771</v>
      </c>
      <c r="AD300" s="1">
        <f t="shared" si="2671"/>
        <v>2195</v>
      </c>
      <c r="AE300" s="1">
        <f t="shared" si="2305"/>
        <v>3966</v>
      </c>
      <c r="AF300" s="2">
        <f t="shared" ref="AF300:AH300" si="2672">AC300/Z300</f>
        <v>0.91524547803617573</v>
      </c>
      <c r="AG300" s="2">
        <f t="shared" si="2672"/>
        <v>0.92576971741881064</v>
      </c>
      <c r="AH300" s="2">
        <f t="shared" si="2672"/>
        <v>0.92104040873200188</v>
      </c>
      <c r="AI300" s="1">
        <f t="shared" ref="AI300:AJ300" si="2673">SUM(E300,H300,K300)</f>
        <v>1490</v>
      </c>
      <c r="AJ300" s="1">
        <f t="shared" si="2673"/>
        <v>1869</v>
      </c>
      <c r="AK300" s="1">
        <f t="shared" si="2308"/>
        <v>3359</v>
      </c>
      <c r="AL300" s="2">
        <f t="shared" ref="AL300:AN300" si="2674">AI300/Z300</f>
        <v>0.77002583979328165</v>
      </c>
      <c r="AM300" s="2">
        <f t="shared" si="2674"/>
        <v>0.78827498945592578</v>
      </c>
      <c r="AN300" s="2">
        <f t="shared" si="2674"/>
        <v>0.78007431490942869</v>
      </c>
      <c r="AO300" s="2">
        <f t="shared" ref="AO300:AQ300" si="2675">E300/Z300</f>
        <v>0.12868217054263567</v>
      </c>
      <c r="AP300" s="2">
        <f t="shared" si="2675"/>
        <v>0.11218894981020666</v>
      </c>
      <c r="AQ300" s="2">
        <f t="shared" si="2675"/>
        <v>0.11960055736182071</v>
      </c>
      <c r="AR300" s="2">
        <f t="shared" si="2311"/>
        <v>9.0956072351421183E-2</v>
      </c>
      <c r="AS300" s="2">
        <f t="shared" ref="AS300:AT300" si="2676">R300/AA300</f>
        <v>7.4230282581189369E-2</v>
      </c>
      <c r="AT300" s="2">
        <f t="shared" si="2676"/>
        <v>7.8959591267998147E-2</v>
      </c>
      <c r="AU300" s="2">
        <f t="shared" si="2475"/>
        <v>5.9766763848396499E-2</v>
      </c>
      <c r="AV300" s="2">
        <f t="shared" si="2475"/>
        <v>3.7743506493506496E-2</v>
      </c>
      <c r="AW300" s="2">
        <f t="shared" si="2596"/>
        <v>4.7766475011057054E-2</v>
      </c>
    </row>
    <row r="301" spans="1:49" ht="13" x14ac:dyDescent="0.15">
      <c r="A301" s="1">
        <v>2022</v>
      </c>
      <c r="B301" s="1" t="s">
        <v>49</v>
      </c>
      <c r="C301" s="1" t="s">
        <v>70</v>
      </c>
      <c r="D301" s="1" t="s">
        <v>108</v>
      </c>
      <c r="E301" s="1">
        <v>47</v>
      </c>
      <c r="F301" s="1">
        <v>17</v>
      </c>
      <c r="G301" s="1">
        <v>64</v>
      </c>
      <c r="H301" s="1">
        <v>537</v>
      </c>
      <c r="I301" s="1">
        <v>445</v>
      </c>
      <c r="J301" s="1">
        <v>982</v>
      </c>
      <c r="K301" s="1">
        <v>363</v>
      </c>
      <c r="L301" s="1">
        <v>337</v>
      </c>
      <c r="M301" s="1">
        <v>700</v>
      </c>
      <c r="N301" s="1">
        <v>350</v>
      </c>
      <c r="O301" s="1">
        <v>324</v>
      </c>
      <c r="P301" s="1">
        <v>674</v>
      </c>
      <c r="Q301" s="1">
        <v>326</v>
      </c>
      <c r="R301" s="1">
        <v>321</v>
      </c>
      <c r="S301" s="1">
        <v>647</v>
      </c>
      <c r="T301" s="1">
        <v>37</v>
      </c>
      <c r="U301" s="1">
        <v>46</v>
      </c>
      <c r="V301" s="1">
        <v>83</v>
      </c>
      <c r="W301" s="1">
        <f t="shared" ref="W301:X301" si="2677">SUM(E301,H301,K301,N301,Q301,T301)</f>
        <v>1660</v>
      </c>
      <c r="X301" s="1">
        <f t="shared" si="2677"/>
        <v>1490</v>
      </c>
      <c r="Y301" s="1">
        <f t="shared" si="2301"/>
        <v>3150</v>
      </c>
      <c r="Z301" s="1">
        <f t="shared" ref="Z301:AA301" si="2678">W301-T301</f>
        <v>1623</v>
      </c>
      <c r="AA301" s="1">
        <f t="shared" si="2678"/>
        <v>1444</v>
      </c>
      <c r="AB301" s="1">
        <f t="shared" si="2303"/>
        <v>3067</v>
      </c>
      <c r="AC301" s="1">
        <f t="shared" ref="AC301:AD301" si="2679">SUM(E301,H301,K301,N301)</f>
        <v>1297</v>
      </c>
      <c r="AD301" s="1">
        <f t="shared" si="2679"/>
        <v>1123</v>
      </c>
      <c r="AE301" s="1">
        <f t="shared" si="2305"/>
        <v>2420</v>
      </c>
      <c r="AF301" s="2">
        <f t="shared" ref="AF301:AH301" si="2680">AC301/Z301</f>
        <v>0.79913739987677146</v>
      </c>
      <c r="AG301" s="2">
        <f t="shared" si="2680"/>
        <v>0.77770083102493071</v>
      </c>
      <c r="AH301" s="2">
        <f t="shared" si="2680"/>
        <v>0.78904466905771109</v>
      </c>
      <c r="AI301" s="1">
        <f t="shared" ref="AI301:AJ301" si="2681">SUM(E301,H301,K301)</f>
        <v>947</v>
      </c>
      <c r="AJ301" s="1">
        <f t="shared" si="2681"/>
        <v>799</v>
      </c>
      <c r="AK301" s="1">
        <f t="shared" si="2308"/>
        <v>1746</v>
      </c>
      <c r="AL301" s="2">
        <f t="shared" ref="AL301:AN301" si="2682">AI301/Z301</f>
        <v>0.58348736906962417</v>
      </c>
      <c r="AM301" s="2">
        <f t="shared" si="2682"/>
        <v>0.55332409972299168</v>
      </c>
      <c r="AN301" s="2">
        <f t="shared" si="2682"/>
        <v>0.56928594717965442</v>
      </c>
      <c r="AO301" s="2">
        <f t="shared" ref="AO301:AQ301" si="2683">E301/Z301</f>
        <v>2.895871842267406E-2</v>
      </c>
      <c r="AP301" s="2">
        <f t="shared" si="2683"/>
        <v>1.1772853185595568E-2</v>
      </c>
      <c r="AQ301" s="2">
        <f t="shared" si="2683"/>
        <v>2.0867297032931203E-2</v>
      </c>
      <c r="AR301" s="2">
        <f t="shared" si="2311"/>
        <v>0.1977818853974122</v>
      </c>
      <c r="AS301" s="2">
        <f t="shared" ref="AS301:AT301" si="2684">R301/AA301</f>
        <v>0.22229916897506924</v>
      </c>
      <c r="AT301" s="2">
        <f t="shared" si="2684"/>
        <v>0.21095533094228888</v>
      </c>
      <c r="AU301" s="2">
        <f t="shared" si="2475"/>
        <v>2.2289156626506025E-2</v>
      </c>
      <c r="AV301" s="2">
        <f t="shared" si="2475"/>
        <v>3.087248322147651E-2</v>
      </c>
      <c r="AW301" s="2">
        <f t="shared" si="2596"/>
        <v>2.6349206349206348E-2</v>
      </c>
    </row>
    <row r="302" spans="1:49" ht="13" x14ac:dyDescent="0.15">
      <c r="A302" s="1">
        <v>2022</v>
      </c>
      <c r="B302" s="1" t="s">
        <v>49</v>
      </c>
      <c r="C302" s="1" t="s">
        <v>93</v>
      </c>
      <c r="D302" s="1" t="s">
        <v>109</v>
      </c>
      <c r="E302" s="1">
        <v>9</v>
      </c>
      <c r="F302" s="1">
        <v>4</v>
      </c>
      <c r="G302" s="1">
        <v>13</v>
      </c>
      <c r="H302" s="1">
        <v>180</v>
      </c>
      <c r="I302" s="1">
        <v>131</v>
      </c>
      <c r="J302" s="1">
        <v>311</v>
      </c>
      <c r="K302" s="1">
        <v>71</v>
      </c>
      <c r="L302" s="1">
        <v>84</v>
      </c>
      <c r="M302" s="1">
        <v>155</v>
      </c>
      <c r="N302" s="1">
        <v>51</v>
      </c>
      <c r="O302" s="1">
        <v>35</v>
      </c>
      <c r="P302" s="1">
        <v>86</v>
      </c>
      <c r="Q302" s="1">
        <v>38</v>
      </c>
      <c r="R302" s="1">
        <v>37</v>
      </c>
      <c r="S302" s="1">
        <v>75</v>
      </c>
      <c r="T302" s="1">
        <v>20</v>
      </c>
      <c r="U302" s="1">
        <v>18</v>
      </c>
      <c r="V302" s="1">
        <v>38</v>
      </c>
      <c r="W302" s="1">
        <f t="shared" ref="W302:X302" si="2685">SUM(E302,H302,K302,N302,Q302,T302)</f>
        <v>369</v>
      </c>
      <c r="X302" s="1">
        <f t="shared" si="2685"/>
        <v>309</v>
      </c>
      <c r="Y302" s="1">
        <f t="shared" si="2301"/>
        <v>678</v>
      </c>
      <c r="Z302" s="1">
        <f t="shared" ref="Z302:AA302" si="2686">W302-T302</f>
        <v>349</v>
      </c>
      <c r="AA302" s="1">
        <f t="shared" si="2686"/>
        <v>291</v>
      </c>
      <c r="AB302" s="1">
        <f t="shared" si="2303"/>
        <v>640</v>
      </c>
      <c r="AC302" s="1">
        <f t="shared" ref="AC302:AD302" si="2687">SUM(E302,H302,K302,N302)</f>
        <v>311</v>
      </c>
      <c r="AD302" s="1">
        <f t="shared" si="2687"/>
        <v>254</v>
      </c>
      <c r="AE302" s="1">
        <f t="shared" si="2305"/>
        <v>565</v>
      </c>
      <c r="AF302" s="2">
        <f t="shared" ref="AF302:AH302" si="2688">AC302/Z302</f>
        <v>0.89111747851002865</v>
      </c>
      <c r="AG302" s="2">
        <f t="shared" si="2688"/>
        <v>0.87285223367697595</v>
      </c>
      <c r="AH302" s="2">
        <f t="shared" si="2688"/>
        <v>0.8828125</v>
      </c>
      <c r="AI302" s="1">
        <f t="shared" ref="AI302:AJ302" si="2689">SUM(E302,H302,K302)</f>
        <v>260</v>
      </c>
      <c r="AJ302" s="1">
        <f t="shared" si="2689"/>
        <v>219</v>
      </c>
      <c r="AK302" s="1">
        <f t="shared" si="2308"/>
        <v>479</v>
      </c>
      <c r="AL302" s="2">
        <f t="shared" ref="AL302:AN302" si="2690">AI302/Z302</f>
        <v>0.74498567335243548</v>
      </c>
      <c r="AM302" s="2">
        <f t="shared" si="2690"/>
        <v>0.75257731958762886</v>
      </c>
      <c r="AN302" s="2">
        <f t="shared" si="2690"/>
        <v>0.74843749999999998</v>
      </c>
      <c r="AO302" s="2">
        <f t="shared" ref="AO302:AQ302" si="2691">E302/Z302</f>
        <v>2.5787965616045846E-2</v>
      </c>
      <c r="AP302" s="2">
        <f t="shared" si="2691"/>
        <v>1.3745704467353952E-2</v>
      </c>
      <c r="AQ302" s="2">
        <f t="shared" si="2691"/>
        <v>2.0312500000000001E-2</v>
      </c>
      <c r="AR302" s="2">
        <f t="shared" si="2311"/>
        <v>0.10601719197707736</v>
      </c>
      <c r="AS302" s="2">
        <f t="shared" ref="AS302:AT302" si="2692">R302/AA302</f>
        <v>0.12714776632302405</v>
      </c>
      <c r="AT302" s="2">
        <f t="shared" si="2692"/>
        <v>0.1171875</v>
      </c>
      <c r="AU302" s="2">
        <f t="shared" si="2475"/>
        <v>5.4200542005420058E-2</v>
      </c>
      <c r="AV302" s="2">
        <f t="shared" si="2475"/>
        <v>5.8252427184466021E-2</v>
      </c>
      <c r="AW302" s="2">
        <f t="shared" si="2596"/>
        <v>5.6047197640117993E-2</v>
      </c>
    </row>
    <row r="303" spans="1:49" ht="13" x14ac:dyDescent="0.15">
      <c r="A303" s="1">
        <v>2022</v>
      </c>
      <c r="B303" s="1" t="s">
        <v>49</v>
      </c>
      <c r="C303" s="1" t="s">
        <v>89</v>
      </c>
      <c r="D303" s="1" t="s">
        <v>110</v>
      </c>
      <c r="E303" s="1">
        <v>138</v>
      </c>
      <c r="F303" s="1">
        <v>87</v>
      </c>
      <c r="G303" s="1">
        <v>225</v>
      </c>
      <c r="H303" s="1">
        <v>1134</v>
      </c>
      <c r="I303" s="1">
        <v>1070</v>
      </c>
      <c r="J303" s="1">
        <v>2204</v>
      </c>
      <c r="K303" s="1">
        <v>550</v>
      </c>
      <c r="L303" s="1">
        <v>556</v>
      </c>
      <c r="M303" s="1">
        <v>1106</v>
      </c>
      <c r="N303" s="1">
        <v>396</v>
      </c>
      <c r="O303" s="1">
        <v>498</v>
      </c>
      <c r="P303" s="1">
        <v>894</v>
      </c>
      <c r="Q303" s="1">
        <v>330</v>
      </c>
      <c r="R303" s="1">
        <v>386</v>
      </c>
      <c r="S303" s="1">
        <v>716</v>
      </c>
      <c r="T303" s="1">
        <v>76</v>
      </c>
      <c r="U303" s="1">
        <v>101</v>
      </c>
      <c r="V303" s="1">
        <v>177</v>
      </c>
      <c r="W303" s="1">
        <f t="shared" ref="W303:X303" si="2693">SUM(E303,H303,K303,N303,Q303,T303)</f>
        <v>2624</v>
      </c>
      <c r="X303" s="1">
        <f t="shared" si="2693"/>
        <v>2698</v>
      </c>
      <c r="Y303" s="1">
        <f t="shared" si="2301"/>
        <v>5322</v>
      </c>
      <c r="Z303" s="1">
        <f t="shared" ref="Z303:AA303" si="2694">W303-T303</f>
        <v>2548</v>
      </c>
      <c r="AA303" s="1">
        <f t="shared" si="2694"/>
        <v>2597</v>
      </c>
      <c r="AB303" s="1">
        <f t="shared" si="2303"/>
        <v>5145</v>
      </c>
      <c r="AC303" s="1">
        <f t="shared" ref="AC303:AD303" si="2695">SUM(E303,H303,K303,N303)</f>
        <v>2218</v>
      </c>
      <c r="AD303" s="1">
        <f t="shared" si="2695"/>
        <v>2211</v>
      </c>
      <c r="AE303" s="1">
        <f t="shared" si="2305"/>
        <v>4429</v>
      </c>
      <c r="AF303" s="2">
        <f t="shared" ref="AF303:AH303" si="2696">AC303/Z303</f>
        <v>0.8704866562009419</v>
      </c>
      <c r="AG303" s="2">
        <f t="shared" si="2696"/>
        <v>0.85136696187909122</v>
      </c>
      <c r="AH303" s="2">
        <f t="shared" si="2696"/>
        <v>0.86083576287657926</v>
      </c>
      <c r="AI303" s="1">
        <f t="shared" ref="AI303:AJ303" si="2697">SUM(E303,H303,K303)</f>
        <v>1822</v>
      </c>
      <c r="AJ303" s="1">
        <f t="shared" si="2697"/>
        <v>1713</v>
      </c>
      <c r="AK303" s="1">
        <f t="shared" si="2308"/>
        <v>3535</v>
      </c>
      <c r="AL303" s="2">
        <f t="shared" ref="AL303:AN303" si="2698">AI303/Z303</f>
        <v>0.71507064364207218</v>
      </c>
      <c r="AM303" s="2">
        <f t="shared" si="2698"/>
        <v>0.65960723912206387</v>
      </c>
      <c r="AN303" s="2">
        <f t="shared" si="2698"/>
        <v>0.68707482993197277</v>
      </c>
      <c r="AO303" s="2">
        <f t="shared" ref="AO303:AQ303" si="2699">E303/Z303</f>
        <v>5.4160125588697018E-2</v>
      </c>
      <c r="AP303" s="2">
        <f t="shared" si="2699"/>
        <v>3.3500192529842127E-2</v>
      </c>
      <c r="AQ303" s="2">
        <f t="shared" si="2699"/>
        <v>4.3731778425655975E-2</v>
      </c>
      <c r="AR303" s="2">
        <f t="shared" si="2311"/>
        <v>0.15149136577708006</v>
      </c>
      <c r="AS303" s="2">
        <f t="shared" ref="AS303:AT303" si="2700">R303/AA303</f>
        <v>0.14863303812090875</v>
      </c>
      <c r="AT303" s="2">
        <f t="shared" si="2700"/>
        <v>0.1391642371234208</v>
      </c>
      <c r="AU303" s="2">
        <f t="shared" si="2475"/>
        <v>2.8963414634146343E-2</v>
      </c>
      <c r="AV303" s="2">
        <f t="shared" si="2475"/>
        <v>3.7435137138621198E-2</v>
      </c>
      <c r="AW303" s="2">
        <f t="shared" si="2596"/>
        <v>3.3258173618940248E-2</v>
      </c>
    </row>
    <row r="304" spans="1:49" ht="13" x14ac:dyDescent="0.15">
      <c r="A304" s="1">
        <v>2022</v>
      </c>
      <c r="B304" s="1" t="s">
        <v>49</v>
      </c>
      <c r="C304" s="1" t="s">
        <v>80</v>
      </c>
      <c r="D304" s="1" t="s">
        <v>111</v>
      </c>
      <c r="E304" s="1">
        <v>137</v>
      </c>
      <c r="F304" s="1">
        <v>66</v>
      </c>
      <c r="G304" s="1">
        <v>203</v>
      </c>
      <c r="H304" s="1">
        <v>708</v>
      </c>
      <c r="I304" s="1">
        <v>490</v>
      </c>
      <c r="J304" s="1">
        <v>1198</v>
      </c>
      <c r="K304" s="1">
        <v>467</v>
      </c>
      <c r="L304" s="1">
        <v>420</v>
      </c>
      <c r="M304" s="1">
        <v>887</v>
      </c>
      <c r="N304" s="1">
        <v>400</v>
      </c>
      <c r="O304" s="1">
        <v>357</v>
      </c>
      <c r="P304" s="1">
        <v>757</v>
      </c>
      <c r="Q304" s="1">
        <v>627</v>
      </c>
      <c r="R304" s="1">
        <v>596</v>
      </c>
      <c r="S304" s="1">
        <v>1223</v>
      </c>
      <c r="T304" s="1">
        <v>21</v>
      </c>
      <c r="U304" s="1">
        <v>21</v>
      </c>
      <c r="V304" s="1">
        <v>42</v>
      </c>
      <c r="W304" s="1">
        <f t="shared" ref="W304:X304" si="2701">SUM(E304,H304,K304,N304,Q304,T304)</f>
        <v>2360</v>
      </c>
      <c r="X304" s="1">
        <f t="shared" si="2701"/>
        <v>1950</v>
      </c>
      <c r="Y304" s="1">
        <f t="shared" si="2301"/>
        <v>4310</v>
      </c>
      <c r="Z304" s="1">
        <f t="shared" ref="Z304:AA304" si="2702">W304-T304</f>
        <v>2339</v>
      </c>
      <c r="AA304" s="1">
        <f t="shared" si="2702"/>
        <v>1929</v>
      </c>
      <c r="AB304" s="1">
        <f t="shared" si="2303"/>
        <v>4268</v>
      </c>
      <c r="AC304" s="1">
        <f t="shared" ref="AC304:AD304" si="2703">SUM(E304,H304,K304,N304)</f>
        <v>1712</v>
      </c>
      <c r="AD304" s="1">
        <f t="shared" si="2703"/>
        <v>1333</v>
      </c>
      <c r="AE304" s="1">
        <f t="shared" si="2305"/>
        <v>3045</v>
      </c>
      <c r="AF304" s="2">
        <f t="shared" ref="AF304:AH304" si="2704">AC304/Z304</f>
        <v>0.73193672509619501</v>
      </c>
      <c r="AG304" s="2">
        <f t="shared" si="2704"/>
        <v>0.69103162260238471</v>
      </c>
      <c r="AH304" s="2">
        <f t="shared" si="2704"/>
        <v>0.71344892221180878</v>
      </c>
      <c r="AI304" s="1">
        <f t="shared" ref="AI304:AJ304" si="2705">SUM(E304,H304,K304)</f>
        <v>1312</v>
      </c>
      <c r="AJ304" s="1">
        <f t="shared" si="2705"/>
        <v>976</v>
      </c>
      <c r="AK304" s="1">
        <f t="shared" si="2308"/>
        <v>2288</v>
      </c>
      <c r="AL304" s="2">
        <f t="shared" ref="AL304:AN304" si="2706">AI304/Z304</f>
        <v>0.56092347156904665</v>
      </c>
      <c r="AM304" s="2">
        <f t="shared" si="2706"/>
        <v>0.50596163815448414</v>
      </c>
      <c r="AN304" s="2">
        <f t="shared" si="2706"/>
        <v>0.53608247422680411</v>
      </c>
      <c r="AO304" s="2">
        <f t="shared" ref="AO304:AQ304" si="2707">E304/Z304</f>
        <v>5.8572039333048311E-2</v>
      </c>
      <c r="AP304" s="2">
        <f t="shared" si="2707"/>
        <v>3.4214618973561428E-2</v>
      </c>
      <c r="AQ304" s="2">
        <f t="shared" si="2707"/>
        <v>4.7563261480787253E-2</v>
      </c>
      <c r="AR304" s="2">
        <f t="shared" si="2311"/>
        <v>0.25480974775545107</v>
      </c>
      <c r="AS304" s="2">
        <f t="shared" ref="AS304:AT304" si="2708">R304/AA304</f>
        <v>0.30896837739761535</v>
      </c>
      <c r="AT304" s="2">
        <f t="shared" si="2708"/>
        <v>0.28655107778819117</v>
      </c>
      <c r="AU304" s="2">
        <f t="shared" si="2475"/>
        <v>8.8983050847457629E-3</v>
      </c>
      <c r="AV304" s="2">
        <f t="shared" si="2475"/>
        <v>1.0769230769230769E-2</v>
      </c>
      <c r="AW304" s="2">
        <f t="shared" si="2596"/>
        <v>9.7447795823665893E-3</v>
      </c>
    </row>
    <row r="305" spans="1:49" ht="13" x14ac:dyDescent="0.15">
      <c r="A305" s="1">
        <v>2022</v>
      </c>
      <c r="B305" s="1" t="s">
        <v>49</v>
      </c>
      <c r="C305" s="1" t="s">
        <v>50</v>
      </c>
      <c r="D305" s="1" t="s">
        <v>112</v>
      </c>
      <c r="E305" s="1">
        <v>235</v>
      </c>
      <c r="F305" s="1">
        <v>258</v>
      </c>
      <c r="G305" s="1">
        <v>493</v>
      </c>
      <c r="H305" s="1">
        <v>1093</v>
      </c>
      <c r="I305" s="1">
        <v>1489</v>
      </c>
      <c r="J305" s="1">
        <v>2582</v>
      </c>
      <c r="K305" s="1">
        <v>297</v>
      </c>
      <c r="L305" s="1">
        <v>368</v>
      </c>
      <c r="M305" s="1">
        <v>665</v>
      </c>
      <c r="N305" s="1">
        <v>210</v>
      </c>
      <c r="O305" s="1">
        <v>249</v>
      </c>
      <c r="P305" s="1">
        <v>459</v>
      </c>
      <c r="Q305" s="1">
        <v>121</v>
      </c>
      <c r="R305" s="1">
        <v>115</v>
      </c>
      <c r="S305" s="1">
        <v>236</v>
      </c>
      <c r="T305" s="1">
        <v>108</v>
      </c>
      <c r="U305" s="1">
        <v>91</v>
      </c>
      <c r="V305" s="1">
        <v>199</v>
      </c>
      <c r="W305" s="1">
        <f t="shared" ref="W305:X305" si="2709">SUM(E305,H305,K305,N305,Q305,T305)</f>
        <v>2064</v>
      </c>
      <c r="X305" s="1">
        <f t="shared" si="2709"/>
        <v>2570</v>
      </c>
      <c r="Y305" s="1">
        <f t="shared" si="2301"/>
        <v>4634</v>
      </c>
      <c r="Z305" s="1">
        <f t="shared" ref="Z305:AA305" si="2710">W305-T305</f>
        <v>1956</v>
      </c>
      <c r="AA305" s="1">
        <f t="shared" si="2710"/>
        <v>2479</v>
      </c>
      <c r="AB305" s="1">
        <f t="shared" si="2303"/>
        <v>4435</v>
      </c>
      <c r="AC305" s="1">
        <f t="shared" ref="AC305:AD305" si="2711">SUM(E305,H305,K305,N305)</f>
        <v>1835</v>
      </c>
      <c r="AD305" s="1">
        <f t="shared" si="2711"/>
        <v>2364</v>
      </c>
      <c r="AE305" s="1">
        <f t="shared" si="2305"/>
        <v>4199</v>
      </c>
      <c r="AF305" s="2">
        <f t="shared" ref="AF305:AH305" si="2712">AC305/Z305</f>
        <v>0.93813905930470343</v>
      </c>
      <c r="AG305" s="2">
        <f t="shared" si="2712"/>
        <v>0.95361032674465507</v>
      </c>
      <c r="AH305" s="2">
        <f t="shared" si="2712"/>
        <v>0.94678692220969562</v>
      </c>
      <c r="AI305" s="1">
        <f t="shared" ref="AI305:AJ305" si="2713">SUM(E305,H305,K305)</f>
        <v>1625</v>
      </c>
      <c r="AJ305" s="1">
        <f t="shared" si="2713"/>
        <v>2115</v>
      </c>
      <c r="AK305" s="1">
        <f t="shared" si="2308"/>
        <v>3740</v>
      </c>
      <c r="AL305" s="2">
        <f t="shared" ref="AL305:AN305" si="2714">AI305/Z305</f>
        <v>0.83077709611451944</v>
      </c>
      <c r="AM305" s="2">
        <f t="shared" si="2714"/>
        <v>0.85316659943525619</v>
      </c>
      <c r="AN305" s="2">
        <f t="shared" si="2714"/>
        <v>0.84329199549041711</v>
      </c>
      <c r="AO305" s="2">
        <f t="shared" ref="AO305:AQ305" si="2715">E305/Z305</f>
        <v>0.12014314928425358</v>
      </c>
      <c r="AP305" s="2">
        <f t="shared" si="2715"/>
        <v>0.10407422347720856</v>
      </c>
      <c r="AQ305" s="2">
        <f t="shared" si="2715"/>
        <v>0.11116121758737317</v>
      </c>
      <c r="AR305" s="2">
        <f t="shared" si="2311"/>
        <v>5.8793456032719835E-2</v>
      </c>
      <c r="AS305" s="2">
        <f t="shared" ref="AS305:AT305" si="2716">R305/AA305</f>
        <v>4.6389673255344897E-2</v>
      </c>
      <c r="AT305" s="2">
        <f t="shared" si="2716"/>
        <v>5.3213077790304396E-2</v>
      </c>
      <c r="AU305" s="2">
        <f t="shared" si="2475"/>
        <v>5.232558139534884E-2</v>
      </c>
      <c r="AV305" s="2">
        <f t="shared" si="2475"/>
        <v>3.5408560311284046E-2</v>
      </c>
      <c r="AW305" s="2">
        <f t="shared" si="2596"/>
        <v>4.2943461372464395E-2</v>
      </c>
    </row>
    <row r="306" spans="1:49" ht="13" x14ac:dyDescent="0.15">
      <c r="A306" s="1">
        <v>2022</v>
      </c>
      <c r="B306" s="1" t="s">
        <v>49</v>
      </c>
      <c r="C306" s="1" t="s">
        <v>78</v>
      </c>
      <c r="D306" s="1" t="s">
        <v>113</v>
      </c>
      <c r="E306" s="1">
        <v>583</v>
      </c>
      <c r="F306" s="1">
        <v>499</v>
      </c>
      <c r="G306" s="1">
        <v>1082</v>
      </c>
      <c r="H306" s="1">
        <v>1778</v>
      </c>
      <c r="I306" s="1">
        <v>1810</v>
      </c>
      <c r="J306" s="1">
        <v>3588</v>
      </c>
      <c r="K306" s="1">
        <v>564</v>
      </c>
      <c r="L306" s="1">
        <v>655</v>
      </c>
      <c r="M306" s="1">
        <v>1219</v>
      </c>
      <c r="N306" s="1">
        <v>342</v>
      </c>
      <c r="O306" s="1">
        <v>405</v>
      </c>
      <c r="P306" s="1">
        <v>747</v>
      </c>
      <c r="Q306" s="1">
        <v>282</v>
      </c>
      <c r="R306" s="1">
        <v>349</v>
      </c>
      <c r="S306" s="1">
        <v>631</v>
      </c>
      <c r="T306" s="1">
        <v>74</v>
      </c>
      <c r="U306" s="1">
        <v>68</v>
      </c>
      <c r="V306" s="1">
        <v>142</v>
      </c>
      <c r="W306" s="1">
        <f t="shared" ref="W306:X306" si="2717">SUM(E306,H306,K306,N306,Q306,T306)</f>
        <v>3623</v>
      </c>
      <c r="X306" s="1">
        <f t="shared" si="2717"/>
        <v>3786</v>
      </c>
      <c r="Y306" s="1">
        <f t="shared" si="2301"/>
        <v>7409</v>
      </c>
      <c r="Z306" s="1">
        <f t="shared" ref="Z306:AA306" si="2718">W306-T306</f>
        <v>3549</v>
      </c>
      <c r="AA306" s="1">
        <f t="shared" si="2718"/>
        <v>3718</v>
      </c>
      <c r="AB306" s="1">
        <f t="shared" si="2303"/>
        <v>7267</v>
      </c>
      <c r="AC306" s="1">
        <f t="shared" ref="AC306:AD306" si="2719">SUM(E306,H306,K306,N306)</f>
        <v>3267</v>
      </c>
      <c r="AD306" s="1">
        <f t="shared" si="2719"/>
        <v>3369</v>
      </c>
      <c r="AE306" s="1">
        <f t="shared" si="2305"/>
        <v>6636</v>
      </c>
      <c r="AF306" s="2">
        <f t="shared" ref="AF306:AH306" si="2720">AC306/Z306</f>
        <v>0.92054099746407436</v>
      </c>
      <c r="AG306" s="2">
        <f t="shared" si="2720"/>
        <v>0.90613232920925224</v>
      </c>
      <c r="AH306" s="2">
        <f t="shared" si="2720"/>
        <v>0.91316912068253753</v>
      </c>
      <c r="AI306" s="1">
        <f t="shared" ref="AI306:AJ306" si="2721">SUM(E306,H306,K306)</f>
        <v>2925</v>
      </c>
      <c r="AJ306" s="1">
        <f t="shared" si="2721"/>
        <v>2964</v>
      </c>
      <c r="AK306" s="1">
        <f t="shared" si="2308"/>
        <v>5889</v>
      </c>
      <c r="AL306" s="2">
        <f t="shared" ref="AL306:AN306" si="2722">AI306/Z306</f>
        <v>0.82417582417582413</v>
      </c>
      <c r="AM306" s="2">
        <f t="shared" si="2722"/>
        <v>0.79720279720279719</v>
      </c>
      <c r="AN306" s="2">
        <f t="shared" si="2722"/>
        <v>0.8103756708407871</v>
      </c>
      <c r="AO306" s="2">
        <f t="shared" ref="AO306:AQ306" si="2723">E306/Z306</f>
        <v>0.16427162581008733</v>
      </c>
      <c r="AP306" s="2">
        <f t="shared" si="2723"/>
        <v>0.13421194190424959</v>
      </c>
      <c r="AQ306" s="2">
        <f t="shared" si="2723"/>
        <v>0.14889225264896105</v>
      </c>
      <c r="AR306" s="2">
        <f t="shared" si="2311"/>
        <v>9.8337559876021413E-2</v>
      </c>
      <c r="AS306" s="2">
        <f t="shared" ref="AS306:AT306" si="2724">R306/AA306</f>
        <v>9.3867670790747718E-2</v>
      </c>
      <c r="AT306" s="2">
        <f t="shared" si="2724"/>
        <v>8.68308793174625E-2</v>
      </c>
      <c r="AU306" s="2">
        <f t="shared" si="2475"/>
        <v>2.0425062103229367E-2</v>
      </c>
      <c r="AV306" s="2">
        <f t="shared" si="2475"/>
        <v>1.7960908610670893E-2</v>
      </c>
      <c r="AW306" s="2">
        <f t="shared" si="2596"/>
        <v>1.9165879335942774E-2</v>
      </c>
    </row>
    <row r="307" spans="1:49" ht="13" x14ac:dyDescent="0.15">
      <c r="A307" s="1">
        <v>2022</v>
      </c>
      <c r="B307" s="1" t="s">
        <v>49</v>
      </c>
      <c r="C307" s="1" t="s">
        <v>99</v>
      </c>
      <c r="D307" s="1" t="s">
        <v>114</v>
      </c>
      <c r="E307" s="1">
        <v>558</v>
      </c>
      <c r="F307" s="1">
        <v>511</v>
      </c>
      <c r="G307" s="1">
        <v>1069</v>
      </c>
      <c r="H307" s="1">
        <v>1353</v>
      </c>
      <c r="I307" s="1">
        <v>1573</v>
      </c>
      <c r="J307" s="1">
        <v>2926</v>
      </c>
      <c r="K307" s="1">
        <v>471</v>
      </c>
      <c r="L307" s="1">
        <v>685</v>
      </c>
      <c r="M307" s="1">
        <v>1156</v>
      </c>
      <c r="N307" s="1">
        <v>303</v>
      </c>
      <c r="O307" s="1">
        <v>398</v>
      </c>
      <c r="P307" s="1">
        <v>701</v>
      </c>
      <c r="Q307" s="1">
        <v>557</v>
      </c>
      <c r="R307" s="1">
        <v>631</v>
      </c>
      <c r="S307" s="1">
        <v>1188</v>
      </c>
      <c r="T307" s="1">
        <v>121</v>
      </c>
      <c r="U307" s="1">
        <v>116</v>
      </c>
      <c r="V307" s="1">
        <v>237</v>
      </c>
      <c r="W307" s="1">
        <f t="shared" ref="W307:X307" si="2725">SUM(E307,H307,K307,N307,Q307,T307)</f>
        <v>3363</v>
      </c>
      <c r="X307" s="1">
        <f t="shared" si="2725"/>
        <v>3914</v>
      </c>
      <c r="Y307" s="1">
        <f t="shared" si="2301"/>
        <v>7277</v>
      </c>
      <c r="Z307" s="1">
        <f t="shared" ref="Z307:AA307" si="2726">W307-T307</f>
        <v>3242</v>
      </c>
      <c r="AA307" s="1">
        <f t="shared" si="2726"/>
        <v>3798</v>
      </c>
      <c r="AB307" s="1">
        <f t="shared" si="2303"/>
        <v>7040</v>
      </c>
      <c r="AC307" s="1">
        <f t="shared" ref="AC307:AD307" si="2727">SUM(E307,H307,K307,N307)</f>
        <v>2685</v>
      </c>
      <c r="AD307" s="1">
        <f t="shared" si="2727"/>
        <v>3167</v>
      </c>
      <c r="AE307" s="1">
        <f t="shared" si="2305"/>
        <v>5852</v>
      </c>
      <c r="AF307" s="2">
        <f t="shared" ref="AF307:AH307" si="2728">AC307/Z307</f>
        <v>0.82819247378161631</v>
      </c>
      <c r="AG307" s="2">
        <f t="shared" si="2728"/>
        <v>0.83385992627698791</v>
      </c>
      <c r="AH307" s="2">
        <f t="shared" si="2728"/>
        <v>0.83125000000000004</v>
      </c>
      <c r="AI307" s="1">
        <f t="shared" ref="AI307:AJ307" si="2729">SUM(E307,H307,K307)</f>
        <v>2382</v>
      </c>
      <c r="AJ307" s="1">
        <f t="shared" si="2729"/>
        <v>2769</v>
      </c>
      <c r="AK307" s="1">
        <f t="shared" si="2308"/>
        <v>5151</v>
      </c>
      <c r="AL307" s="2">
        <f t="shared" ref="AL307:AN307" si="2730">AI307/Z307</f>
        <v>0.73473164713140038</v>
      </c>
      <c r="AM307" s="2">
        <f t="shared" si="2730"/>
        <v>0.7290679304897314</v>
      </c>
      <c r="AN307" s="2">
        <f t="shared" si="2730"/>
        <v>0.73167613636363638</v>
      </c>
      <c r="AO307" s="2">
        <f t="shared" ref="AO307:AQ307" si="2731">E307/Z307</f>
        <v>0.17211597779148674</v>
      </c>
      <c r="AP307" s="2">
        <f t="shared" si="2731"/>
        <v>0.13454449710373881</v>
      </c>
      <c r="AQ307" s="2">
        <f t="shared" si="2731"/>
        <v>0.15184659090909092</v>
      </c>
      <c r="AR307" s="2">
        <f t="shared" si="2311"/>
        <v>0.1946329426280074</v>
      </c>
      <c r="AS307" s="2">
        <f t="shared" ref="AS307:AT307" si="2732">R307/AA307</f>
        <v>0.16614007372301212</v>
      </c>
      <c r="AT307" s="2">
        <f t="shared" si="2732"/>
        <v>0.16875000000000001</v>
      </c>
      <c r="AU307" s="2">
        <f t="shared" si="2475"/>
        <v>3.5979779958370504E-2</v>
      </c>
      <c r="AV307" s="2">
        <f t="shared" si="2475"/>
        <v>2.9637199795605518E-2</v>
      </c>
      <c r="AW307" s="2">
        <f t="shared" si="2596"/>
        <v>3.2568366084925103E-2</v>
      </c>
    </row>
    <row r="308" spans="1:49" ht="13" x14ac:dyDescent="0.15">
      <c r="A308" s="1">
        <v>2022</v>
      </c>
      <c r="B308" s="1" t="s">
        <v>49</v>
      </c>
      <c r="C308" s="1" t="s">
        <v>54</v>
      </c>
      <c r="D308" s="1" t="s">
        <v>115</v>
      </c>
      <c r="E308" s="1">
        <v>654</v>
      </c>
      <c r="F308" s="1">
        <v>523</v>
      </c>
      <c r="G308" s="1">
        <v>1177</v>
      </c>
      <c r="H308" s="1">
        <v>1414</v>
      </c>
      <c r="I308" s="1">
        <v>1771</v>
      </c>
      <c r="J308" s="1">
        <v>3185</v>
      </c>
      <c r="K308" s="1">
        <v>295</v>
      </c>
      <c r="L308" s="1">
        <v>480</v>
      </c>
      <c r="M308" s="1">
        <v>775</v>
      </c>
      <c r="N308" s="1">
        <v>135</v>
      </c>
      <c r="O308" s="1">
        <v>228</v>
      </c>
      <c r="P308" s="1">
        <v>363</v>
      </c>
      <c r="Q308" s="1">
        <v>93</v>
      </c>
      <c r="R308" s="1">
        <v>109</v>
      </c>
      <c r="S308" s="1">
        <v>202</v>
      </c>
      <c r="T308" s="1">
        <v>87</v>
      </c>
      <c r="U308" s="1">
        <v>71</v>
      </c>
      <c r="V308" s="1">
        <v>158</v>
      </c>
      <c r="W308" s="1">
        <f t="shared" ref="W308:X308" si="2733">SUM(E308,H308,K308,N308,Q308,T308)</f>
        <v>2678</v>
      </c>
      <c r="X308" s="1">
        <f t="shared" si="2733"/>
        <v>3182</v>
      </c>
      <c r="Y308" s="1">
        <f t="shared" si="2301"/>
        <v>5860</v>
      </c>
      <c r="Z308" s="1">
        <f t="shared" ref="Z308:AA308" si="2734">W308-T308</f>
        <v>2591</v>
      </c>
      <c r="AA308" s="1">
        <f t="shared" si="2734"/>
        <v>3111</v>
      </c>
      <c r="AB308" s="1">
        <f t="shared" si="2303"/>
        <v>5702</v>
      </c>
      <c r="AC308" s="1">
        <f t="shared" ref="AC308:AD308" si="2735">SUM(E308,H308,K308,N308)</f>
        <v>2498</v>
      </c>
      <c r="AD308" s="1">
        <f t="shared" si="2735"/>
        <v>3002</v>
      </c>
      <c r="AE308" s="1">
        <f t="shared" si="2305"/>
        <v>5500</v>
      </c>
      <c r="AF308" s="2">
        <f t="shared" ref="AF308:AH308" si="2736">AC308/Z308</f>
        <v>0.9641065225781551</v>
      </c>
      <c r="AG308" s="2">
        <f t="shared" si="2736"/>
        <v>0.96496303439408548</v>
      </c>
      <c r="AH308" s="2">
        <f t="shared" si="2736"/>
        <v>0.96457383374254646</v>
      </c>
      <c r="AI308" s="1">
        <f t="shared" ref="AI308:AJ308" si="2737">SUM(E308,H308,K308)</f>
        <v>2363</v>
      </c>
      <c r="AJ308" s="1">
        <f t="shared" si="2737"/>
        <v>2774</v>
      </c>
      <c r="AK308" s="1">
        <f t="shared" si="2308"/>
        <v>5137</v>
      </c>
      <c r="AL308" s="2">
        <f t="shared" ref="AL308:AN308" si="2738">AI308/Z308</f>
        <v>0.91200308761096105</v>
      </c>
      <c r="AM308" s="2">
        <f t="shared" si="2738"/>
        <v>0.89167470266795246</v>
      </c>
      <c r="AN308" s="2">
        <f t="shared" si="2738"/>
        <v>0.90091196071553836</v>
      </c>
      <c r="AO308" s="2">
        <f t="shared" ref="AO308:AQ308" si="2739">E308/Z308</f>
        <v>0.25241219606329601</v>
      </c>
      <c r="AP308" s="2">
        <f t="shared" si="2739"/>
        <v>0.1681131468981035</v>
      </c>
      <c r="AQ308" s="2">
        <f t="shared" si="2739"/>
        <v>0.20641880042090494</v>
      </c>
      <c r="AR308" s="2">
        <f t="shared" si="2311"/>
        <v>4.2068699343882673E-2</v>
      </c>
      <c r="AS308" s="2">
        <f t="shared" ref="AS308:AT308" si="2740">R308/AA308</f>
        <v>3.5036965605914495E-2</v>
      </c>
      <c r="AT308" s="2">
        <f t="shared" si="2740"/>
        <v>3.5426166257453526E-2</v>
      </c>
      <c r="AU308" s="2">
        <f t="shared" si="2475"/>
        <v>3.2486930545182972E-2</v>
      </c>
      <c r="AV308" s="2">
        <f t="shared" si="2475"/>
        <v>2.2313010685103708E-2</v>
      </c>
      <c r="AW308" s="2">
        <f t="shared" si="2596"/>
        <v>2.6962457337883959E-2</v>
      </c>
    </row>
    <row r="309" spans="1:49" ht="13" x14ac:dyDescent="0.15">
      <c r="A309" s="1">
        <v>2022</v>
      </c>
      <c r="B309" s="1" t="s">
        <v>49</v>
      </c>
      <c r="C309" s="1" t="s">
        <v>89</v>
      </c>
      <c r="D309" s="1" t="s">
        <v>116</v>
      </c>
      <c r="E309" s="1">
        <v>689</v>
      </c>
      <c r="F309" s="1">
        <v>602</v>
      </c>
      <c r="G309" s="1">
        <v>1291</v>
      </c>
      <c r="H309" s="1">
        <v>1992</v>
      </c>
      <c r="I309" s="1">
        <v>2334</v>
      </c>
      <c r="J309" s="1">
        <v>4326</v>
      </c>
      <c r="K309" s="1">
        <v>760</v>
      </c>
      <c r="L309" s="1">
        <v>987</v>
      </c>
      <c r="M309" s="1">
        <v>1747</v>
      </c>
      <c r="N309" s="1">
        <v>456</v>
      </c>
      <c r="O309" s="1">
        <v>682</v>
      </c>
      <c r="P309" s="1">
        <v>1138</v>
      </c>
      <c r="Q309" s="1">
        <v>571</v>
      </c>
      <c r="R309" s="1">
        <v>739</v>
      </c>
      <c r="S309" s="1">
        <v>1310</v>
      </c>
      <c r="T309" s="1">
        <v>106</v>
      </c>
      <c r="U309" s="1">
        <v>124</v>
      </c>
      <c r="V309" s="1">
        <v>230</v>
      </c>
      <c r="W309" s="1">
        <f t="shared" ref="W309:X309" si="2741">SUM(E309,H309,K309,N309,Q309,T309)</f>
        <v>4574</v>
      </c>
      <c r="X309" s="1">
        <f t="shared" si="2741"/>
        <v>5468</v>
      </c>
      <c r="Y309" s="1">
        <f t="shared" si="2301"/>
        <v>10042</v>
      </c>
      <c r="Z309" s="1">
        <f t="shared" ref="Z309:AA309" si="2742">W309-T309</f>
        <v>4468</v>
      </c>
      <c r="AA309" s="1">
        <f t="shared" si="2742"/>
        <v>5344</v>
      </c>
      <c r="AB309" s="1">
        <f t="shared" si="2303"/>
        <v>9812</v>
      </c>
      <c r="AC309" s="1">
        <f t="shared" ref="AC309:AD309" si="2743">SUM(E309,H309,K309,N309)</f>
        <v>3897</v>
      </c>
      <c r="AD309" s="1">
        <f t="shared" si="2743"/>
        <v>4605</v>
      </c>
      <c r="AE309" s="1">
        <f t="shared" si="2305"/>
        <v>8502</v>
      </c>
      <c r="AF309" s="2">
        <f t="shared" ref="AF309:AH309" si="2744">AC309/Z309</f>
        <v>0.87220232766338401</v>
      </c>
      <c r="AG309" s="2">
        <f t="shared" si="2744"/>
        <v>0.86171407185628746</v>
      </c>
      <c r="AH309" s="2">
        <f t="shared" si="2744"/>
        <v>0.8664900122299225</v>
      </c>
      <c r="AI309" s="1">
        <f t="shared" ref="AI309:AJ309" si="2745">SUM(E309,H309,K309)</f>
        <v>3441</v>
      </c>
      <c r="AJ309" s="1">
        <f t="shared" si="2745"/>
        <v>3923</v>
      </c>
      <c r="AK309" s="1">
        <f t="shared" si="2308"/>
        <v>7364</v>
      </c>
      <c r="AL309" s="2">
        <f t="shared" ref="AL309:AN309" si="2746">AI309/Z309</f>
        <v>0.77014324082363472</v>
      </c>
      <c r="AM309" s="2">
        <f t="shared" si="2746"/>
        <v>0.73409431137724546</v>
      </c>
      <c r="AN309" s="2">
        <f t="shared" si="2746"/>
        <v>0.75050958010599267</v>
      </c>
      <c r="AO309" s="2">
        <f t="shared" ref="AO309:AQ309" si="2747">E309/Z309</f>
        <v>0.15420769919427035</v>
      </c>
      <c r="AP309" s="2">
        <f t="shared" si="2747"/>
        <v>0.1126497005988024</v>
      </c>
      <c r="AQ309" s="2">
        <f t="shared" si="2747"/>
        <v>0.13157358336730535</v>
      </c>
      <c r="AR309" s="2">
        <f t="shared" si="2311"/>
        <v>0.1653983885407341</v>
      </c>
      <c r="AS309" s="2">
        <f t="shared" ref="AS309:AT309" si="2748">R309/AA309</f>
        <v>0.13828592814371257</v>
      </c>
      <c r="AT309" s="2">
        <f t="shared" si="2748"/>
        <v>0.13350998777007744</v>
      </c>
      <c r="AU309" s="2">
        <f t="shared" si="2475"/>
        <v>2.3174464363795364E-2</v>
      </c>
      <c r="AV309" s="2">
        <f t="shared" si="2475"/>
        <v>2.2677395757132408E-2</v>
      </c>
      <c r="AW309" s="2">
        <f t="shared" si="2596"/>
        <v>2.2903804023102967E-2</v>
      </c>
    </row>
    <row r="310" spans="1:49" ht="13" x14ac:dyDescent="0.15">
      <c r="A310" s="1">
        <v>2022</v>
      </c>
      <c r="B310" s="1" t="s">
        <v>117</v>
      </c>
      <c r="C310" s="1" t="s">
        <v>54</v>
      </c>
      <c r="D310" s="1" t="s">
        <v>118</v>
      </c>
      <c r="E310" s="1">
        <v>712</v>
      </c>
      <c r="F310" s="1">
        <v>534</v>
      </c>
      <c r="G310" s="1">
        <v>1246</v>
      </c>
      <c r="H310" s="1">
        <v>2266</v>
      </c>
      <c r="I310" s="1">
        <v>2577</v>
      </c>
      <c r="J310" s="1">
        <v>4843</v>
      </c>
      <c r="K310" s="1">
        <v>773</v>
      </c>
      <c r="L310" s="1">
        <v>1089</v>
      </c>
      <c r="M310" s="1">
        <v>1862</v>
      </c>
      <c r="N310" s="1">
        <v>416</v>
      </c>
      <c r="O310" s="1">
        <v>596</v>
      </c>
      <c r="P310" s="1">
        <v>1012</v>
      </c>
      <c r="Q310" s="1">
        <v>331</v>
      </c>
      <c r="R310" s="1">
        <v>516</v>
      </c>
      <c r="S310" s="1">
        <v>847</v>
      </c>
      <c r="T310" s="1">
        <v>167</v>
      </c>
      <c r="U310" s="1">
        <v>200</v>
      </c>
      <c r="V310" s="1">
        <v>367</v>
      </c>
      <c r="W310" s="1">
        <f t="shared" ref="W310:X310" si="2749">SUM(E310,H310,K310,N310,Q310,T310)</f>
        <v>4665</v>
      </c>
      <c r="X310" s="1">
        <f t="shared" si="2749"/>
        <v>5512</v>
      </c>
      <c r="Y310" s="1">
        <f t="shared" si="2301"/>
        <v>10177</v>
      </c>
      <c r="Z310" s="1">
        <f t="shared" ref="Z310:AA310" si="2750">W310-T310</f>
        <v>4498</v>
      </c>
      <c r="AA310" s="1">
        <f t="shared" si="2750"/>
        <v>5312</v>
      </c>
      <c r="AB310" s="1">
        <f t="shared" si="2303"/>
        <v>9810</v>
      </c>
      <c r="AC310" s="1">
        <f t="shared" ref="AC310:AD310" si="2751">SUM(E310,H310,K310,N310)</f>
        <v>4167</v>
      </c>
      <c r="AD310" s="1">
        <f t="shared" si="2751"/>
        <v>4796</v>
      </c>
      <c r="AE310" s="1">
        <f t="shared" si="2305"/>
        <v>8963</v>
      </c>
      <c r="AF310" s="2">
        <f t="shared" ref="AF310:AH310" si="2752">AC310/Z310</f>
        <v>0.92641173855046688</v>
      </c>
      <c r="AG310" s="2">
        <f t="shared" si="2752"/>
        <v>0.90286144578313254</v>
      </c>
      <c r="AH310" s="2">
        <f t="shared" si="2752"/>
        <v>0.91365953109072373</v>
      </c>
      <c r="AI310" s="1">
        <f t="shared" ref="AI310:AJ310" si="2753">SUM(E310,H310,K310)</f>
        <v>3751</v>
      </c>
      <c r="AJ310" s="1">
        <f t="shared" si="2753"/>
        <v>4200</v>
      </c>
      <c r="AK310" s="1">
        <f t="shared" si="2308"/>
        <v>7951</v>
      </c>
      <c r="AL310" s="2">
        <f t="shared" ref="AL310:AN310" si="2754">AI310/Z310</f>
        <v>0.83392618941751895</v>
      </c>
      <c r="AM310" s="2">
        <f t="shared" si="2754"/>
        <v>0.79066265060240959</v>
      </c>
      <c r="AN310" s="2">
        <f t="shared" si="2754"/>
        <v>0.8104994903160041</v>
      </c>
      <c r="AO310" s="2">
        <f t="shared" ref="AO310:AQ310" si="2755">E310/Z310</f>
        <v>0.15829257447754558</v>
      </c>
      <c r="AP310" s="2">
        <f t="shared" si="2755"/>
        <v>0.10052710843373494</v>
      </c>
      <c r="AQ310" s="2">
        <f t="shared" si="2755"/>
        <v>0.127013251783894</v>
      </c>
      <c r="AR310" s="2">
        <f t="shared" si="2311"/>
        <v>0.11471765228990663</v>
      </c>
      <c r="AS310" s="2">
        <f t="shared" ref="AS310:AT310" si="2756">R310/AA310</f>
        <v>9.713855421686747E-2</v>
      </c>
      <c r="AT310" s="2">
        <f t="shared" si="2756"/>
        <v>8.6340468909276255E-2</v>
      </c>
      <c r="AU310" s="2">
        <f t="shared" si="2475"/>
        <v>3.5798499464094316E-2</v>
      </c>
      <c r="AV310" s="2">
        <f t="shared" si="2475"/>
        <v>3.6284470246734396E-2</v>
      </c>
      <c r="AW310" s="2">
        <f t="shared" si="2596"/>
        <v>3.6061707772428023E-2</v>
      </c>
    </row>
    <row r="311" spans="1:49" ht="13" x14ac:dyDescent="0.15">
      <c r="A311" s="1">
        <v>2022</v>
      </c>
      <c r="B311" s="1" t="s">
        <v>49</v>
      </c>
      <c r="C311" s="1" t="s">
        <v>89</v>
      </c>
      <c r="D311" s="1" t="s">
        <v>119</v>
      </c>
      <c r="E311" s="1">
        <v>849</v>
      </c>
      <c r="F311" s="1">
        <v>716</v>
      </c>
      <c r="G311" s="1">
        <v>1565</v>
      </c>
      <c r="H311" s="1">
        <v>2973</v>
      </c>
      <c r="I311" s="1">
        <v>3719</v>
      </c>
      <c r="J311" s="1">
        <v>6692</v>
      </c>
      <c r="K311" s="1">
        <v>920</v>
      </c>
      <c r="L311" s="1">
        <v>1296</v>
      </c>
      <c r="M311" s="1">
        <v>2216</v>
      </c>
      <c r="N311" s="1">
        <v>689</v>
      </c>
      <c r="O311" s="1">
        <v>892</v>
      </c>
      <c r="P311" s="1">
        <v>1581</v>
      </c>
      <c r="Q311" s="1">
        <v>493</v>
      </c>
      <c r="R311" s="1">
        <v>621</v>
      </c>
      <c r="S311" s="1">
        <v>1114</v>
      </c>
      <c r="T311" s="1">
        <v>139</v>
      </c>
      <c r="U311" s="1">
        <v>191</v>
      </c>
      <c r="V311" s="1">
        <v>330</v>
      </c>
      <c r="W311" s="1">
        <f t="shared" ref="W311:X311" si="2757">SUM(E311,H311,K311,N311,Q311,T311)</f>
        <v>6063</v>
      </c>
      <c r="X311" s="1">
        <f t="shared" si="2757"/>
        <v>7435</v>
      </c>
      <c r="Y311" s="1">
        <f t="shared" si="2301"/>
        <v>13498</v>
      </c>
      <c r="Z311" s="1">
        <f t="shared" ref="Z311:AA311" si="2758">W311-T311</f>
        <v>5924</v>
      </c>
      <c r="AA311" s="1">
        <f t="shared" si="2758"/>
        <v>7244</v>
      </c>
      <c r="AB311" s="1">
        <f t="shared" si="2303"/>
        <v>13168</v>
      </c>
      <c r="AC311" s="1">
        <f t="shared" ref="AC311:AD311" si="2759">SUM(E311,H311,K311,N311)</f>
        <v>5431</v>
      </c>
      <c r="AD311" s="1">
        <f t="shared" si="2759"/>
        <v>6623</v>
      </c>
      <c r="AE311" s="1">
        <f t="shared" si="2305"/>
        <v>12054</v>
      </c>
      <c r="AF311" s="2">
        <f t="shared" ref="AF311:AH311" si="2760">AC311/Z311</f>
        <v>0.91677920324105333</v>
      </c>
      <c r="AG311" s="2">
        <f t="shared" si="2760"/>
        <v>0.91427388183324132</v>
      </c>
      <c r="AH311" s="2">
        <f t="shared" si="2760"/>
        <v>0.91540097205346294</v>
      </c>
      <c r="AI311" s="1">
        <f t="shared" ref="AI311:AJ311" si="2761">SUM(E311,H311,K311)</f>
        <v>4742</v>
      </c>
      <c r="AJ311" s="1">
        <f t="shared" si="2761"/>
        <v>5731</v>
      </c>
      <c r="AK311" s="1">
        <f t="shared" si="2308"/>
        <v>10473</v>
      </c>
      <c r="AL311" s="2">
        <f t="shared" ref="AL311:AN311" si="2762">AI311/Z311</f>
        <v>0.80047265361242403</v>
      </c>
      <c r="AM311" s="2">
        <f t="shared" si="2762"/>
        <v>0.79113749309773607</v>
      </c>
      <c r="AN311" s="2">
        <f t="shared" si="2762"/>
        <v>0.79533718104495743</v>
      </c>
      <c r="AO311" s="2">
        <f t="shared" ref="AO311:AQ311" si="2763">E311/Z311</f>
        <v>0.14331532748143147</v>
      </c>
      <c r="AP311" s="2">
        <f t="shared" si="2763"/>
        <v>9.8840419657647713E-2</v>
      </c>
      <c r="AQ311" s="2">
        <f t="shared" si="2763"/>
        <v>0.11884872417982989</v>
      </c>
      <c r="AR311" s="2">
        <f t="shared" si="2311"/>
        <v>0.10482781904118839</v>
      </c>
      <c r="AS311" s="2">
        <f t="shared" ref="AS311:AT311" si="2764">R311/AA311</f>
        <v>8.5726118166758694E-2</v>
      </c>
      <c r="AT311" s="2">
        <f t="shared" si="2764"/>
        <v>8.4599027946537064E-2</v>
      </c>
      <c r="AU311" s="2">
        <f t="shared" si="2475"/>
        <v>2.2925944252020453E-2</v>
      </c>
      <c r="AV311" s="2">
        <f t="shared" si="2475"/>
        <v>2.5689307330195022E-2</v>
      </c>
      <c r="AW311" s="2">
        <f t="shared" si="2596"/>
        <v>2.4448066380204473E-2</v>
      </c>
    </row>
    <row r="312" spans="1:49" ht="13" x14ac:dyDescent="0.15">
      <c r="A312" s="1">
        <v>2022</v>
      </c>
      <c r="B312" s="1" t="s">
        <v>74</v>
      </c>
      <c r="C312" s="1" t="s">
        <v>75</v>
      </c>
      <c r="D312" s="1" t="s">
        <v>201</v>
      </c>
      <c r="E312" s="1">
        <v>6</v>
      </c>
      <c r="F312" s="1">
        <v>1</v>
      </c>
      <c r="G312" s="1">
        <v>7</v>
      </c>
      <c r="H312" s="1">
        <v>73</v>
      </c>
      <c r="I312" s="1">
        <v>30</v>
      </c>
      <c r="J312" s="1">
        <v>103</v>
      </c>
      <c r="K312" s="1">
        <v>28</v>
      </c>
      <c r="L312" s="1">
        <v>15</v>
      </c>
      <c r="M312" s="1">
        <v>43</v>
      </c>
      <c r="N312" s="1">
        <v>13</v>
      </c>
      <c r="O312" s="1">
        <v>17</v>
      </c>
      <c r="P312" s="1">
        <v>30</v>
      </c>
      <c r="Q312" s="1">
        <v>7</v>
      </c>
      <c r="R312" s="1">
        <v>4</v>
      </c>
      <c r="S312" s="1">
        <v>11</v>
      </c>
      <c r="T312" s="1">
        <v>47</v>
      </c>
      <c r="U312" s="1">
        <v>22</v>
      </c>
      <c r="V312" s="1">
        <v>69</v>
      </c>
      <c r="W312" s="1">
        <f t="shared" ref="W312:X312" si="2765">SUM(E312,H312,K312,N312,Q312,T312)</f>
        <v>174</v>
      </c>
      <c r="X312" s="1">
        <f t="shared" si="2765"/>
        <v>89</v>
      </c>
      <c r="Y312" s="1">
        <f t="shared" si="2301"/>
        <v>263</v>
      </c>
      <c r="Z312" s="1">
        <f t="shared" ref="Z312:AA312" si="2766">W312-T312</f>
        <v>127</v>
      </c>
      <c r="AA312" s="1">
        <f t="shared" si="2766"/>
        <v>67</v>
      </c>
      <c r="AB312" s="1">
        <f t="shared" si="2303"/>
        <v>194</v>
      </c>
      <c r="AC312" s="1">
        <f t="shared" ref="AC312:AD312" si="2767">SUM(E312,H312,K312,N312)</f>
        <v>120</v>
      </c>
      <c r="AD312" s="1">
        <f t="shared" si="2767"/>
        <v>63</v>
      </c>
      <c r="AE312" s="1">
        <f t="shared" si="2305"/>
        <v>183</v>
      </c>
      <c r="AF312" s="2">
        <f t="shared" ref="AF312:AH312" si="2768">AC312/Z312</f>
        <v>0.94488188976377951</v>
      </c>
      <c r="AG312" s="2">
        <f t="shared" si="2768"/>
        <v>0.94029850746268662</v>
      </c>
      <c r="AH312" s="2">
        <f t="shared" si="2768"/>
        <v>0.94329896907216493</v>
      </c>
      <c r="AI312" s="1">
        <f t="shared" ref="AI312:AJ312" si="2769">SUM(E312,H312,K312)</f>
        <v>107</v>
      </c>
      <c r="AJ312" s="1">
        <f t="shared" si="2769"/>
        <v>46</v>
      </c>
      <c r="AK312" s="1">
        <f t="shared" si="2308"/>
        <v>153</v>
      </c>
      <c r="AL312" s="2">
        <f t="shared" ref="AL312:AN312" si="2770">AI312/Z312</f>
        <v>0.84251968503937003</v>
      </c>
      <c r="AM312" s="2">
        <f t="shared" si="2770"/>
        <v>0.68656716417910446</v>
      </c>
      <c r="AN312" s="2">
        <f t="shared" si="2770"/>
        <v>0.78865979381443296</v>
      </c>
      <c r="AO312" s="2">
        <f t="shared" ref="AO312:AQ312" si="2771">E312/Z312</f>
        <v>4.7244094488188976E-2</v>
      </c>
      <c r="AP312" s="2">
        <f t="shared" si="2771"/>
        <v>1.4925373134328358E-2</v>
      </c>
      <c r="AQ312" s="2">
        <f t="shared" si="2771"/>
        <v>3.608247422680412E-2</v>
      </c>
      <c r="AR312" s="2">
        <f t="shared" si="2311"/>
        <v>3.1496062992125984E-2</v>
      </c>
      <c r="AS312" s="2">
        <f t="shared" ref="AS312:AT312" si="2772">R312/AA312</f>
        <v>5.9701492537313432E-2</v>
      </c>
      <c r="AT312" s="2">
        <f t="shared" si="2772"/>
        <v>5.6701030927835051E-2</v>
      </c>
      <c r="AU312" s="2">
        <f t="shared" si="2475"/>
        <v>0.27011494252873564</v>
      </c>
      <c r="AV312" s="2">
        <f t="shared" si="2475"/>
        <v>0.24719101123595505</v>
      </c>
      <c r="AW312" s="2">
        <f t="shared" si="2596"/>
        <v>0.26235741444866922</v>
      </c>
    </row>
    <row r="313" spans="1:49" ht="13" x14ac:dyDescent="0.15">
      <c r="A313" s="1">
        <v>2022</v>
      </c>
      <c r="B313" s="1" t="s">
        <v>49</v>
      </c>
      <c r="C313" s="1" t="s">
        <v>52</v>
      </c>
      <c r="D313" s="1" t="s">
        <v>120</v>
      </c>
      <c r="E313" s="1">
        <v>552</v>
      </c>
      <c r="F313" s="1">
        <v>532</v>
      </c>
      <c r="G313" s="1">
        <v>1084</v>
      </c>
      <c r="H313" s="1">
        <v>1133</v>
      </c>
      <c r="I313" s="1">
        <v>1303</v>
      </c>
      <c r="J313" s="1">
        <v>2436</v>
      </c>
      <c r="K313" s="1">
        <v>453</v>
      </c>
      <c r="L313" s="1">
        <v>595</v>
      </c>
      <c r="M313" s="1">
        <v>1048</v>
      </c>
      <c r="N313" s="1">
        <v>197</v>
      </c>
      <c r="O313" s="1">
        <v>280</v>
      </c>
      <c r="P313" s="1">
        <v>477</v>
      </c>
      <c r="Q313" s="1">
        <v>158</v>
      </c>
      <c r="R313" s="1">
        <v>213</v>
      </c>
      <c r="S313" s="1">
        <v>371</v>
      </c>
      <c r="T313" s="1">
        <v>76</v>
      </c>
      <c r="U313" s="1">
        <v>94</v>
      </c>
      <c r="V313" s="1">
        <v>170</v>
      </c>
      <c r="W313" s="1">
        <f t="shared" ref="W313:X313" si="2773">SUM(E313,H313,K313,N313,Q313,T313)</f>
        <v>2569</v>
      </c>
      <c r="X313" s="1">
        <f t="shared" si="2773"/>
        <v>3017</v>
      </c>
      <c r="Y313" s="1">
        <f t="shared" si="2301"/>
        <v>5586</v>
      </c>
      <c r="Z313" s="1">
        <f t="shared" ref="Z313:AA313" si="2774">W313-T313</f>
        <v>2493</v>
      </c>
      <c r="AA313" s="1">
        <f t="shared" si="2774"/>
        <v>2923</v>
      </c>
      <c r="AB313" s="1">
        <f t="shared" si="2303"/>
        <v>5416</v>
      </c>
      <c r="AC313" s="1">
        <f t="shared" ref="AC313:AD313" si="2775">SUM(E313,H313,K313,N313)</f>
        <v>2335</v>
      </c>
      <c r="AD313" s="1">
        <f t="shared" si="2775"/>
        <v>2710</v>
      </c>
      <c r="AE313" s="1">
        <f t="shared" si="2305"/>
        <v>5045</v>
      </c>
      <c r="AF313" s="2">
        <f t="shared" ref="AF313:AH313" si="2776">AC313/Z313</f>
        <v>0.93662254312073812</v>
      </c>
      <c r="AG313" s="2">
        <f t="shared" si="2776"/>
        <v>0.92712966130687646</v>
      </c>
      <c r="AH313" s="2">
        <f t="shared" si="2776"/>
        <v>0.93149926144756279</v>
      </c>
      <c r="AI313" s="1">
        <f t="shared" ref="AI313:AJ313" si="2777">SUM(E313,H313,K313)</f>
        <v>2138</v>
      </c>
      <c r="AJ313" s="1">
        <f t="shared" si="2777"/>
        <v>2430</v>
      </c>
      <c r="AK313" s="1">
        <f t="shared" si="2308"/>
        <v>4568</v>
      </c>
      <c r="AL313" s="2">
        <f t="shared" ref="AL313:AN313" si="2778">AI313/Z313</f>
        <v>0.8576012835940634</v>
      </c>
      <c r="AM313" s="2">
        <f t="shared" si="2778"/>
        <v>0.83133766678070475</v>
      </c>
      <c r="AN313" s="2">
        <f t="shared" si="2778"/>
        <v>0.84342688330871496</v>
      </c>
      <c r="AO313" s="2">
        <f t="shared" ref="AO313:AQ313" si="2779">E313/Z313</f>
        <v>0.22141997593261131</v>
      </c>
      <c r="AP313" s="2">
        <f t="shared" si="2779"/>
        <v>0.1820047895997263</v>
      </c>
      <c r="AQ313" s="2">
        <f t="shared" si="2779"/>
        <v>0.20014771048744462</v>
      </c>
      <c r="AR313" s="2">
        <f t="shared" si="2311"/>
        <v>8.5439229843561976E-2</v>
      </c>
      <c r="AS313" s="2">
        <f t="shared" ref="AS313:AT313" si="2780">R313/AA313</f>
        <v>7.287033869312351E-2</v>
      </c>
      <c r="AT313" s="2">
        <f t="shared" si="2780"/>
        <v>6.8500738552437226E-2</v>
      </c>
      <c r="AU313" s="2">
        <f t="shared" si="2475"/>
        <v>2.9583495523550021E-2</v>
      </c>
      <c r="AV313" s="2">
        <f t="shared" si="2475"/>
        <v>3.1156778256546239E-2</v>
      </c>
      <c r="AW313" s="2">
        <f t="shared" si="2596"/>
        <v>3.0433225921947728E-2</v>
      </c>
    </row>
    <row r="314" spans="1:49" ht="13" x14ac:dyDescent="0.15">
      <c r="A314" s="1">
        <v>2022</v>
      </c>
      <c r="B314" s="1" t="s">
        <v>49</v>
      </c>
      <c r="C314" s="1" t="s">
        <v>101</v>
      </c>
      <c r="D314" s="1" t="s">
        <v>121</v>
      </c>
      <c r="E314" s="1">
        <v>925</v>
      </c>
      <c r="F314" s="1">
        <v>1121</v>
      </c>
      <c r="G314" s="1">
        <v>2046</v>
      </c>
      <c r="H314" s="1">
        <v>2061</v>
      </c>
      <c r="I314" s="1">
        <v>2450</v>
      </c>
      <c r="J314" s="1">
        <v>4511</v>
      </c>
      <c r="K314" s="1">
        <v>163</v>
      </c>
      <c r="L314" s="1">
        <v>191</v>
      </c>
      <c r="M314" s="1">
        <v>354</v>
      </c>
      <c r="N314" s="1">
        <v>63</v>
      </c>
      <c r="O314" s="1">
        <v>67</v>
      </c>
      <c r="P314" s="1">
        <v>130</v>
      </c>
      <c r="Q314" s="1">
        <v>11</v>
      </c>
      <c r="R314" s="1">
        <v>11</v>
      </c>
      <c r="S314" s="1">
        <v>22</v>
      </c>
      <c r="T314" s="1">
        <v>88</v>
      </c>
      <c r="U314" s="1">
        <v>98</v>
      </c>
      <c r="V314" s="1">
        <v>186</v>
      </c>
      <c r="W314" s="1">
        <f t="shared" ref="W314:X314" si="2781">SUM(E314,H314,K314,N314,Q314,T314)</f>
        <v>3311</v>
      </c>
      <c r="X314" s="1">
        <f t="shared" si="2781"/>
        <v>3938</v>
      </c>
      <c r="Y314" s="1">
        <f t="shared" si="2301"/>
        <v>7249</v>
      </c>
      <c r="Z314" s="1">
        <f t="shared" ref="Z314:AA314" si="2782">W314-T314</f>
        <v>3223</v>
      </c>
      <c r="AA314" s="1">
        <f t="shared" si="2782"/>
        <v>3840</v>
      </c>
      <c r="AB314" s="1">
        <f t="shared" si="2303"/>
        <v>7063</v>
      </c>
      <c r="AC314" s="1">
        <f t="shared" ref="AC314:AD314" si="2783">SUM(E314,H314,K314,N314)</f>
        <v>3212</v>
      </c>
      <c r="AD314" s="1">
        <f t="shared" si="2783"/>
        <v>3829</v>
      </c>
      <c r="AE314" s="1">
        <f t="shared" si="2305"/>
        <v>7041</v>
      </c>
      <c r="AF314" s="2">
        <f t="shared" ref="AF314:AH314" si="2784">AC314/Z314</f>
        <v>0.9965870307167235</v>
      </c>
      <c r="AG314" s="2">
        <f t="shared" si="2784"/>
        <v>0.99713541666666672</v>
      </c>
      <c r="AH314" s="2">
        <f t="shared" si="2784"/>
        <v>0.9968851762707065</v>
      </c>
      <c r="AI314" s="1">
        <f t="shared" ref="AI314:AJ314" si="2785">SUM(E314,H314,K314)</f>
        <v>3149</v>
      </c>
      <c r="AJ314" s="1">
        <f t="shared" si="2785"/>
        <v>3762</v>
      </c>
      <c r="AK314" s="1">
        <f t="shared" si="2308"/>
        <v>6911</v>
      </c>
      <c r="AL314" s="2">
        <f t="shared" ref="AL314:AN314" si="2786">AI314/Z314</f>
        <v>0.9770400248215948</v>
      </c>
      <c r="AM314" s="2">
        <f t="shared" si="2786"/>
        <v>0.97968750000000004</v>
      </c>
      <c r="AN314" s="2">
        <f t="shared" si="2786"/>
        <v>0.9784793996885176</v>
      </c>
      <c r="AO314" s="2">
        <f t="shared" ref="AO314:AQ314" si="2787">E314/Z314</f>
        <v>0.28699968973006518</v>
      </c>
      <c r="AP314" s="2">
        <f t="shared" si="2787"/>
        <v>0.29192708333333334</v>
      </c>
      <c r="AQ314" s="2">
        <f t="shared" si="2787"/>
        <v>0.28967860682429564</v>
      </c>
      <c r="AR314" s="2">
        <f t="shared" si="2311"/>
        <v>3.4129692832764505E-3</v>
      </c>
      <c r="AS314" s="2">
        <f t="shared" ref="AS314:AT314" si="2788">R314/AA314</f>
        <v>2.8645833333333331E-3</v>
      </c>
      <c r="AT314" s="2">
        <f t="shared" si="2788"/>
        <v>3.1148237292935015E-3</v>
      </c>
      <c r="AU314" s="2">
        <f t="shared" si="2475"/>
        <v>2.6578073089700997E-2</v>
      </c>
      <c r="AV314" s="2">
        <f t="shared" si="2475"/>
        <v>2.488572879634332E-2</v>
      </c>
      <c r="AW314" s="2">
        <f t="shared" si="2596"/>
        <v>2.5658711546420195E-2</v>
      </c>
    </row>
    <row r="315" spans="1:49" ht="13" x14ac:dyDescent="0.15">
      <c r="A315" s="1">
        <v>2022</v>
      </c>
      <c r="B315" s="1" t="s">
        <v>49</v>
      </c>
      <c r="C315" s="1" t="s">
        <v>59</v>
      </c>
      <c r="D315" s="1" t="s">
        <v>122</v>
      </c>
      <c r="E315" s="1">
        <v>47</v>
      </c>
      <c r="F315" s="1">
        <v>4</v>
      </c>
      <c r="G315" s="1">
        <v>51</v>
      </c>
      <c r="H315" s="1">
        <v>561</v>
      </c>
      <c r="I315" s="1">
        <v>447</v>
      </c>
      <c r="J315" s="1">
        <v>1008</v>
      </c>
      <c r="K315" s="1">
        <v>372</v>
      </c>
      <c r="L315" s="1">
        <v>322</v>
      </c>
      <c r="M315" s="1">
        <v>694</v>
      </c>
      <c r="N315" s="1">
        <v>179</v>
      </c>
      <c r="O315" s="1">
        <v>161</v>
      </c>
      <c r="P315" s="1">
        <v>340</v>
      </c>
      <c r="Q315" s="1">
        <v>96</v>
      </c>
      <c r="R315" s="1">
        <v>128</v>
      </c>
      <c r="S315" s="1">
        <v>224</v>
      </c>
      <c r="T315" s="1">
        <v>2</v>
      </c>
      <c r="U315" s="1">
        <v>3</v>
      </c>
      <c r="V315" s="1">
        <v>5</v>
      </c>
      <c r="W315" s="1">
        <f t="shared" ref="W315:X315" si="2789">SUM(E315,H315,K315,N315,Q315,T315)</f>
        <v>1257</v>
      </c>
      <c r="X315" s="1">
        <f t="shared" si="2789"/>
        <v>1065</v>
      </c>
      <c r="Y315" s="1">
        <f t="shared" si="2301"/>
        <v>2322</v>
      </c>
      <c r="Z315" s="1">
        <f t="shared" ref="Z315:AA315" si="2790">W315-T315</f>
        <v>1255</v>
      </c>
      <c r="AA315" s="1">
        <f t="shared" si="2790"/>
        <v>1062</v>
      </c>
      <c r="AB315" s="1">
        <f t="shared" si="2303"/>
        <v>2317</v>
      </c>
      <c r="AC315" s="1">
        <f t="shared" ref="AC315:AD315" si="2791">SUM(E315,H315,K315,N315)</f>
        <v>1159</v>
      </c>
      <c r="AD315" s="1">
        <f t="shared" si="2791"/>
        <v>934</v>
      </c>
      <c r="AE315" s="1">
        <f t="shared" si="2305"/>
        <v>2093</v>
      </c>
      <c r="AF315" s="2">
        <f t="shared" ref="AF315:AH315" si="2792">AC315/Z315</f>
        <v>0.92350597609561758</v>
      </c>
      <c r="AG315" s="2">
        <f t="shared" si="2792"/>
        <v>0.87947269303201503</v>
      </c>
      <c r="AH315" s="2">
        <f t="shared" si="2792"/>
        <v>0.90332326283987918</v>
      </c>
      <c r="AI315" s="1">
        <f t="shared" ref="AI315:AJ315" si="2793">SUM(E315,H315,K315)</f>
        <v>980</v>
      </c>
      <c r="AJ315" s="1">
        <f t="shared" si="2793"/>
        <v>773</v>
      </c>
      <c r="AK315" s="1">
        <f t="shared" si="2308"/>
        <v>1753</v>
      </c>
      <c r="AL315" s="2">
        <f t="shared" ref="AL315:AN315" si="2794">AI315/Z315</f>
        <v>0.78087649402390436</v>
      </c>
      <c r="AM315" s="2">
        <f t="shared" si="2794"/>
        <v>0.72787193973634656</v>
      </c>
      <c r="AN315" s="2">
        <f t="shared" si="2794"/>
        <v>0.75658178679326715</v>
      </c>
      <c r="AO315" s="2">
        <f t="shared" ref="AO315:AQ315" si="2795">E315/Z315</f>
        <v>3.7450199203187248E-2</v>
      </c>
      <c r="AP315" s="2">
        <f t="shared" si="2795"/>
        <v>3.766478342749529E-3</v>
      </c>
      <c r="AQ315" s="2">
        <f t="shared" si="2795"/>
        <v>2.2011221406991799E-2</v>
      </c>
      <c r="AR315" s="2">
        <f t="shared" si="2311"/>
        <v>0.10199203187250996</v>
      </c>
      <c r="AS315" s="2">
        <f t="shared" ref="AS315:AT315" si="2796">R315/AA315</f>
        <v>0.12052730696798493</v>
      </c>
      <c r="AT315" s="2">
        <f t="shared" si="2796"/>
        <v>9.6676737160120846E-2</v>
      </c>
      <c r="AU315" s="2">
        <f t="shared" si="2475"/>
        <v>1.5910898965791568E-3</v>
      </c>
      <c r="AV315" s="2">
        <f t="shared" si="2475"/>
        <v>2.8169014084507044E-3</v>
      </c>
      <c r="AW315" s="2">
        <f t="shared" si="2596"/>
        <v>2.1533161068044791E-3</v>
      </c>
    </row>
    <row r="316" spans="1:49" ht="13" x14ac:dyDescent="0.15">
      <c r="A316" s="1">
        <v>2022</v>
      </c>
      <c r="B316" s="1" t="s">
        <v>49</v>
      </c>
      <c r="C316" s="1" t="s">
        <v>99</v>
      </c>
      <c r="D316" s="1" t="s">
        <v>123</v>
      </c>
      <c r="E316" s="1">
        <v>367</v>
      </c>
      <c r="F316" s="1">
        <v>273</v>
      </c>
      <c r="G316" s="1">
        <v>640</v>
      </c>
      <c r="H316" s="1">
        <v>1579</v>
      </c>
      <c r="I316" s="1">
        <v>1690</v>
      </c>
      <c r="J316" s="1">
        <v>3269</v>
      </c>
      <c r="K316" s="1">
        <v>521</v>
      </c>
      <c r="L316" s="1">
        <v>692</v>
      </c>
      <c r="M316" s="1">
        <v>1213</v>
      </c>
      <c r="N316" s="1">
        <v>296</v>
      </c>
      <c r="O316" s="1">
        <v>434</v>
      </c>
      <c r="P316" s="1">
        <v>730</v>
      </c>
      <c r="Q316" s="1">
        <v>184</v>
      </c>
      <c r="R316" s="1">
        <v>286</v>
      </c>
      <c r="S316" s="1">
        <v>470</v>
      </c>
      <c r="T316" s="1">
        <v>143</v>
      </c>
      <c r="U316" s="1">
        <v>144</v>
      </c>
      <c r="V316" s="1">
        <v>287</v>
      </c>
      <c r="W316" s="1">
        <f t="shared" ref="W316:X316" si="2797">SUM(E316,H316,K316,N316,Q316,T316)</f>
        <v>3090</v>
      </c>
      <c r="X316" s="1">
        <f t="shared" si="2797"/>
        <v>3519</v>
      </c>
      <c r="Y316" s="1">
        <f t="shared" si="2301"/>
        <v>6609</v>
      </c>
      <c r="Z316" s="1">
        <f t="shared" ref="Z316:AA316" si="2798">W316-T316</f>
        <v>2947</v>
      </c>
      <c r="AA316" s="1">
        <f t="shared" si="2798"/>
        <v>3375</v>
      </c>
      <c r="AB316" s="1">
        <f t="shared" si="2303"/>
        <v>6322</v>
      </c>
      <c r="AC316" s="1">
        <f t="shared" ref="AC316:AD316" si="2799">SUM(E316,H316,K316,N316)</f>
        <v>2763</v>
      </c>
      <c r="AD316" s="1">
        <f t="shared" si="2799"/>
        <v>3089</v>
      </c>
      <c r="AE316" s="1">
        <f t="shared" si="2305"/>
        <v>5852</v>
      </c>
      <c r="AF316" s="2">
        <f t="shared" ref="AF316:AH316" si="2800">AC316/Z316</f>
        <v>0.93756362402443161</v>
      </c>
      <c r="AG316" s="2">
        <f t="shared" si="2800"/>
        <v>0.91525925925925922</v>
      </c>
      <c r="AH316" s="2">
        <f t="shared" si="2800"/>
        <v>0.92565643783612783</v>
      </c>
      <c r="AI316" s="1">
        <f t="shared" ref="AI316:AJ316" si="2801">SUM(E316,H316,K316)</f>
        <v>2467</v>
      </c>
      <c r="AJ316" s="1">
        <f t="shared" si="2801"/>
        <v>2655</v>
      </c>
      <c r="AK316" s="1">
        <f t="shared" si="2308"/>
        <v>5122</v>
      </c>
      <c r="AL316" s="2">
        <f t="shared" ref="AL316:AN316" si="2802">AI316/Z316</f>
        <v>0.83712249745503897</v>
      </c>
      <c r="AM316" s="2">
        <f t="shared" si="2802"/>
        <v>0.78666666666666663</v>
      </c>
      <c r="AN316" s="2">
        <f t="shared" si="2802"/>
        <v>0.81018664979436883</v>
      </c>
      <c r="AO316" s="2">
        <f t="shared" ref="AO316:AQ316" si="2803">E316/Z316</f>
        <v>0.12453342382083475</v>
      </c>
      <c r="AP316" s="2">
        <f t="shared" si="2803"/>
        <v>8.0888888888888885E-2</v>
      </c>
      <c r="AQ316" s="2">
        <f t="shared" si="2803"/>
        <v>0.1012337867763366</v>
      </c>
      <c r="AR316" s="2">
        <f t="shared" si="2311"/>
        <v>9.7047845266372584E-2</v>
      </c>
      <c r="AS316" s="2">
        <f t="shared" ref="AS316:AT316" si="2804">R316/AA316</f>
        <v>8.4740740740740741E-2</v>
      </c>
      <c r="AT316" s="2">
        <f t="shared" si="2804"/>
        <v>7.4343562163872196E-2</v>
      </c>
      <c r="AU316" s="2">
        <f t="shared" si="2475"/>
        <v>4.6278317152103558E-2</v>
      </c>
      <c r="AV316" s="2">
        <f t="shared" si="2475"/>
        <v>4.0920716112531973E-2</v>
      </c>
      <c r="AW316" s="2">
        <f t="shared" si="2596"/>
        <v>4.3425631714328942E-2</v>
      </c>
    </row>
    <row r="317" spans="1:49" ht="13" x14ac:dyDescent="0.15">
      <c r="A317" s="1">
        <v>2022</v>
      </c>
      <c r="B317" s="1" t="s">
        <v>49</v>
      </c>
      <c r="C317" s="1" t="s">
        <v>99</v>
      </c>
      <c r="D317" s="1" t="s">
        <v>124</v>
      </c>
      <c r="E317" s="1">
        <v>185</v>
      </c>
      <c r="F317" s="1">
        <v>127</v>
      </c>
      <c r="G317" s="1">
        <v>312</v>
      </c>
      <c r="H317" s="1">
        <v>971</v>
      </c>
      <c r="I317" s="1">
        <v>925</v>
      </c>
      <c r="J317" s="1">
        <v>1896</v>
      </c>
      <c r="K317" s="1">
        <v>399</v>
      </c>
      <c r="L317" s="1">
        <v>549</v>
      </c>
      <c r="M317" s="1">
        <v>948</v>
      </c>
      <c r="N317" s="1">
        <v>222</v>
      </c>
      <c r="O317" s="1">
        <v>326</v>
      </c>
      <c r="P317" s="1">
        <v>548</v>
      </c>
      <c r="Q317" s="1">
        <v>188</v>
      </c>
      <c r="R317" s="1">
        <v>310</v>
      </c>
      <c r="S317" s="1">
        <v>498</v>
      </c>
      <c r="T317" s="1">
        <v>60</v>
      </c>
      <c r="U317" s="1">
        <v>74</v>
      </c>
      <c r="V317" s="1">
        <v>134</v>
      </c>
      <c r="W317" s="1">
        <f t="shared" ref="W317:X317" si="2805">SUM(E317,H317,K317,N317,Q317,T317)</f>
        <v>2025</v>
      </c>
      <c r="X317" s="1">
        <f t="shared" si="2805"/>
        <v>2311</v>
      </c>
      <c r="Y317" s="1">
        <f t="shared" si="2301"/>
        <v>4336</v>
      </c>
      <c r="Z317" s="1">
        <f t="shared" ref="Z317:AA317" si="2806">W317-T317</f>
        <v>1965</v>
      </c>
      <c r="AA317" s="1">
        <f t="shared" si="2806"/>
        <v>2237</v>
      </c>
      <c r="AB317" s="1">
        <f t="shared" si="2303"/>
        <v>4202</v>
      </c>
      <c r="AC317" s="1">
        <f t="shared" ref="AC317:AD317" si="2807">SUM(E317,H317,K317,N317)</f>
        <v>1777</v>
      </c>
      <c r="AD317" s="1">
        <f t="shared" si="2807"/>
        <v>1927</v>
      </c>
      <c r="AE317" s="1">
        <f t="shared" si="2305"/>
        <v>3704</v>
      </c>
      <c r="AF317" s="2">
        <f t="shared" ref="AF317:AH317" si="2808">AC317/Z317</f>
        <v>0.90432569974554711</v>
      </c>
      <c r="AG317" s="2">
        <f t="shared" si="2808"/>
        <v>0.86142154671434956</v>
      </c>
      <c r="AH317" s="2">
        <f t="shared" si="2808"/>
        <v>0.88148500713945743</v>
      </c>
      <c r="AI317" s="1">
        <f t="shared" ref="AI317:AJ317" si="2809">SUM(E317,H317,K317)</f>
        <v>1555</v>
      </c>
      <c r="AJ317" s="1">
        <f t="shared" si="2809"/>
        <v>1601</v>
      </c>
      <c r="AK317" s="1">
        <f t="shared" si="2308"/>
        <v>3156</v>
      </c>
      <c r="AL317" s="2">
        <f t="shared" ref="AL317:AN317" si="2810">AI317/Z317</f>
        <v>0.79134860050890588</v>
      </c>
      <c r="AM317" s="2">
        <f t="shared" si="2810"/>
        <v>0.71569065713008495</v>
      </c>
      <c r="AN317" s="2">
        <f t="shared" si="2810"/>
        <v>0.7510709186101856</v>
      </c>
      <c r="AO317" s="2">
        <f t="shared" ref="AO317:AQ317" si="2811">E317/Z317</f>
        <v>9.4147582697201013E-2</v>
      </c>
      <c r="AP317" s="2">
        <f t="shared" si="2811"/>
        <v>5.6772463120250333E-2</v>
      </c>
      <c r="AQ317" s="2">
        <f t="shared" si="2811"/>
        <v>7.4250356972870066E-2</v>
      </c>
      <c r="AR317" s="2">
        <f t="shared" si="2311"/>
        <v>0.15776081424936386</v>
      </c>
      <c r="AS317" s="2">
        <f t="shared" ref="AS317:AT317" si="2812">R317/AA317</f>
        <v>0.13857845328565044</v>
      </c>
      <c r="AT317" s="2">
        <f t="shared" si="2812"/>
        <v>0.1185149928605426</v>
      </c>
      <c r="AU317" s="2">
        <f t="shared" si="2475"/>
        <v>2.9629629629629631E-2</v>
      </c>
      <c r="AV317" s="2">
        <f t="shared" si="2475"/>
        <v>3.2020770229337948E-2</v>
      </c>
      <c r="AW317" s="2">
        <f t="shared" si="2596"/>
        <v>3.0904059040590407E-2</v>
      </c>
    </row>
    <row r="318" spans="1:49" ht="13" x14ac:dyDescent="0.15">
      <c r="A318" s="1">
        <v>2022</v>
      </c>
      <c r="B318" s="1" t="s">
        <v>49</v>
      </c>
      <c r="C318" s="1" t="s">
        <v>59</v>
      </c>
      <c r="D318" s="1" t="s">
        <v>125</v>
      </c>
      <c r="E318" s="1">
        <v>21</v>
      </c>
      <c r="F318" s="1">
        <v>14</v>
      </c>
      <c r="G318" s="1">
        <v>35</v>
      </c>
      <c r="H318" s="1">
        <v>459</v>
      </c>
      <c r="I318" s="1">
        <v>365</v>
      </c>
      <c r="J318" s="1">
        <v>824</v>
      </c>
      <c r="K318" s="1">
        <v>395</v>
      </c>
      <c r="L318" s="1">
        <v>336</v>
      </c>
      <c r="M318" s="1">
        <v>731</v>
      </c>
      <c r="N318" s="1">
        <v>216</v>
      </c>
      <c r="O318" s="1">
        <v>215</v>
      </c>
      <c r="P318" s="1">
        <v>431</v>
      </c>
      <c r="Q318" s="1">
        <v>182</v>
      </c>
      <c r="R318" s="1">
        <v>170</v>
      </c>
      <c r="S318" s="1">
        <v>352</v>
      </c>
      <c r="T318" s="1">
        <v>2</v>
      </c>
      <c r="U318" s="1">
        <v>1</v>
      </c>
      <c r="V318" s="1">
        <v>3</v>
      </c>
      <c r="W318" s="1">
        <f t="shared" ref="W318:X318" si="2813">SUM(E318,H318,K318,N318,Q318,T318)</f>
        <v>1275</v>
      </c>
      <c r="X318" s="1">
        <f t="shared" si="2813"/>
        <v>1101</v>
      </c>
      <c r="Y318" s="1">
        <f t="shared" si="2301"/>
        <v>2376</v>
      </c>
      <c r="Z318" s="1">
        <f t="shared" ref="Z318:AA318" si="2814">W318-T318</f>
        <v>1273</v>
      </c>
      <c r="AA318" s="1">
        <f t="shared" si="2814"/>
        <v>1100</v>
      </c>
      <c r="AB318" s="1">
        <f t="shared" si="2303"/>
        <v>2373</v>
      </c>
      <c r="AC318" s="1">
        <f t="shared" ref="AC318:AD318" si="2815">SUM(E318,H318,K318,N318)</f>
        <v>1091</v>
      </c>
      <c r="AD318" s="1">
        <f t="shared" si="2815"/>
        <v>930</v>
      </c>
      <c r="AE318" s="1">
        <f t="shared" si="2305"/>
        <v>2021</v>
      </c>
      <c r="AF318" s="2">
        <f t="shared" ref="AF318:AH318" si="2816">AC318/Z318</f>
        <v>0.85703063629222309</v>
      </c>
      <c r="AG318" s="2">
        <f t="shared" si="2816"/>
        <v>0.84545454545454546</v>
      </c>
      <c r="AH318" s="2">
        <f t="shared" si="2816"/>
        <v>0.85166455962916143</v>
      </c>
      <c r="AI318" s="1">
        <f t="shared" ref="AI318:AJ318" si="2817">SUM(E318,H318,K318)</f>
        <v>875</v>
      </c>
      <c r="AJ318" s="1">
        <f t="shared" si="2817"/>
        <v>715</v>
      </c>
      <c r="AK318" s="1">
        <f t="shared" si="2308"/>
        <v>1590</v>
      </c>
      <c r="AL318" s="2">
        <f t="shared" ref="AL318:AN318" si="2818">AI318/Z318</f>
        <v>0.68735271013354282</v>
      </c>
      <c r="AM318" s="2">
        <f t="shared" si="2818"/>
        <v>0.65</v>
      </c>
      <c r="AN318" s="2">
        <f t="shared" si="2818"/>
        <v>0.67003792667509476</v>
      </c>
      <c r="AO318" s="2">
        <f t="shared" ref="AO318:AQ318" si="2819">E318/Z318</f>
        <v>1.6496465043205028E-2</v>
      </c>
      <c r="AP318" s="2">
        <f t="shared" si="2819"/>
        <v>1.2727272727272728E-2</v>
      </c>
      <c r="AQ318" s="2">
        <f t="shared" si="2819"/>
        <v>1.4749262536873156E-2</v>
      </c>
      <c r="AR318" s="2">
        <f t="shared" si="2311"/>
        <v>0.13354281225451689</v>
      </c>
      <c r="AS318" s="2">
        <f t="shared" ref="AS318:AT318" si="2820">R318/AA318</f>
        <v>0.15454545454545454</v>
      </c>
      <c r="AT318" s="2">
        <f t="shared" si="2820"/>
        <v>0.14833544037083859</v>
      </c>
      <c r="AU318" s="2">
        <f t="shared" si="2475"/>
        <v>1.5686274509803921E-3</v>
      </c>
      <c r="AV318" s="2">
        <f t="shared" si="2475"/>
        <v>9.0826521344232513E-4</v>
      </c>
      <c r="AW318" s="2">
        <f t="shared" si="2596"/>
        <v>1.2626262626262627E-3</v>
      </c>
    </row>
    <row r="319" spans="1:49" ht="13" x14ac:dyDescent="0.15">
      <c r="A319" s="1">
        <v>2022</v>
      </c>
      <c r="B319" s="1" t="s">
        <v>49</v>
      </c>
      <c r="C319" s="1" t="s">
        <v>50</v>
      </c>
      <c r="D319" s="1" t="s">
        <v>126</v>
      </c>
      <c r="E319" s="1">
        <v>64</v>
      </c>
      <c r="F319" s="1">
        <v>44</v>
      </c>
      <c r="G319" s="1">
        <v>108</v>
      </c>
      <c r="H319" s="1">
        <v>158</v>
      </c>
      <c r="I319" s="1">
        <v>165</v>
      </c>
      <c r="J319" s="1">
        <v>323</v>
      </c>
      <c r="K319" s="1">
        <v>34</v>
      </c>
      <c r="L319" s="1">
        <v>43</v>
      </c>
      <c r="M319" s="1">
        <v>77</v>
      </c>
      <c r="N319" s="1">
        <v>12</v>
      </c>
      <c r="O319" s="1">
        <v>15</v>
      </c>
      <c r="P319" s="1">
        <v>27</v>
      </c>
      <c r="Q319" s="1">
        <v>5</v>
      </c>
      <c r="R319" s="1">
        <v>5</v>
      </c>
      <c r="S319" s="1">
        <v>10</v>
      </c>
      <c r="T319" s="1">
        <v>3</v>
      </c>
      <c r="U319" s="1">
        <v>7</v>
      </c>
      <c r="V319" s="1">
        <v>10</v>
      </c>
      <c r="W319" s="1">
        <f t="shared" ref="W319:X319" si="2821">SUM(E319,H319,K319,N319,Q319,T319)</f>
        <v>276</v>
      </c>
      <c r="X319" s="1">
        <f t="shared" si="2821"/>
        <v>279</v>
      </c>
      <c r="Y319" s="1">
        <f t="shared" si="2301"/>
        <v>555</v>
      </c>
      <c r="Z319" s="1">
        <f t="shared" ref="Z319:AA319" si="2822">W319-T319</f>
        <v>273</v>
      </c>
      <c r="AA319" s="1">
        <f t="shared" si="2822"/>
        <v>272</v>
      </c>
      <c r="AB319" s="1">
        <f t="shared" si="2303"/>
        <v>545</v>
      </c>
      <c r="AC319" s="1">
        <f t="shared" ref="AC319:AD319" si="2823">SUM(E319,H319,K319,N319)</f>
        <v>268</v>
      </c>
      <c r="AD319" s="1">
        <f t="shared" si="2823"/>
        <v>267</v>
      </c>
      <c r="AE319" s="1">
        <f t="shared" si="2305"/>
        <v>535</v>
      </c>
      <c r="AF319" s="2">
        <f t="shared" ref="AF319:AH319" si="2824">AC319/Z319</f>
        <v>0.98168498168498164</v>
      </c>
      <c r="AG319" s="2">
        <f t="shared" si="2824"/>
        <v>0.98161764705882348</v>
      </c>
      <c r="AH319" s="2">
        <f t="shared" si="2824"/>
        <v>0.98165137614678899</v>
      </c>
      <c r="AI319" s="1">
        <f t="shared" ref="AI319:AJ319" si="2825">SUM(E319,H319,K319)</f>
        <v>256</v>
      </c>
      <c r="AJ319" s="1">
        <f t="shared" si="2825"/>
        <v>252</v>
      </c>
      <c r="AK319" s="1">
        <f t="shared" si="2308"/>
        <v>508</v>
      </c>
      <c r="AL319" s="2">
        <f t="shared" ref="AL319:AN319" si="2826">AI319/Z319</f>
        <v>0.93772893772893773</v>
      </c>
      <c r="AM319" s="2">
        <f t="shared" si="2826"/>
        <v>0.92647058823529416</v>
      </c>
      <c r="AN319" s="2">
        <f t="shared" si="2826"/>
        <v>0.93211009174311932</v>
      </c>
      <c r="AO319" s="2">
        <f t="shared" ref="AO319:AQ319" si="2827">E319/Z319</f>
        <v>0.23443223443223443</v>
      </c>
      <c r="AP319" s="2">
        <f t="shared" si="2827"/>
        <v>0.16176470588235295</v>
      </c>
      <c r="AQ319" s="2">
        <f t="shared" si="2827"/>
        <v>0.19816513761467891</v>
      </c>
      <c r="AR319" s="2">
        <f t="shared" si="2311"/>
        <v>1.8315018315018316E-2</v>
      </c>
      <c r="AS319" s="2">
        <f t="shared" ref="AS319:AT319" si="2828">R319/AA319</f>
        <v>1.8382352941176471E-2</v>
      </c>
      <c r="AT319" s="2">
        <f t="shared" si="2828"/>
        <v>1.834862385321101E-2</v>
      </c>
      <c r="AU319" s="2">
        <f t="shared" si="2475"/>
        <v>1.0869565217391304E-2</v>
      </c>
      <c r="AV319" s="2">
        <f t="shared" si="2475"/>
        <v>2.5089605734767026E-2</v>
      </c>
      <c r="AW319" s="2">
        <f t="shared" si="2596"/>
        <v>1.8018018018018018E-2</v>
      </c>
    </row>
    <row r="320" spans="1:49" ht="13" x14ac:dyDescent="0.15">
      <c r="A320" s="1">
        <v>2022</v>
      </c>
      <c r="B320" s="1" t="s">
        <v>49</v>
      </c>
      <c r="C320" s="1" t="s">
        <v>89</v>
      </c>
      <c r="D320" s="1" t="s">
        <v>127</v>
      </c>
      <c r="E320" s="1">
        <v>172</v>
      </c>
      <c r="F320" s="1">
        <v>119</v>
      </c>
      <c r="G320" s="1">
        <v>291</v>
      </c>
      <c r="H320" s="1">
        <v>927</v>
      </c>
      <c r="I320" s="1">
        <v>995</v>
      </c>
      <c r="J320" s="1">
        <v>1922</v>
      </c>
      <c r="K320" s="1">
        <v>450</v>
      </c>
      <c r="L320" s="1">
        <v>509</v>
      </c>
      <c r="M320" s="1">
        <v>959</v>
      </c>
      <c r="N320" s="1">
        <v>378</v>
      </c>
      <c r="O320" s="1">
        <v>458</v>
      </c>
      <c r="P320" s="1">
        <v>836</v>
      </c>
      <c r="Q320" s="1">
        <v>458</v>
      </c>
      <c r="R320" s="1">
        <v>506</v>
      </c>
      <c r="S320" s="1">
        <v>964</v>
      </c>
      <c r="T320" s="1">
        <v>21</v>
      </c>
      <c r="U320" s="1">
        <v>42</v>
      </c>
      <c r="V320" s="1">
        <v>63</v>
      </c>
      <c r="W320" s="1">
        <f t="shared" ref="W320:X320" si="2829">SUM(E320,H320,K320,N320,Q320,T320)</f>
        <v>2406</v>
      </c>
      <c r="X320" s="1">
        <f t="shared" si="2829"/>
        <v>2629</v>
      </c>
      <c r="Y320" s="1">
        <f t="shared" si="2301"/>
        <v>5035</v>
      </c>
      <c r="Z320" s="1">
        <f t="shared" ref="Z320:AA320" si="2830">W320-T320</f>
        <v>2385</v>
      </c>
      <c r="AA320" s="1">
        <f t="shared" si="2830"/>
        <v>2587</v>
      </c>
      <c r="AB320" s="1">
        <f t="shared" si="2303"/>
        <v>4972</v>
      </c>
      <c r="AC320" s="1">
        <f t="shared" ref="AC320:AD320" si="2831">SUM(E320,H320,K320,N320)</f>
        <v>1927</v>
      </c>
      <c r="AD320" s="1">
        <f t="shared" si="2831"/>
        <v>2081</v>
      </c>
      <c r="AE320" s="1">
        <f t="shared" si="2305"/>
        <v>4008</v>
      </c>
      <c r="AF320" s="2">
        <f t="shared" ref="AF320:AH320" si="2832">AC320/Z320</f>
        <v>0.8079664570230608</v>
      </c>
      <c r="AG320" s="2">
        <f t="shared" si="2832"/>
        <v>0.80440664862775413</v>
      </c>
      <c r="AH320" s="2">
        <f t="shared" si="2832"/>
        <v>0.80611423974255836</v>
      </c>
      <c r="AI320" s="1">
        <f t="shared" ref="AI320:AJ320" si="2833">SUM(E320,H320,K320)</f>
        <v>1549</v>
      </c>
      <c r="AJ320" s="1">
        <f t="shared" si="2833"/>
        <v>1623</v>
      </c>
      <c r="AK320" s="1">
        <f t="shared" si="2308"/>
        <v>3172</v>
      </c>
      <c r="AL320" s="2">
        <f t="shared" ref="AL320:AN320" si="2834">AI320/Z320</f>
        <v>0.64947589098532499</v>
      </c>
      <c r="AM320" s="2">
        <f t="shared" si="2834"/>
        <v>0.62736760726710472</v>
      </c>
      <c r="AN320" s="2">
        <f t="shared" si="2834"/>
        <v>0.63797264682220434</v>
      </c>
      <c r="AO320" s="2">
        <f t="shared" ref="AO320:AQ320" si="2835">E320/Z320</f>
        <v>7.2117400419287214E-2</v>
      </c>
      <c r="AP320" s="2">
        <f t="shared" si="2835"/>
        <v>4.5999226903749517E-2</v>
      </c>
      <c r="AQ320" s="2">
        <f t="shared" si="2835"/>
        <v>5.8527755430410298E-2</v>
      </c>
      <c r="AR320" s="2">
        <f t="shared" si="2311"/>
        <v>0.21215932914046121</v>
      </c>
      <c r="AS320" s="2">
        <f t="shared" ref="AS320:AT320" si="2836">R320/AA320</f>
        <v>0.19559335137224584</v>
      </c>
      <c r="AT320" s="2">
        <f t="shared" si="2836"/>
        <v>0.19388576025744167</v>
      </c>
      <c r="AU320" s="2">
        <f t="shared" si="2475"/>
        <v>8.7281795511221939E-3</v>
      </c>
      <c r="AV320" s="2">
        <f t="shared" si="2475"/>
        <v>1.5975656143020159E-2</v>
      </c>
      <c r="AW320" s="2">
        <f t="shared" si="2596"/>
        <v>1.2512413108242304E-2</v>
      </c>
    </row>
    <row r="321" spans="1:49" ht="13" x14ac:dyDescent="0.15">
      <c r="A321" s="1">
        <v>2022</v>
      </c>
      <c r="B321" s="1" t="s">
        <v>49</v>
      </c>
      <c r="C321" s="1" t="s">
        <v>50</v>
      </c>
      <c r="D321" s="1" t="s">
        <v>128</v>
      </c>
      <c r="E321" s="1">
        <v>390</v>
      </c>
      <c r="F321" s="1">
        <v>510</v>
      </c>
      <c r="G321" s="1">
        <v>900</v>
      </c>
      <c r="H321" s="1">
        <v>1075</v>
      </c>
      <c r="I321" s="1">
        <v>1541</v>
      </c>
      <c r="J321" s="1">
        <v>2616</v>
      </c>
      <c r="K321" s="1">
        <v>334</v>
      </c>
      <c r="L321" s="1">
        <v>425</v>
      </c>
      <c r="M321" s="1">
        <v>759</v>
      </c>
      <c r="N321" s="1">
        <v>237</v>
      </c>
      <c r="O321" s="1">
        <v>281</v>
      </c>
      <c r="P321" s="1">
        <v>518</v>
      </c>
      <c r="Q321" s="1">
        <v>170</v>
      </c>
      <c r="R321" s="1">
        <v>190</v>
      </c>
      <c r="S321" s="1">
        <v>360</v>
      </c>
      <c r="T321" s="1">
        <v>78</v>
      </c>
      <c r="U321" s="1">
        <v>76</v>
      </c>
      <c r="V321" s="1">
        <v>154</v>
      </c>
      <c r="W321" s="1">
        <f t="shared" ref="W321:X321" si="2837">SUM(E321,H321,K321,N321,Q321,T321)</f>
        <v>2284</v>
      </c>
      <c r="X321" s="1">
        <f t="shared" si="2837"/>
        <v>3023</v>
      </c>
      <c r="Y321" s="1">
        <f t="shared" si="2301"/>
        <v>5307</v>
      </c>
      <c r="Z321" s="1">
        <f t="shared" ref="Z321:AA321" si="2838">W321-T321</f>
        <v>2206</v>
      </c>
      <c r="AA321" s="1">
        <f t="shared" si="2838"/>
        <v>2947</v>
      </c>
      <c r="AB321" s="1">
        <f t="shared" si="2303"/>
        <v>5153</v>
      </c>
      <c r="AC321" s="1">
        <f t="shared" ref="AC321:AD321" si="2839">SUM(E321,H321,K321,N321)</f>
        <v>2036</v>
      </c>
      <c r="AD321" s="1">
        <f t="shared" si="2839"/>
        <v>2757</v>
      </c>
      <c r="AE321" s="1">
        <f t="shared" si="2305"/>
        <v>4793</v>
      </c>
      <c r="AF321" s="2">
        <f t="shared" ref="AF321:AH321" si="2840">AC321/Z321</f>
        <v>0.92293744333635541</v>
      </c>
      <c r="AG321" s="2">
        <f t="shared" si="2840"/>
        <v>0.9355276552426196</v>
      </c>
      <c r="AH321" s="2">
        <f t="shared" si="2840"/>
        <v>0.93013778381525325</v>
      </c>
      <c r="AI321" s="1">
        <f t="shared" ref="AI321:AJ321" si="2841">SUM(E321,H321,K321)</f>
        <v>1799</v>
      </c>
      <c r="AJ321" s="1">
        <f t="shared" si="2841"/>
        <v>2476</v>
      </c>
      <c r="AK321" s="1">
        <f t="shared" si="2308"/>
        <v>4275</v>
      </c>
      <c r="AL321" s="2">
        <f t="shared" ref="AL321:AN321" si="2842">AI321/Z321</f>
        <v>0.81550317316409793</v>
      </c>
      <c r="AM321" s="2">
        <f t="shared" si="2842"/>
        <v>0.84017645062775703</v>
      </c>
      <c r="AN321" s="2">
        <f t="shared" si="2842"/>
        <v>0.82961381719386762</v>
      </c>
      <c r="AO321" s="2">
        <f t="shared" ref="AO321:AQ321" si="2843">E321/Z321</f>
        <v>0.17679057116953761</v>
      </c>
      <c r="AP321" s="2">
        <f t="shared" si="2843"/>
        <v>0.17305734645402104</v>
      </c>
      <c r="AQ321" s="2">
        <f t="shared" si="2843"/>
        <v>0.17465554046186688</v>
      </c>
      <c r="AR321" s="2">
        <f t="shared" si="2311"/>
        <v>8.6128739800543974E-2</v>
      </c>
      <c r="AS321" s="2">
        <f t="shared" ref="AS321:AT321" si="2844">R321/AA321</f>
        <v>6.4472344757380382E-2</v>
      </c>
      <c r="AT321" s="2">
        <f t="shared" si="2844"/>
        <v>6.986221618474675E-2</v>
      </c>
      <c r="AU321" s="2">
        <f t="shared" si="2475"/>
        <v>3.4150612959719787E-2</v>
      </c>
      <c r="AV321" s="2">
        <f t="shared" si="2475"/>
        <v>2.514058881905392E-2</v>
      </c>
      <c r="AW321" s="2">
        <f t="shared" si="2596"/>
        <v>2.9018277746372716E-2</v>
      </c>
    </row>
    <row r="322" spans="1:49" ht="13" x14ac:dyDescent="0.15">
      <c r="A322" s="1">
        <v>2022</v>
      </c>
      <c r="B322" s="1" t="s">
        <v>69</v>
      </c>
      <c r="C322" s="1" t="s">
        <v>129</v>
      </c>
      <c r="D322" s="1" t="s">
        <v>129</v>
      </c>
      <c r="E322" s="1">
        <v>6532</v>
      </c>
      <c r="F322" s="1">
        <v>6364</v>
      </c>
      <c r="G322" s="1">
        <v>12896</v>
      </c>
      <c r="H322" s="1">
        <v>7730</v>
      </c>
      <c r="I322" s="1">
        <v>9672</v>
      </c>
      <c r="J322" s="1">
        <v>17402</v>
      </c>
      <c r="K322" s="1">
        <v>1444</v>
      </c>
      <c r="L322" s="1">
        <v>2007</v>
      </c>
      <c r="M322" s="1">
        <v>3451</v>
      </c>
      <c r="N322" s="1">
        <v>944</v>
      </c>
      <c r="O322" s="1">
        <v>1482</v>
      </c>
      <c r="P322" s="1">
        <v>2426</v>
      </c>
      <c r="Q322" s="1">
        <v>606</v>
      </c>
      <c r="R322" s="1">
        <v>727</v>
      </c>
      <c r="S322" s="1">
        <v>1333</v>
      </c>
      <c r="T322" s="1">
        <v>273</v>
      </c>
      <c r="U322" s="1">
        <v>324</v>
      </c>
      <c r="V322" s="1">
        <v>597</v>
      </c>
      <c r="W322" s="1">
        <f t="shared" ref="W322:X322" si="2845">SUM(E322,H322,K322,N322,Q322,T322)</f>
        <v>17529</v>
      </c>
      <c r="X322" s="1">
        <f t="shared" si="2845"/>
        <v>20576</v>
      </c>
      <c r="Y322" s="1">
        <f t="shared" si="2301"/>
        <v>38105</v>
      </c>
      <c r="Z322" s="1">
        <f t="shared" ref="Z322:AA322" si="2846">W322-T322</f>
        <v>17256</v>
      </c>
      <c r="AA322" s="1">
        <f t="shared" si="2846"/>
        <v>20252</v>
      </c>
      <c r="AB322" s="1">
        <f t="shared" si="2303"/>
        <v>37508</v>
      </c>
      <c r="AC322" s="1">
        <f t="shared" ref="AC322:AD322" si="2847">SUM(E322,H322,K322,N322)</f>
        <v>16650</v>
      </c>
      <c r="AD322" s="1">
        <f t="shared" si="2847"/>
        <v>19525</v>
      </c>
      <c r="AE322" s="1">
        <f t="shared" si="2305"/>
        <v>36175</v>
      </c>
      <c r="AF322" s="2">
        <f t="shared" ref="AF322:AH322" si="2848">AC322/Z322</f>
        <v>0.96488178025034765</v>
      </c>
      <c r="AG322" s="2">
        <f t="shared" si="2848"/>
        <v>0.96410231088287579</v>
      </c>
      <c r="AH322" s="2">
        <f t="shared" si="2848"/>
        <v>0.96446091500479902</v>
      </c>
      <c r="AI322" s="1">
        <f t="shared" ref="AI322:AJ322" si="2849">SUM(E322,H322,K322)</f>
        <v>15706</v>
      </c>
      <c r="AJ322" s="1">
        <f t="shared" si="2849"/>
        <v>18043</v>
      </c>
      <c r="AK322" s="1">
        <f t="shared" si="2308"/>
        <v>33749</v>
      </c>
      <c r="AL322" s="2">
        <f t="shared" ref="AL322:AN322" si="2850">AI322/Z322</f>
        <v>0.91017617060732503</v>
      </c>
      <c r="AM322" s="2">
        <f t="shared" si="2850"/>
        <v>0.89092435315030616</v>
      </c>
      <c r="AN322" s="2">
        <f t="shared" si="2850"/>
        <v>0.89978137997227259</v>
      </c>
      <c r="AO322" s="2">
        <f t="shared" ref="AO322:AQ322" si="2851">E322/Z322</f>
        <v>0.37853500231803433</v>
      </c>
      <c r="AP322" s="2">
        <f t="shared" si="2851"/>
        <v>0.3142405688327079</v>
      </c>
      <c r="AQ322" s="2">
        <f t="shared" si="2851"/>
        <v>0.34381998506985179</v>
      </c>
      <c r="AR322" s="2">
        <f t="shared" si="2311"/>
        <v>4.2130273528048212E-2</v>
      </c>
      <c r="AS322" s="2">
        <f t="shared" ref="AS322:AT322" si="2852">R322/AA322</f>
        <v>3.5897689117124237E-2</v>
      </c>
      <c r="AT322" s="2">
        <f t="shared" si="2852"/>
        <v>3.5539084995201024E-2</v>
      </c>
      <c r="AU322" s="2">
        <f t="shared" si="2475"/>
        <v>1.5574191340065035E-2</v>
      </c>
      <c r="AV322" s="2">
        <f t="shared" si="2475"/>
        <v>1.5746500777604977E-2</v>
      </c>
      <c r="AW322" s="2">
        <f t="shared" si="2596"/>
        <v>1.5667235270961817E-2</v>
      </c>
    </row>
    <row r="323" spans="1:49" ht="13" x14ac:dyDescent="0.15">
      <c r="A323" s="1">
        <v>2022</v>
      </c>
      <c r="B323" s="1" t="s">
        <v>69</v>
      </c>
      <c r="C323" s="1" t="s">
        <v>89</v>
      </c>
      <c r="D323" s="1" t="s">
        <v>130</v>
      </c>
      <c r="E323" s="1">
        <v>592</v>
      </c>
      <c r="F323" s="1">
        <v>546</v>
      </c>
      <c r="G323" s="1">
        <v>1138</v>
      </c>
      <c r="H323" s="1">
        <v>2391</v>
      </c>
      <c r="I323" s="1">
        <v>2612</v>
      </c>
      <c r="J323" s="1">
        <v>5003</v>
      </c>
      <c r="K323" s="1">
        <v>1021</v>
      </c>
      <c r="L323" s="1">
        <v>1457</v>
      </c>
      <c r="M323" s="1">
        <v>2478</v>
      </c>
      <c r="N323" s="1">
        <v>873</v>
      </c>
      <c r="O323" s="1">
        <v>1111</v>
      </c>
      <c r="P323" s="1">
        <v>1984</v>
      </c>
      <c r="Q323" s="1">
        <v>901</v>
      </c>
      <c r="R323" s="1">
        <v>1147</v>
      </c>
      <c r="S323" s="1">
        <v>2048</v>
      </c>
      <c r="T323" s="1">
        <v>104</v>
      </c>
      <c r="U323" s="1">
        <v>147</v>
      </c>
      <c r="V323" s="1">
        <v>251</v>
      </c>
      <c r="W323" s="1">
        <f t="shared" ref="W323:X323" si="2853">SUM(E323,H323,K323,N323,Q323,T323)</f>
        <v>5882</v>
      </c>
      <c r="X323" s="1">
        <f t="shared" si="2853"/>
        <v>7020</v>
      </c>
      <c r="Y323" s="1">
        <f t="shared" si="2301"/>
        <v>12902</v>
      </c>
      <c r="Z323" s="1">
        <f t="shared" ref="Z323:AA323" si="2854">W323-T323</f>
        <v>5778</v>
      </c>
      <c r="AA323" s="1">
        <f t="shared" si="2854"/>
        <v>6873</v>
      </c>
      <c r="AB323" s="1">
        <f t="shared" si="2303"/>
        <v>12651</v>
      </c>
      <c r="AC323" s="1">
        <f t="shared" ref="AC323:AD323" si="2855">SUM(E323,H323,K323,N323)</f>
        <v>4877</v>
      </c>
      <c r="AD323" s="1">
        <f t="shared" si="2855"/>
        <v>5726</v>
      </c>
      <c r="AE323" s="1">
        <f t="shared" si="2305"/>
        <v>10603</v>
      </c>
      <c r="AF323" s="2">
        <f t="shared" ref="AF323:AH323" si="2856">AC323/Z323</f>
        <v>0.84406368985808233</v>
      </c>
      <c r="AG323" s="2">
        <f t="shared" si="2856"/>
        <v>0.83311508802560741</v>
      </c>
      <c r="AH323" s="2">
        <f t="shared" si="2856"/>
        <v>0.83811556398703657</v>
      </c>
      <c r="AI323" s="1">
        <f t="shared" ref="AI323:AJ323" si="2857">SUM(E323,H323,K323)</f>
        <v>4004</v>
      </c>
      <c r="AJ323" s="1">
        <f t="shared" si="2857"/>
        <v>4615</v>
      </c>
      <c r="AK323" s="1">
        <f t="shared" si="2308"/>
        <v>8619</v>
      </c>
      <c r="AL323" s="2">
        <f t="shared" ref="AL323:AN323" si="2858">AI323/Z323</f>
        <v>0.69297334717895465</v>
      </c>
      <c r="AM323" s="2">
        <f t="shared" si="2858"/>
        <v>0.67146806343663612</v>
      </c>
      <c r="AN323" s="2">
        <f t="shared" si="2858"/>
        <v>0.6812900165994783</v>
      </c>
      <c r="AO323" s="2">
        <f t="shared" ref="AO323:AQ323" si="2859">E323/Z323</f>
        <v>0.10245759778470059</v>
      </c>
      <c r="AP323" s="2">
        <f t="shared" si="2859"/>
        <v>7.9441292012221734E-2</v>
      </c>
      <c r="AQ323" s="2">
        <f t="shared" si="2859"/>
        <v>8.995336337048454E-2</v>
      </c>
      <c r="AR323" s="2">
        <f t="shared" si="2311"/>
        <v>0.1985115957078574</v>
      </c>
      <c r="AS323" s="2">
        <f t="shared" ref="AS323:AT323" si="2860">R323/AA323</f>
        <v>0.16688491197439256</v>
      </c>
      <c r="AT323" s="2">
        <f t="shared" si="2860"/>
        <v>0.1618844360129634</v>
      </c>
      <c r="AU323" s="2">
        <f t="shared" si="2475"/>
        <v>1.7681060863651819E-2</v>
      </c>
      <c r="AV323" s="2">
        <f t="shared" si="2475"/>
        <v>2.0940170940170939E-2</v>
      </c>
      <c r="AW323" s="2">
        <f t="shared" si="2596"/>
        <v>1.9454348163075494E-2</v>
      </c>
    </row>
    <row r="324" spans="1:49" ht="13" x14ac:dyDescent="0.15">
      <c r="A324" s="1">
        <v>2022</v>
      </c>
      <c r="B324" s="1" t="s">
        <v>117</v>
      </c>
      <c r="C324" s="1" t="s">
        <v>101</v>
      </c>
      <c r="D324" s="1" t="s">
        <v>131</v>
      </c>
      <c r="E324" s="1">
        <v>262</v>
      </c>
      <c r="F324" s="1">
        <v>210</v>
      </c>
      <c r="G324" s="1">
        <v>472</v>
      </c>
      <c r="H324" s="1">
        <v>1161</v>
      </c>
      <c r="I324" s="1">
        <v>1198</v>
      </c>
      <c r="J324" s="1">
        <v>2359</v>
      </c>
      <c r="K324" s="1">
        <v>435</v>
      </c>
      <c r="L324" s="1">
        <v>502</v>
      </c>
      <c r="M324" s="1">
        <v>937</v>
      </c>
      <c r="N324" s="1">
        <v>229</v>
      </c>
      <c r="O324" s="1">
        <v>311</v>
      </c>
      <c r="P324" s="1">
        <v>540</v>
      </c>
      <c r="Q324" s="1">
        <v>168</v>
      </c>
      <c r="R324" s="1">
        <v>277</v>
      </c>
      <c r="S324" s="1">
        <v>445</v>
      </c>
      <c r="T324" s="1">
        <v>51</v>
      </c>
      <c r="U324" s="1">
        <v>70</v>
      </c>
      <c r="V324" s="1">
        <v>121</v>
      </c>
      <c r="W324" s="1">
        <f t="shared" ref="W324:X324" si="2861">SUM(E324,H324,K324,N324,Q324,T324)</f>
        <v>2306</v>
      </c>
      <c r="X324" s="1">
        <f t="shared" si="2861"/>
        <v>2568</v>
      </c>
      <c r="Y324" s="1">
        <f t="shared" si="2301"/>
        <v>4874</v>
      </c>
      <c r="Z324" s="1">
        <f t="shared" ref="Z324:AA324" si="2862">W324-T324</f>
        <v>2255</v>
      </c>
      <c r="AA324" s="1">
        <f t="shared" si="2862"/>
        <v>2498</v>
      </c>
      <c r="AB324" s="1">
        <f t="shared" si="2303"/>
        <v>4753</v>
      </c>
      <c r="AC324" s="1">
        <f t="shared" ref="AC324:AD324" si="2863">SUM(E324,H324,K324,N324)</f>
        <v>2087</v>
      </c>
      <c r="AD324" s="1">
        <f t="shared" si="2863"/>
        <v>2221</v>
      </c>
      <c r="AE324" s="1">
        <f t="shared" si="2305"/>
        <v>4308</v>
      </c>
      <c r="AF324" s="2">
        <f t="shared" ref="AF324:AH324" si="2864">AC324/Z324</f>
        <v>0.92549889135254992</v>
      </c>
      <c r="AG324" s="2">
        <f t="shared" si="2864"/>
        <v>0.88911128903122494</v>
      </c>
      <c r="AH324" s="2">
        <f t="shared" si="2864"/>
        <v>0.90637492110246165</v>
      </c>
      <c r="AI324" s="1">
        <f t="shared" ref="AI324:AJ324" si="2865">SUM(E324,H324,K324)</f>
        <v>1858</v>
      </c>
      <c r="AJ324" s="1">
        <f t="shared" si="2865"/>
        <v>1910</v>
      </c>
      <c r="AK324" s="1">
        <f t="shared" si="2308"/>
        <v>3768</v>
      </c>
      <c r="AL324" s="2">
        <f t="shared" ref="AL324:AN324" si="2866">AI324/Z324</f>
        <v>0.8239467849223947</v>
      </c>
      <c r="AM324" s="2">
        <f t="shared" si="2866"/>
        <v>0.76461168935148116</v>
      </c>
      <c r="AN324" s="2">
        <f t="shared" si="2866"/>
        <v>0.79276246581106669</v>
      </c>
      <c r="AO324" s="2">
        <f t="shared" ref="AO324:AQ324" si="2867">E324/Z324</f>
        <v>0.11618625277161862</v>
      </c>
      <c r="AP324" s="2">
        <f t="shared" si="2867"/>
        <v>8.4067253803042433E-2</v>
      </c>
      <c r="AQ324" s="2">
        <f t="shared" si="2867"/>
        <v>9.9305701662108142E-2</v>
      </c>
      <c r="AR324" s="2">
        <f t="shared" si="2311"/>
        <v>0.12283813747228381</v>
      </c>
      <c r="AS324" s="2">
        <f t="shared" ref="AS324:AT324" si="2868">R324/AA324</f>
        <v>0.11088871096877502</v>
      </c>
      <c r="AT324" s="2">
        <f t="shared" si="2868"/>
        <v>9.3625078897538391E-2</v>
      </c>
      <c r="AU324" s="2">
        <f t="shared" si="2475"/>
        <v>2.2116218560277536E-2</v>
      </c>
      <c r="AV324" s="2">
        <f t="shared" si="2475"/>
        <v>2.7258566978193146E-2</v>
      </c>
      <c r="AW324" s="2">
        <f t="shared" si="2596"/>
        <v>2.4825605252359457E-2</v>
      </c>
    </row>
    <row r="325" spans="1:49" ht="13" x14ac:dyDescent="0.15">
      <c r="A325" s="1">
        <v>2022</v>
      </c>
      <c r="B325" s="1" t="s">
        <v>49</v>
      </c>
      <c r="C325" s="1" t="s">
        <v>52</v>
      </c>
      <c r="D325" s="1" t="s">
        <v>132</v>
      </c>
      <c r="E325" s="1">
        <v>346</v>
      </c>
      <c r="F325" s="1">
        <v>317</v>
      </c>
      <c r="G325" s="1">
        <v>663</v>
      </c>
      <c r="H325" s="1">
        <v>1063</v>
      </c>
      <c r="I325" s="1">
        <v>1309</v>
      </c>
      <c r="J325" s="1">
        <v>2372</v>
      </c>
      <c r="K325" s="1">
        <v>524</v>
      </c>
      <c r="L325" s="1">
        <v>724</v>
      </c>
      <c r="M325" s="1">
        <v>1248</v>
      </c>
      <c r="N325" s="1">
        <v>254</v>
      </c>
      <c r="O325" s="1">
        <v>386</v>
      </c>
      <c r="P325" s="1">
        <v>640</v>
      </c>
      <c r="Q325" s="1">
        <v>226</v>
      </c>
      <c r="R325" s="1">
        <v>327</v>
      </c>
      <c r="S325" s="1">
        <v>553</v>
      </c>
      <c r="T325" s="1">
        <v>86</v>
      </c>
      <c r="U325" s="1">
        <v>104</v>
      </c>
      <c r="V325" s="1">
        <v>190</v>
      </c>
      <c r="W325" s="1">
        <f t="shared" ref="W325:X325" si="2869">SUM(E325,H325,K325,N325,Q325,T325)</f>
        <v>2499</v>
      </c>
      <c r="X325" s="1">
        <f t="shared" si="2869"/>
        <v>3167</v>
      </c>
      <c r="Y325" s="1">
        <f t="shared" si="2301"/>
        <v>5666</v>
      </c>
      <c r="Z325" s="1">
        <f t="shared" ref="Z325:AA325" si="2870">W325-T325</f>
        <v>2413</v>
      </c>
      <c r="AA325" s="1">
        <f t="shared" si="2870"/>
        <v>3063</v>
      </c>
      <c r="AB325" s="1">
        <f t="shared" si="2303"/>
        <v>5476</v>
      </c>
      <c r="AC325" s="1">
        <f t="shared" ref="AC325:AD325" si="2871">SUM(E325,H325,K325,N325)</f>
        <v>2187</v>
      </c>
      <c r="AD325" s="1">
        <f t="shared" si="2871"/>
        <v>2736</v>
      </c>
      <c r="AE325" s="1">
        <f t="shared" si="2305"/>
        <v>4923</v>
      </c>
      <c r="AF325" s="2">
        <f t="shared" ref="AF325:AH325" si="2872">AC325/Z325</f>
        <v>0.90634065478657277</v>
      </c>
      <c r="AG325" s="2">
        <f t="shared" si="2872"/>
        <v>0.89324191968658173</v>
      </c>
      <c r="AH325" s="2">
        <f t="shared" si="2872"/>
        <v>0.8990138787436085</v>
      </c>
      <c r="AI325" s="1">
        <f t="shared" ref="AI325:AJ325" si="2873">SUM(E325,H325,K325)</f>
        <v>1933</v>
      </c>
      <c r="AJ325" s="1">
        <f t="shared" si="2873"/>
        <v>2350</v>
      </c>
      <c r="AK325" s="1">
        <f t="shared" si="2308"/>
        <v>4283</v>
      </c>
      <c r="AL325" s="2">
        <f t="shared" ref="AL325:AN325" si="2874">AI325/Z325</f>
        <v>0.80107749689183594</v>
      </c>
      <c r="AM325" s="2">
        <f t="shared" si="2874"/>
        <v>0.76722167809337249</v>
      </c>
      <c r="AN325" s="2">
        <f t="shared" si="2874"/>
        <v>0.78214024835646456</v>
      </c>
      <c r="AO325" s="2">
        <f t="shared" ref="AO325:AQ325" si="2875">E325/Z325</f>
        <v>0.1433899709904683</v>
      </c>
      <c r="AP325" s="2">
        <f t="shared" si="2875"/>
        <v>0.10349330721514854</v>
      </c>
      <c r="AQ325" s="2">
        <f t="shared" si="2875"/>
        <v>0.12107377647918188</v>
      </c>
      <c r="AR325" s="2">
        <f t="shared" si="2311"/>
        <v>0.13551595524243681</v>
      </c>
      <c r="AS325" s="2">
        <f t="shared" ref="AS325:AT325" si="2876">R325/AA325</f>
        <v>0.10675808031341821</v>
      </c>
      <c r="AT325" s="2">
        <f t="shared" si="2876"/>
        <v>0.10098612125639153</v>
      </c>
      <c r="AU325" s="2">
        <f t="shared" si="2475"/>
        <v>3.4413765506202482E-2</v>
      </c>
      <c r="AV325" s="2">
        <f t="shared" si="2475"/>
        <v>3.2838648563309127E-2</v>
      </c>
      <c r="AW325" s="2">
        <f t="shared" si="2596"/>
        <v>3.3533356865513592E-2</v>
      </c>
    </row>
    <row r="326" spans="1:49" ht="13" x14ac:dyDescent="0.15">
      <c r="A326" s="1">
        <v>2022</v>
      </c>
      <c r="B326" s="1" t="s">
        <v>49</v>
      </c>
      <c r="C326" s="1" t="s">
        <v>62</v>
      </c>
      <c r="D326" s="1" t="s">
        <v>133</v>
      </c>
      <c r="E326" s="1">
        <v>151</v>
      </c>
      <c r="F326" s="1">
        <v>103</v>
      </c>
      <c r="G326" s="1">
        <v>254</v>
      </c>
      <c r="H326" s="1">
        <v>540</v>
      </c>
      <c r="I326" s="1">
        <v>550</v>
      </c>
      <c r="J326" s="1">
        <v>1090</v>
      </c>
      <c r="K326" s="1">
        <v>320</v>
      </c>
      <c r="L326" s="1">
        <v>395</v>
      </c>
      <c r="M326" s="1">
        <v>715</v>
      </c>
      <c r="N326" s="1">
        <v>291</v>
      </c>
      <c r="O326" s="1">
        <v>453</v>
      </c>
      <c r="P326" s="1">
        <v>744</v>
      </c>
      <c r="Q326" s="1">
        <v>332</v>
      </c>
      <c r="R326" s="1">
        <v>458</v>
      </c>
      <c r="S326" s="1">
        <v>790</v>
      </c>
      <c r="T326" s="1">
        <v>15</v>
      </c>
      <c r="U326" s="1">
        <v>21</v>
      </c>
      <c r="V326" s="1">
        <v>36</v>
      </c>
      <c r="W326" s="1">
        <f t="shared" ref="W326:X326" si="2877">SUM(E326,H326,K326,N326,Q326,T326)</f>
        <v>1649</v>
      </c>
      <c r="X326" s="1">
        <f t="shared" si="2877"/>
        <v>1980</v>
      </c>
      <c r="Y326" s="1">
        <f t="shared" si="2301"/>
        <v>3629</v>
      </c>
      <c r="Z326" s="1">
        <f t="shared" ref="Z326:AA326" si="2878">W326-T326</f>
        <v>1634</v>
      </c>
      <c r="AA326" s="1">
        <f t="shared" si="2878"/>
        <v>1959</v>
      </c>
      <c r="AB326" s="1">
        <f t="shared" si="2303"/>
        <v>3593</v>
      </c>
      <c r="AC326" s="1">
        <f t="shared" ref="AC326:AD326" si="2879">SUM(E326,H326,K326,N326)</f>
        <v>1302</v>
      </c>
      <c r="AD326" s="1">
        <f t="shared" si="2879"/>
        <v>1501</v>
      </c>
      <c r="AE326" s="1">
        <f t="shared" si="2305"/>
        <v>2803</v>
      </c>
      <c r="AF326" s="2">
        <f t="shared" ref="AF326:AH326" si="2880">AC326/Z326</f>
        <v>0.79681762545899637</v>
      </c>
      <c r="AG326" s="2">
        <f t="shared" si="2880"/>
        <v>0.76620724859622258</v>
      </c>
      <c r="AH326" s="2">
        <f t="shared" si="2880"/>
        <v>0.78012802671861958</v>
      </c>
      <c r="AI326" s="1">
        <f t="shared" ref="AI326:AJ326" si="2881">SUM(E326,H326,K326)</f>
        <v>1011</v>
      </c>
      <c r="AJ326" s="1">
        <f t="shared" si="2881"/>
        <v>1048</v>
      </c>
      <c r="AK326" s="1">
        <f t="shared" si="2308"/>
        <v>2059</v>
      </c>
      <c r="AL326" s="2">
        <f t="shared" ref="AL326:AN326" si="2882">AI326/Z326</f>
        <v>0.61872705018359853</v>
      </c>
      <c r="AM326" s="2">
        <f t="shared" si="2882"/>
        <v>0.53496681980602345</v>
      </c>
      <c r="AN326" s="2">
        <f t="shared" si="2882"/>
        <v>0.57305872529919288</v>
      </c>
      <c r="AO326" s="2">
        <f t="shared" ref="AO326:AQ326" si="2883">E326/Z326</f>
        <v>9.2411260709914317E-2</v>
      </c>
      <c r="AP326" s="2">
        <f t="shared" si="2883"/>
        <v>5.2577845839714137E-2</v>
      </c>
      <c r="AQ326" s="2">
        <f t="shared" si="2883"/>
        <v>7.0693014194266629E-2</v>
      </c>
      <c r="AR326" s="2">
        <f t="shared" si="2311"/>
        <v>0.2802937576499388</v>
      </c>
      <c r="AS326" s="2">
        <f t="shared" ref="AS326:AT326" si="2884">R326/AA326</f>
        <v>0.23379275140377745</v>
      </c>
      <c r="AT326" s="2">
        <f t="shared" si="2884"/>
        <v>0.21987197328138047</v>
      </c>
      <c r="AU326" s="2">
        <f t="shared" si="2475"/>
        <v>9.0964220739842335E-3</v>
      </c>
      <c r="AV326" s="2">
        <f t="shared" si="2475"/>
        <v>1.0606060606060607E-2</v>
      </c>
      <c r="AW326" s="2">
        <f t="shared" si="2596"/>
        <v>9.9200881785615879E-3</v>
      </c>
    </row>
    <row r="327" spans="1:49" ht="13" x14ac:dyDescent="0.15">
      <c r="A327" s="1">
        <v>2022</v>
      </c>
      <c r="B327" s="1" t="s">
        <v>49</v>
      </c>
      <c r="C327" s="1" t="s">
        <v>59</v>
      </c>
      <c r="D327" s="1" t="s">
        <v>134</v>
      </c>
      <c r="E327" s="1">
        <v>24</v>
      </c>
      <c r="F327" s="1">
        <v>11</v>
      </c>
      <c r="G327" s="1">
        <v>35</v>
      </c>
      <c r="H327" s="1">
        <v>389</v>
      </c>
      <c r="I327" s="1">
        <v>335</v>
      </c>
      <c r="J327" s="1">
        <v>724</v>
      </c>
      <c r="K327" s="1">
        <v>258</v>
      </c>
      <c r="L327" s="1">
        <v>268</v>
      </c>
      <c r="M327" s="1">
        <v>526</v>
      </c>
      <c r="N327" s="1">
        <v>107</v>
      </c>
      <c r="O327" s="1">
        <v>143</v>
      </c>
      <c r="P327" s="1">
        <v>250</v>
      </c>
      <c r="Q327" s="1">
        <v>140</v>
      </c>
      <c r="R327" s="1">
        <v>141</v>
      </c>
      <c r="S327" s="1">
        <v>281</v>
      </c>
      <c r="T327" s="1">
        <v>23</v>
      </c>
      <c r="U327" s="1">
        <v>21</v>
      </c>
      <c r="V327" s="1">
        <v>44</v>
      </c>
      <c r="W327" s="1">
        <f t="shared" ref="W327:X327" si="2885">SUM(E327,H327,K327,N327,Q327,T327)</f>
        <v>941</v>
      </c>
      <c r="X327" s="1">
        <f t="shared" si="2885"/>
        <v>919</v>
      </c>
      <c r="Y327" s="1">
        <f t="shared" si="2301"/>
        <v>1860</v>
      </c>
      <c r="Z327" s="1">
        <f t="shared" ref="Z327:AA327" si="2886">W327-T327</f>
        <v>918</v>
      </c>
      <c r="AA327" s="1">
        <f t="shared" si="2886"/>
        <v>898</v>
      </c>
      <c r="AB327" s="1">
        <f t="shared" si="2303"/>
        <v>1816</v>
      </c>
      <c r="AC327" s="1">
        <f t="shared" ref="AC327:AD327" si="2887">SUM(E327,H327,K327,N327)</f>
        <v>778</v>
      </c>
      <c r="AD327" s="1">
        <f t="shared" si="2887"/>
        <v>757</v>
      </c>
      <c r="AE327" s="1">
        <f t="shared" si="2305"/>
        <v>1535</v>
      </c>
      <c r="AF327" s="2">
        <f t="shared" ref="AF327:AH327" si="2888">AC327/Z327</f>
        <v>0.84749455337690627</v>
      </c>
      <c r="AG327" s="2">
        <f t="shared" si="2888"/>
        <v>0.84298440979955458</v>
      </c>
      <c r="AH327" s="2">
        <f t="shared" si="2888"/>
        <v>0.84526431718061679</v>
      </c>
      <c r="AI327" s="1">
        <f t="shared" ref="AI327:AJ327" si="2889">SUM(E327,H327,K327)</f>
        <v>671</v>
      </c>
      <c r="AJ327" s="1">
        <f t="shared" si="2889"/>
        <v>614</v>
      </c>
      <c r="AK327" s="1">
        <f t="shared" si="2308"/>
        <v>1285</v>
      </c>
      <c r="AL327" s="2">
        <f t="shared" ref="AL327:AN327" si="2890">AI327/Z327</f>
        <v>0.73093681917211328</v>
      </c>
      <c r="AM327" s="2">
        <f t="shared" si="2890"/>
        <v>0.68374164810690419</v>
      </c>
      <c r="AN327" s="2">
        <f t="shared" si="2890"/>
        <v>0.70759911894273131</v>
      </c>
      <c r="AO327" s="2">
        <f t="shared" ref="AO327:AQ327" si="2891">E327/Z327</f>
        <v>2.6143790849673203E-2</v>
      </c>
      <c r="AP327" s="2">
        <f t="shared" si="2891"/>
        <v>1.2249443207126948E-2</v>
      </c>
      <c r="AQ327" s="2">
        <f t="shared" si="2891"/>
        <v>1.9273127753303965E-2</v>
      </c>
      <c r="AR327" s="2">
        <f t="shared" si="2311"/>
        <v>0.15359477124183007</v>
      </c>
      <c r="AS327" s="2">
        <f t="shared" ref="AS327:AT327" si="2892">R327/AA327</f>
        <v>0.15701559020044542</v>
      </c>
      <c r="AT327" s="2">
        <f t="shared" si="2892"/>
        <v>0.15473568281938327</v>
      </c>
      <c r="AU327" s="2">
        <f t="shared" si="2475"/>
        <v>2.4442082890541977E-2</v>
      </c>
      <c r="AV327" s="2">
        <f t="shared" si="2475"/>
        <v>2.2850924918389554E-2</v>
      </c>
      <c r="AW327" s="2">
        <f t="shared" si="2596"/>
        <v>2.3655913978494623E-2</v>
      </c>
    </row>
    <row r="328" spans="1:49" ht="13" x14ac:dyDescent="0.15">
      <c r="A328" s="1">
        <v>2024</v>
      </c>
      <c r="B328" s="1" t="s">
        <v>74</v>
      </c>
      <c r="C328" s="1" t="s">
        <v>75</v>
      </c>
      <c r="D328" s="1" t="s">
        <v>202</v>
      </c>
      <c r="E328" s="1">
        <v>12</v>
      </c>
      <c r="F328" s="1">
        <v>2</v>
      </c>
      <c r="G328" s="1">
        <v>14</v>
      </c>
      <c r="H328" s="1">
        <v>163</v>
      </c>
      <c r="I328" s="1">
        <v>87</v>
      </c>
      <c r="J328" s="1">
        <v>250</v>
      </c>
      <c r="K328" s="1">
        <v>73</v>
      </c>
      <c r="L328" s="1">
        <v>65</v>
      </c>
      <c r="M328" s="1">
        <v>138</v>
      </c>
      <c r="N328" s="1">
        <v>22</v>
      </c>
      <c r="O328" s="1">
        <v>23</v>
      </c>
      <c r="P328" s="1">
        <v>45</v>
      </c>
      <c r="Q328" s="1">
        <v>23</v>
      </c>
      <c r="R328" s="1">
        <v>22</v>
      </c>
      <c r="S328" s="1">
        <v>45</v>
      </c>
      <c r="T328" s="1">
        <v>7</v>
      </c>
      <c r="U328" s="1">
        <v>3</v>
      </c>
      <c r="V328" s="1">
        <v>10</v>
      </c>
      <c r="W328" s="1">
        <f t="shared" ref="W328:X328" si="2893">SUM(E328,H328,K328,N328,Q328,T328)</f>
        <v>300</v>
      </c>
      <c r="X328" s="1">
        <f t="shared" si="2893"/>
        <v>202</v>
      </c>
      <c r="Y328" s="1">
        <f t="shared" si="2301"/>
        <v>502</v>
      </c>
      <c r="Z328" s="1">
        <f t="shared" ref="Z328:AA328" si="2894">W328-T328</f>
        <v>293</v>
      </c>
      <c r="AA328" s="1">
        <f t="shared" si="2894"/>
        <v>199</v>
      </c>
      <c r="AB328" s="1">
        <f t="shared" si="2303"/>
        <v>492</v>
      </c>
      <c r="AC328" s="1">
        <f t="shared" ref="AC328:AD328" si="2895">SUM(E328,H328,K328,N328)</f>
        <v>270</v>
      </c>
      <c r="AD328" s="1">
        <f t="shared" si="2895"/>
        <v>177</v>
      </c>
      <c r="AE328" s="1">
        <f t="shared" si="2305"/>
        <v>447</v>
      </c>
      <c r="AF328" s="2">
        <f t="shared" ref="AF328:AH328" si="2896">AC328/Z328</f>
        <v>0.92150170648464169</v>
      </c>
      <c r="AG328" s="2">
        <f t="shared" si="2896"/>
        <v>0.88944723618090449</v>
      </c>
      <c r="AH328" s="2">
        <f t="shared" si="2896"/>
        <v>0.90853658536585369</v>
      </c>
      <c r="AI328" s="1">
        <f t="shared" ref="AI328:AJ328" si="2897">SUM(E328,H328,K328)</f>
        <v>248</v>
      </c>
      <c r="AJ328" s="1">
        <f t="shared" si="2897"/>
        <v>154</v>
      </c>
      <c r="AK328" s="1">
        <f t="shared" si="2308"/>
        <v>402</v>
      </c>
      <c r="AL328" s="2">
        <f t="shared" ref="AL328:AN328" si="2898">AI328/Z328</f>
        <v>0.84641638225255977</v>
      </c>
      <c r="AM328" s="2">
        <f t="shared" si="2898"/>
        <v>0.77386934673366836</v>
      </c>
      <c r="AN328" s="2">
        <f t="shared" si="2898"/>
        <v>0.81707317073170727</v>
      </c>
      <c r="AO328" s="2">
        <f t="shared" ref="AO328:AQ328" si="2899">E328/Z328</f>
        <v>4.0955631399317405E-2</v>
      </c>
      <c r="AP328" s="2">
        <f t="shared" si="2899"/>
        <v>1.0050251256281407E-2</v>
      </c>
      <c r="AQ328" s="2">
        <f t="shared" si="2899"/>
        <v>2.8455284552845527E-2</v>
      </c>
      <c r="AR328" s="2">
        <f t="shared" si="2311"/>
        <v>7.5085324232081918E-2</v>
      </c>
      <c r="AS328" s="2">
        <f t="shared" ref="AS328:AT328" si="2900">R328/AA328</f>
        <v>0.11055276381909548</v>
      </c>
      <c r="AT328" s="2">
        <f t="shared" si="2900"/>
        <v>9.1463414634146339E-2</v>
      </c>
      <c r="AU328" s="2">
        <f t="shared" si="2475"/>
        <v>2.3333333333333334E-2</v>
      </c>
      <c r="AV328" s="2">
        <f t="shared" si="2475"/>
        <v>1.4851485148514851E-2</v>
      </c>
      <c r="AW328" s="2">
        <f t="shared" si="2596"/>
        <v>1.9920318725099601E-2</v>
      </c>
    </row>
    <row r="329" spans="1:49" ht="13" x14ac:dyDescent="0.15">
      <c r="A329" s="1">
        <v>2022</v>
      </c>
      <c r="B329" s="1" t="s">
        <v>117</v>
      </c>
      <c r="C329" s="1" t="s">
        <v>101</v>
      </c>
      <c r="D329" s="1" t="s">
        <v>136</v>
      </c>
      <c r="E329" s="1">
        <v>848</v>
      </c>
      <c r="F329" s="1">
        <v>819</v>
      </c>
      <c r="G329" s="1">
        <v>1667</v>
      </c>
      <c r="H329" s="1">
        <v>3924</v>
      </c>
      <c r="I329" s="1">
        <v>4305</v>
      </c>
      <c r="J329" s="1">
        <v>8229</v>
      </c>
      <c r="K329" s="1">
        <v>1512</v>
      </c>
      <c r="L329" s="1">
        <v>1734</v>
      </c>
      <c r="M329" s="1">
        <v>3246</v>
      </c>
      <c r="N329" s="1">
        <v>775</v>
      </c>
      <c r="O329" s="1">
        <v>865</v>
      </c>
      <c r="P329" s="1">
        <v>1640</v>
      </c>
      <c r="Q329" s="1">
        <v>453</v>
      </c>
      <c r="R329" s="1">
        <v>465</v>
      </c>
      <c r="S329" s="1">
        <v>918</v>
      </c>
      <c r="T329" s="1">
        <v>191</v>
      </c>
      <c r="U329" s="1">
        <v>224</v>
      </c>
      <c r="V329" s="1">
        <v>415</v>
      </c>
      <c r="W329" s="1">
        <f t="shared" ref="W329:X329" si="2901">SUM(E329,H329,K329,N329,Q329,T329)</f>
        <v>7703</v>
      </c>
      <c r="X329" s="1">
        <f t="shared" si="2901"/>
        <v>8412</v>
      </c>
      <c r="Y329" s="1">
        <f t="shared" si="2301"/>
        <v>16115</v>
      </c>
      <c r="Z329" s="1">
        <f t="shared" ref="Z329:AA329" si="2902">W329-T329</f>
        <v>7512</v>
      </c>
      <c r="AA329" s="1">
        <f t="shared" si="2902"/>
        <v>8188</v>
      </c>
      <c r="AB329" s="1">
        <f t="shared" si="2303"/>
        <v>15700</v>
      </c>
      <c r="AC329" s="1">
        <f t="shared" ref="AC329:AD329" si="2903">SUM(E329,H329,K329,N329)</f>
        <v>7059</v>
      </c>
      <c r="AD329" s="1">
        <f t="shared" si="2903"/>
        <v>7723</v>
      </c>
      <c r="AE329" s="1">
        <f t="shared" si="2305"/>
        <v>14782</v>
      </c>
      <c r="AF329" s="2">
        <f t="shared" ref="AF329:AH329" si="2904">AC329/Z329</f>
        <v>0.93969648562300323</v>
      </c>
      <c r="AG329" s="2">
        <f t="shared" si="2904"/>
        <v>0.94320957498778701</v>
      </c>
      <c r="AH329" s="2">
        <f t="shared" si="2904"/>
        <v>0.94152866242038213</v>
      </c>
      <c r="AI329" s="1">
        <f t="shared" ref="AI329:AJ329" si="2905">SUM(E329,H329,K329)</f>
        <v>6284</v>
      </c>
      <c r="AJ329" s="1">
        <f t="shared" si="2905"/>
        <v>6858</v>
      </c>
      <c r="AK329" s="1">
        <f t="shared" si="2308"/>
        <v>13142</v>
      </c>
      <c r="AL329" s="2">
        <f t="shared" ref="AL329:AN329" si="2906">AI329/Z329</f>
        <v>0.83652822151224704</v>
      </c>
      <c r="AM329" s="2">
        <f t="shared" si="2906"/>
        <v>0.83756717147044457</v>
      </c>
      <c r="AN329" s="2">
        <f t="shared" si="2906"/>
        <v>0.83707006369426751</v>
      </c>
      <c r="AO329" s="2">
        <f t="shared" ref="AO329:AQ329" si="2907">E329/Z329</f>
        <v>0.11288604898828541</v>
      </c>
      <c r="AP329" s="2">
        <f t="shared" si="2907"/>
        <v>0.10002442598925257</v>
      </c>
      <c r="AQ329" s="2">
        <f t="shared" si="2907"/>
        <v>0.10617834394904459</v>
      </c>
      <c r="AR329" s="2">
        <f t="shared" si="2311"/>
        <v>6.1900958466453673E-2</v>
      </c>
      <c r="AS329" s="2">
        <f t="shared" ref="AS329:AT329" si="2908">R329/AA329</f>
        <v>5.6790425012212993E-2</v>
      </c>
      <c r="AT329" s="2">
        <f t="shared" si="2908"/>
        <v>5.8471337579617831E-2</v>
      </c>
      <c r="AU329" s="2">
        <f t="shared" si="2475"/>
        <v>2.4795534207451644E-2</v>
      </c>
      <c r="AV329" s="2">
        <f t="shared" si="2475"/>
        <v>2.6628625772705659E-2</v>
      </c>
      <c r="AW329" s="2">
        <f t="shared" si="2596"/>
        <v>2.5752404591995036E-2</v>
      </c>
    </row>
    <row r="330" spans="1:49" ht="13" x14ac:dyDescent="0.15">
      <c r="A330" s="1">
        <v>2022</v>
      </c>
      <c r="B330" s="1" t="s">
        <v>49</v>
      </c>
      <c r="C330" s="1" t="s">
        <v>93</v>
      </c>
      <c r="D330" s="1" t="s">
        <v>137</v>
      </c>
      <c r="E330" s="1">
        <v>204</v>
      </c>
      <c r="F330" s="1">
        <v>177</v>
      </c>
      <c r="G330" s="1">
        <v>381</v>
      </c>
      <c r="H330" s="1">
        <v>1074</v>
      </c>
      <c r="I330" s="1">
        <v>1353</v>
      </c>
      <c r="J330" s="1">
        <v>2427</v>
      </c>
      <c r="K330" s="1">
        <v>440</v>
      </c>
      <c r="L330" s="1">
        <v>569</v>
      </c>
      <c r="M330" s="1">
        <v>1009</v>
      </c>
      <c r="N330" s="1">
        <v>330</v>
      </c>
      <c r="O330" s="1">
        <v>446</v>
      </c>
      <c r="P330" s="1">
        <v>776</v>
      </c>
      <c r="Q330" s="1">
        <v>269</v>
      </c>
      <c r="R330" s="1">
        <v>372</v>
      </c>
      <c r="S330" s="1">
        <v>641</v>
      </c>
      <c r="T330" s="1">
        <v>143</v>
      </c>
      <c r="U330" s="1">
        <v>153</v>
      </c>
      <c r="V330" s="1">
        <v>296</v>
      </c>
      <c r="W330" s="1">
        <f t="shared" ref="W330:X330" si="2909">SUM(E330,H330,K330,N330,Q330,T330)</f>
        <v>2460</v>
      </c>
      <c r="X330" s="1">
        <f t="shared" si="2909"/>
        <v>3070</v>
      </c>
      <c r="Y330" s="1">
        <f t="shared" si="2301"/>
        <v>5530</v>
      </c>
      <c r="Z330" s="1">
        <f t="shared" ref="Z330:AA330" si="2910">W330-T330</f>
        <v>2317</v>
      </c>
      <c r="AA330" s="1">
        <f t="shared" si="2910"/>
        <v>2917</v>
      </c>
      <c r="AB330" s="1">
        <f t="shared" si="2303"/>
        <v>5234</v>
      </c>
      <c r="AC330" s="1">
        <f t="shared" ref="AC330:AD330" si="2911">SUM(E330,H330,K330,N330)</f>
        <v>2048</v>
      </c>
      <c r="AD330" s="1">
        <f t="shared" si="2911"/>
        <v>2545</v>
      </c>
      <c r="AE330" s="1">
        <f t="shared" si="2305"/>
        <v>4593</v>
      </c>
      <c r="AF330" s="2">
        <f t="shared" ref="AF330:AH330" si="2912">AC330/Z330</f>
        <v>0.88390159689253345</v>
      </c>
      <c r="AG330" s="2">
        <f t="shared" si="2912"/>
        <v>0.8724717175179979</v>
      </c>
      <c r="AH330" s="2">
        <f t="shared" si="2912"/>
        <v>0.87753152464654183</v>
      </c>
      <c r="AI330" s="1">
        <f t="shared" ref="AI330:AJ330" si="2913">SUM(E330,H330,K330)</f>
        <v>1718</v>
      </c>
      <c r="AJ330" s="1">
        <f t="shared" si="2913"/>
        <v>2099</v>
      </c>
      <c r="AK330" s="1">
        <f t="shared" si="2308"/>
        <v>3817</v>
      </c>
      <c r="AL330" s="2">
        <f t="shared" ref="AL330:AN330" si="2914">AI330/Z330</f>
        <v>0.74147604661199829</v>
      </c>
      <c r="AM330" s="2">
        <f t="shared" si="2914"/>
        <v>0.71957490572506</v>
      </c>
      <c r="AN330" s="2">
        <f t="shared" si="2914"/>
        <v>0.72927015666794037</v>
      </c>
      <c r="AO330" s="2">
        <f t="shared" ref="AO330:AQ330" si="2915">E330/Z330</f>
        <v>8.8044885627967195E-2</v>
      </c>
      <c r="AP330" s="2">
        <f t="shared" si="2915"/>
        <v>6.0678779568049367E-2</v>
      </c>
      <c r="AQ330" s="2">
        <f t="shared" si="2915"/>
        <v>7.2793274742071076E-2</v>
      </c>
      <c r="AR330" s="2">
        <f t="shared" si="2311"/>
        <v>0.16055243849805784</v>
      </c>
      <c r="AS330" s="2">
        <f t="shared" ref="AS330:AT330" si="2916">R330/AA330</f>
        <v>0.12752828248200207</v>
      </c>
      <c r="AT330" s="2">
        <f t="shared" si="2916"/>
        <v>0.12246847535345816</v>
      </c>
      <c r="AU330" s="2">
        <f t="shared" si="2475"/>
        <v>5.8130081300813007E-2</v>
      </c>
      <c r="AV330" s="2">
        <f t="shared" si="2475"/>
        <v>4.9837133550488598E-2</v>
      </c>
      <c r="AW330" s="2">
        <f t="shared" si="2596"/>
        <v>5.3526220614828209E-2</v>
      </c>
    </row>
    <row r="331" spans="1:49" ht="13" x14ac:dyDescent="0.15">
      <c r="A331" s="1">
        <v>2022</v>
      </c>
      <c r="B331" s="1" t="s">
        <v>49</v>
      </c>
      <c r="C331" s="1" t="s">
        <v>59</v>
      </c>
      <c r="D331" s="1" t="s">
        <v>138</v>
      </c>
      <c r="E331" s="1">
        <v>91</v>
      </c>
      <c r="F331" s="1">
        <v>60</v>
      </c>
      <c r="G331" s="1">
        <v>151</v>
      </c>
      <c r="H331" s="1">
        <v>672</v>
      </c>
      <c r="I331" s="1">
        <v>659</v>
      </c>
      <c r="J331" s="1">
        <v>1331</v>
      </c>
      <c r="K331" s="1">
        <v>303</v>
      </c>
      <c r="L331" s="1">
        <v>342</v>
      </c>
      <c r="M331" s="1">
        <v>645</v>
      </c>
      <c r="N331" s="1">
        <v>213</v>
      </c>
      <c r="O331" s="1">
        <v>213</v>
      </c>
      <c r="P331" s="1">
        <v>426</v>
      </c>
      <c r="Q331" s="1">
        <v>234</v>
      </c>
      <c r="R331" s="1">
        <v>236</v>
      </c>
      <c r="S331" s="1">
        <v>470</v>
      </c>
      <c r="T331" s="1">
        <v>29</v>
      </c>
      <c r="U331" s="1">
        <v>31</v>
      </c>
      <c r="V331" s="1">
        <v>60</v>
      </c>
      <c r="W331" s="1">
        <f t="shared" ref="W331:X331" si="2917">SUM(E331,H331,K331,N331,Q331,T331)</f>
        <v>1542</v>
      </c>
      <c r="X331" s="1">
        <f t="shared" si="2917"/>
        <v>1541</v>
      </c>
      <c r="Y331" s="1">
        <f t="shared" si="2301"/>
        <v>3083</v>
      </c>
      <c r="Z331" s="1">
        <f t="shared" ref="Z331:AA331" si="2918">W331-T331</f>
        <v>1513</v>
      </c>
      <c r="AA331" s="1">
        <f t="shared" si="2918"/>
        <v>1510</v>
      </c>
      <c r="AB331" s="1">
        <f t="shared" si="2303"/>
        <v>3023</v>
      </c>
      <c r="AC331" s="1">
        <f t="shared" ref="AC331:AD331" si="2919">SUM(E331,H331,K331,N331)</f>
        <v>1279</v>
      </c>
      <c r="AD331" s="1">
        <f t="shared" si="2919"/>
        <v>1274</v>
      </c>
      <c r="AE331" s="1">
        <f t="shared" si="2305"/>
        <v>2553</v>
      </c>
      <c r="AF331" s="2">
        <f t="shared" ref="AF331:AH331" si="2920">AC331/Z331</f>
        <v>0.84534038334434902</v>
      </c>
      <c r="AG331" s="2">
        <f t="shared" si="2920"/>
        <v>0.84370860927152314</v>
      </c>
      <c r="AH331" s="2">
        <f t="shared" si="2920"/>
        <v>0.8445253059874297</v>
      </c>
      <c r="AI331" s="1">
        <f t="shared" ref="AI331:AJ331" si="2921">SUM(E331,H331,K331)</f>
        <v>1066</v>
      </c>
      <c r="AJ331" s="1">
        <f t="shared" si="2921"/>
        <v>1061</v>
      </c>
      <c r="AK331" s="1">
        <f t="shared" si="2308"/>
        <v>2127</v>
      </c>
      <c r="AL331" s="2">
        <f t="shared" ref="AL331:AN331" si="2922">AI331/Z331</f>
        <v>0.70456047587574355</v>
      </c>
      <c r="AM331" s="2">
        <f t="shared" si="2922"/>
        <v>0.7026490066225165</v>
      </c>
      <c r="AN331" s="2">
        <f t="shared" si="2922"/>
        <v>0.70360568971220638</v>
      </c>
      <c r="AO331" s="2">
        <f t="shared" ref="AO331:AQ331" si="2923">E331/Z331</f>
        <v>6.014540647719762E-2</v>
      </c>
      <c r="AP331" s="2">
        <f t="shared" si="2923"/>
        <v>3.9735099337748346E-2</v>
      </c>
      <c r="AQ331" s="2">
        <f t="shared" si="2923"/>
        <v>4.9950380416804496E-2</v>
      </c>
      <c r="AR331" s="2">
        <f t="shared" si="2311"/>
        <v>0.15598149372108394</v>
      </c>
      <c r="AS331" s="2">
        <f t="shared" ref="AS331:AT331" si="2924">R331/AA331</f>
        <v>0.15629139072847681</v>
      </c>
      <c r="AT331" s="2">
        <f t="shared" si="2924"/>
        <v>0.1554746940125703</v>
      </c>
      <c r="AU331" s="2">
        <f t="shared" si="2475"/>
        <v>1.8806744487678339E-2</v>
      </c>
      <c r="AV331" s="2">
        <f t="shared" si="2475"/>
        <v>2.0116807268007787E-2</v>
      </c>
      <c r="AW331" s="2">
        <f t="shared" si="2596"/>
        <v>1.9461563412260786E-2</v>
      </c>
    </row>
    <row r="332" spans="1:49" ht="13" x14ac:dyDescent="0.15">
      <c r="A332" s="1">
        <v>2022</v>
      </c>
      <c r="B332" s="1" t="s">
        <v>49</v>
      </c>
      <c r="C332" s="1" t="s">
        <v>93</v>
      </c>
      <c r="D332" s="1" t="s">
        <v>139</v>
      </c>
      <c r="E332" s="1">
        <v>424</v>
      </c>
      <c r="F332" s="1">
        <v>487</v>
      </c>
      <c r="G332" s="1">
        <v>911</v>
      </c>
      <c r="H332" s="1">
        <v>1644</v>
      </c>
      <c r="I332" s="1">
        <v>1873</v>
      </c>
      <c r="J332" s="1">
        <v>3517</v>
      </c>
      <c r="K332" s="1">
        <v>691</v>
      </c>
      <c r="L332" s="1">
        <v>929</v>
      </c>
      <c r="M332" s="1">
        <v>1620</v>
      </c>
      <c r="N332" s="1">
        <v>522</v>
      </c>
      <c r="O332" s="1">
        <v>720</v>
      </c>
      <c r="P332" s="1">
        <v>1242</v>
      </c>
      <c r="Q332" s="1">
        <v>741</v>
      </c>
      <c r="R332" s="1">
        <v>891</v>
      </c>
      <c r="S332" s="1">
        <v>1632</v>
      </c>
      <c r="T332" s="1">
        <v>213</v>
      </c>
      <c r="U332" s="1">
        <v>296</v>
      </c>
      <c r="V332" s="1">
        <v>509</v>
      </c>
      <c r="W332" s="1">
        <f t="shared" ref="W332:X332" si="2925">SUM(E332,H332,K332,N332,Q332,T332)</f>
        <v>4235</v>
      </c>
      <c r="X332" s="1">
        <f t="shared" si="2925"/>
        <v>5196</v>
      </c>
      <c r="Y332" s="1">
        <f t="shared" si="2301"/>
        <v>9431</v>
      </c>
      <c r="Z332" s="1">
        <f t="shared" ref="Z332:AA332" si="2926">W332-T332</f>
        <v>4022</v>
      </c>
      <c r="AA332" s="1">
        <f t="shared" si="2926"/>
        <v>4900</v>
      </c>
      <c r="AB332" s="1">
        <f t="shared" si="2303"/>
        <v>8922</v>
      </c>
      <c r="AC332" s="1">
        <f t="shared" ref="AC332:AD332" si="2927">SUM(E332,H332,K332,N332)</f>
        <v>3281</v>
      </c>
      <c r="AD332" s="1">
        <f t="shared" si="2927"/>
        <v>4009</v>
      </c>
      <c r="AE332" s="1">
        <f t="shared" si="2305"/>
        <v>7290</v>
      </c>
      <c r="AF332" s="2">
        <f t="shared" ref="AF332:AH332" si="2928">AC332/Z332</f>
        <v>0.81576330183988066</v>
      </c>
      <c r="AG332" s="2">
        <f t="shared" si="2928"/>
        <v>0.81816326530612249</v>
      </c>
      <c r="AH332" s="2">
        <f t="shared" si="2928"/>
        <v>0.81708137188971086</v>
      </c>
      <c r="AI332" s="1">
        <f t="shared" ref="AI332:AJ332" si="2929">SUM(E332,H332,K332)</f>
        <v>2759</v>
      </c>
      <c r="AJ332" s="1">
        <f t="shared" si="2929"/>
        <v>3289</v>
      </c>
      <c r="AK332" s="1">
        <f t="shared" si="2308"/>
        <v>6048</v>
      </c>
      <c r="AL332" s="2">
        <f t="shared" ref="AL332:AN332" si="2930">AI332/Z332</f>
        <v>0.6859771258080557</v>
      </c>
      <c r="AM332" s="2">
        <f t="shared" si="2930"/>
        <v>0.67122448979591842</v>
      </c>
      <c r="AN332" s="2">
        <f t="shared" si="2930"/>
        <v>0.67787491593813043</v>
      </c>
      <c r="AO332" s="2">
        <f t="shared" ref="AO332:AQ332" si="2931">E332/Z332</f>
        <v>0.10542018896071606</v>
      </c>
      <c r="AP332" s="2">
        <f t="shared" si="2931"/>
        <v>9.9387755102040815E-2</v>
      </c>
      <c r="AQ332" s="2">
        <f t="shared" si="2931"/>
        <v>0.10210715086303519</v>
      </c>
      <c r="AR332" s="2">
        <f t="shared" si="2311"/>
        <v>0.221531576330184</v>
      </c>
      <c r="AS332" s="2">
        <f t="shared" ref="AS332:AT332" si="2932">R332/AA332</f>
        <v>0.18183673469387754</v>
      </c>
      <c r="AT332" s="2">
        <f t="shared" si="2932"/>
        <v>0.18291862811028917</v>
      </c>
      <c r="AU332" s="2">
        <f t="shared" si="2475"/>
        <v>5.0295159386068475E-2</v>
      </c>
      <c r="AV332" s="2">
        <f t="shared" si="2475"/>
        <v>5.6966897613548881E-2</v>
      </c>
      <c r="AW332" s="2">
        <f t="shared" si="2596"/>
        <v>5.397094687731948E-2</v>
      </c>
    </row>
    <row r="333" spans="1:49" ht="13" x14ac:dyDescent="0.15">
      <c r="A333" s="1">
        <v>2022</v>
      </c>
      <c r="B333" s="1" t="s">
        <v>49</v>
      </c>
      <c r="C333" s="1" t="s">
        <v>54</v>
      </c>
      <c r="D333" s="1" t="s">
        <v>140</v>
      </c>
      <c r="E333" s="1">
        <v>292</v>
      </c>
      <c r="F333" s="1">
        <v>238</v>
      </c>
      <c r="G333" s="1">
        <v>530</v>
      </c>
      <c r="H333" s="1">
        <v>808</v>
      </c>
      <c r="I333" s="1">
        <v>926</v>
      </c>
      <c r="J333" s="1">
        <v>1734</v>
      </c>
      <c r="K333" s="1">
        <v>202</v>
      </c>
      <c r="L333" s="1">
        <v>267</v>
      </c>
      <c r="M333" s="1">
        <v>469</v>
      </c>
      <c r="N333" s="1">
        <v>79</v>
      </c>
      <c r="O333" s="1">
        <v>99</v>
      </c>
      <c r="P333" s="1">
        <v>178</v>
      </c>
      <c r="Q333" s="1">
        <v>46</v>
      </c>
      <c r="R333" s="1">
        <v>56</v>
      </c>
      <c r="S333" s="1">
        <v>102</v>
      </c>
      <c r="T333" s="1">
        <v>40</v>
      </c>
      <c r="U333" s="1">
        <v>42</v>
      </c>
      <c r="V333" s="1">
        <v>82</v>
      </c>
      <c r="W333" s="1">
        <f t="shared" ref="W333:X333" si="2933">SUM(E333,H333,K333,N333,Q333,T333)</f>
        <v>1467</v>
      </c>
      <c r="X333" s="1">
        <f t="shared" si="2933"/>
        <v>1628</v>
      </c>
      <c r="Y333" s="1">
        <f t="shared" si="2301"/>
        <v>3095</v>
      </c>
      <c r="Z333" s="1">
        <f t="shared" ref="Z333:AA333" si="2934">W333-T333</f>
        <v>1427</v>
      </c>
      <c r="AA333" s="1">
        <f t="shared" si="2934"/>
        <v>1586</v>
      </c>
      <c r="AB333" s="1">
        <f t="shared" si="2303"/>
        <v>3013</v>
      </c>
      <c r="AC333" s="1">
        <f t="shared" ref="AC333:AD333" si="2935">SUM(E333,H333,K333,N333)</f>
        <v>1381</v>
      </c>
      <c r="AD333" s="1">
        <f t="shared" si="2935"/>
        <v>1530</v>
      </c>
      <c r="AE333" s="1">
        <f t="shared" si="2305"/>
        <v>2911</v>
      </c>
      <c r="AF333" s="2">
        <f t="shared" ref="AF333:AH333" si="2936">AC333/Z333</f>
        <v>0.96776454099509457</v>
      </c>
      <c r="AG333" s="2">
        <f t="shared" si="2936"/>
        <v>0.96469104665825978</v>
      </c>
      <c r="AH333" s="2">
        <f t="shared" si="2936"/>
        <v>0.96614669764354466</v>
      </c>
      <c r="AI333" s="1">
        <f t="shared" ref="AI333:AJ333" si="2937">SUM(E333,H333,K333)</f>
        <v>1302</v>
      </c>
      <c r="AJ333" s="1">
        <f t="shared" si="2937"/>
        <v>1431</v>
      </c>
      <c r="AK333" s="1">
        <f t="shared" si="2308"/>
        <v>2733</v>
      </c>
      <c r="AL333" s="2">
        <f t="shared" ref="AL333:AN333" si="2938">AI333/Z333</f>
        <v>0.91240364400840923</v>
      </c>
      <c r="AM333" s="2">
        <f t="shared" si="2938"/>
        <v>0.90226986128625475</v>
      </c>
      <c r="AN333" s="2">
        <f t="shared" si="2938"/>
        <v>0.90706936608031863</v>
      </c>
      <c r="AO333" s="2">
        <f t="shared" ref="AO333:AQ333" si="2939">E333/Z333</f>
        <v>0.204625087596356</v>
      </c>
      <c r="AP333" s="2">
        <f t="shared" si="2939"/>
        <v>0.15006305170239598</v>
      </c>
      <c r="AQ333" s="2">
        <f t="shared" si="2939"/>
        <v>0.17590441420511119</v>
      </c>
      <c r="AR333" s="2">
        <f t="shared" si="2311"/>
        <v>3.9243167484232656E-2</v>
      </c>
      <c r="AS333" s="2">
        <f t="shared" ref="AS333:AT333" si="2940">R333/AA333</f>
        <v>3.530895334174023E-2</v>
      </c>
      <c r="AT333" s="2">
        <f t="shared" si="2940"/>
        <v>3.385330235645536E-2</v>
      </c>
      <c r="AU333" s="2">
        <f t="shared" si="2475"/>
        <v>2.7266530334014997E-2</v>
      </c>
      <c r="AV333" s="2">
        <f t="shared" si="2475"/>
        <v>2.5798525798525797E-2</v>
      </c>
      <c r="AW333" s="2">
        <f t="shared" si="2596"/>
        <v>2.6494345718901455E-2</v>
      </c>
    </row>
    <row r="334" spans="1:49" ht="13" x14ac:dyDescent="0.15">
      <c r="A334" s="1">
        <v>2022</v>
      </c>
      <c r="B334" s="1" t="s">
        <v>49</v>
      </c>
      <c r="C334" s="1" t="s">
        <v>99</v>
      </c>
      <c r="D334" s="1" t="s">
        <v>141</v>
      </c>
      <c r="E334" s="1">
        <v>129</v>
      </c>
      <c r="F334" s="1">
        <v>111</v>
      </c>
      <c r="G334" s="1">
        <v>240</v>
      </c>
      <c r="H334" s="1">
        <v>522</v>
      </c>
      <c r="I334" s="1">
        <v>639</v>
      </c>
      <c r="J334" s="1">
        <v>1161</v>
      </c>
      <c r="K334" s="1">
        <v>193</v>
      </c>
      <c r="L334" s="1">
        <v>271</v>
      </c>
      <c r="M334" s="1">
        <v>464</v>
      </c>
      <c r="N334" s="1">
        <v>107</v>
      </c>
      <c r="O334" s="1">
        <v>142</v>
      </c>
      <c r="P334" s="1">
        <v>249</v>
      </c>
      <c r="Q334" s="1">
        <v>49</v>
      </c>
      <c r="R334" s="1">
        <v>105</v>
      </c>
      <c r="S334" s="1">
        <v>154</v>
      </c>
      <c r="T334" s="1">
        <v>17</v>
      </c>
      <c r="U334" s="1">
        <v>17</v>
      </c>
      <c r="V334" s="1">
        <v>34</v>
      </c>
      <c r="W334" s="1">
        <f t="shared" ref="W334:X334" si="2941">SUM(E334,H334,K334,N334,Q334,T334)</f>
        <v>1017</v>
      </c>
      <c r="X334" s="1">
        <f t="shared" si="2941"/>
        <v>1285</v>
      </c>
      <c r="Y334" s="1">
        <f t="shared" si="2301"/>
        <v>2302</v>
      </c>
      <c r="Z334" s="1">
        <f t="shared" ref="Z334:AA334" si="2942">W334-T334</f>
        <v>1000</v>
      </c>
      <c r="AA334" s="1">
        <f t="shared" si="2942"/>
        <v>1268</v>
      </c>
      <c r="AB334" s="1">
        <f t="shared" si="2303"/>
        <v>2268</v>
      </c>
      <c r="AC334" s="1">
        <f t="shared" ref="AC334:AD334" si="2943">SUM(E334,H334,K334,N334)</f>
        <v>951</v>
      </c>
      <c r="AD334" s="1">
        <f t="shared" si="2943"/>
        <v>1163</v>
      </c>
      <c r="AE334" s="1">
        <f t="shared" si="2305"/>
        <v>2114</v>
      </c>
      <c r="AF334" s="2">
        <f t="shared" ref="AF334:AH334" si="2944">AC334/Z334</f>
        <v>0.95099999999999996</v>
      </c>
      <c r="AG334" s="2">
        <f t="shared" si="2944"/>
        <v>0.91719242902208198</v>
      </c>
      <c r="AH334" s="2">
        <f t="shared" si="2944"/>
        <v>0.9320987654320988</v>
      </c>
      <c r="AI334" s="1">
        <f t="shared" ref="AI334:AJ334" si="2945">SUM(E334,H334,K334)</f>
        <v>844</v>
      </c>
      <c r="AJ334" s="1">
        <f t="shared" si="2945"/>
        <v>1021</v>
      </c>
      <c r="AK334" s="1">
        <f t="shared" si="2308"/>
        <v>1865</v>
      </c>
      <c r="AL334" s="2">
        <f t="shared" ref="AL334:AN334" si="2946">AI334/Z334</f>
        <v>0.84399999999999997</v>
      </c>
      <c r="AM334" s="2">
        <f t="shared" si="2946"/>
        <v>0.80520504731861198</v>
      </c>
      <c r="AN334" s="2">
        <f t="shared" si="2946"/>
        <v>0.82231040564373903</v>
      </c>
      <c r="AO334" s="2">
        <f t="shared" ref="AO334:AQ334" si="2947">E334/Z334</f>
        <v>0.129</v>
      </c>
      <c r="AP334" s="2">
        <f t="shared" si="2947"/>
        <v>8.7539432176656148E-2</v>
      </c>
      <c r="AQ334" s="2">
        <f t="shared" si="2947"/>
        <v>0.10582010582010581</v>
      </c>
      <c r="AR334" s="2">
        <f t="shared" si="2311"/>
        <v>0.105</v>
      </c>
      <c r="AS334" s="2">
        <f t="shared" ref="AS334:AT334" si="2948">R334/AA334</f>
        <v>8.280757097791798E-2</v>
      </c>
      <c r="AT334" s="2">
        <f t="shared" si="2948"/>
        <v>6.7901234567901231E-2</v>
      </c>
      <c r="AU334" s="2">
        <f t="shared" si="2475"/>
        <v>1.6715830875122909E-2</v>
      </c>
      <c r="AV334" s="2">
        <f t="shared" si="2475"/>
        <v>1.3229571984435798E-2</v>
      </c>
      <c r="AW334" s="2">
        <f t="shared" si="2596"/>
        <v>1.4769765421372719E-2</v>
      </c>
    </row>
    <row r="335" spans="1:49" ht="13" x14ac:dyDescent="0.15">
      <c r="A335" s="1">
        <v>2022</v>
      </c>
      <c r="B335" s="1" t="s">
        <v>49</v>
      </c>
      <c r="C335" s="1" t="s">
        <v>93</v>
      </c>
      <c r="D335" s="1" t="s">
        <v>142</v>
      </c>
      <c r="E335" s="1">
        <v>124</v>
      </c>
      <c r="F335" s="1">
        <v>104</v>
      </c>
      <c r="G335" s="1">
        <v>228</v>
      </c>
      <c r="H335" s="1">
        <v>662</v>
      </c>
      <c r="I335" s="1">
        <v>819</v>
      </c>
      <c r="J335" s="1">
        <v>1481</v>
      </c>
      <c r="K335" s="1">
        <v>279</v>
      </c>
      <c r="L335" s="1">
        <v>358</v>
      </c>
      <c r="M335" s="1">
        <v>637</v>
      </c>
      <c r="N335" s="1">
        <v>209</v>
      </c>
      <c r="O335" s="1">
        <v>285</v>
      </c>
      <c r="P335" s="1">
        <v>494</v>
      </c>
      <c r="Q335" s="1">
        <v>142</v>
      </c>
      <c r="R335" s="1">
        <v>234</v>
      </c>
      <c r="S335" s="1">
        <v>376</v>
      </c>
      <c r="T335" s="1">
        <v>66</v>
      </c>
      <c r="U335" s="1">
        <v>69</v>
      </c>
      <c r="V335" s="1">
        <v>135</v>
      </c>
      <c r="W335" s="1">
        <f t="shared" ref="W335:X335" si="2949">SUM(E335,H335,K335,N335,Q335,T335)</f>
        <v>1482</v>
      </c>
      <c r="X335" s="1">
        <f t="shared" si="2949"/>
        <v>1869</v>
      </c>
      <c r="Y335" s="1">
        <f t="shared" si="2301"/>
        <v>3351</v>
      </c>
      <c r="Z335" s="1">
        <f t="shared" ref="Z335:AA335" si="2950">W335-T335</f>
        <v>1416</v>
      </c>
      <c r="AA335" s="1">
        <f t="shared" si="2950"/>
        <v>1800</v>
      </c>
      <c r="AB335" s="1">
        <f t="shared" si="2303"/>
        <v>3216</v>
      </c>
      <c r="AC335" s="1">
        <f t="shared" ref="AC335:AD335" si="2951">SUM(E335,H335,K335,N335)</f>
        <v>1274</v>
      </c>
      <c r="AD335" s="1">
        <f t="shared" si="2951"/>
        <v>1566</v>
      </c>
      <c r="AE335" s="1">
        <f t="shared" si="2305"/>
        <v>2840</v>
      </c>
      <c r="AF335" s="2">
        <f t="shared" ref="AF335:AH335" si="2952">AC335/Z335</f>
        <v>0.89971751412429379</v>
      </c>
      <c r="AG335" s="2">
        <f t="shared" si="2952"/>
        <v>0.87</v>
      </c>
      <c r="AH335" s="2">
        <f t="shared" si="2952"/>
        <v>0.88308457711442789</v>
      </c>
      <c r="AI335" s="1">
        <f t="shared" ref="AI335:AJ335" si="2953">SUM(E335,H335,K335)</f>
        <v>1065</v>
      </c>
      <c r="AJ335" s="1">
        <f t="shared" si="2953"/>
        <v>1281</v>
      </c>
      <c r="AK335" s="1">
        <f t="shared" si="2308"/>
        <v>2346</v>
      </c>
      <c r="AL335" s="2">
        <f t="shared" ref="AL335:AN335" si="2954">AI335/Z335</f>
        <v>0.7521186440677966</v>
      </c>
      <c r="AM335" s="2">
        <f t="shared" si="2954"/>
        <v>0.71166666666666667</v>
      </c>
      <c r="AN335" s="2">
        <f t="shared" si="2954"/>
        <v>0.72947761194029848</v>
      </c>
      <c r="AO335" s="2">
        <f t="shared" ref="AO335:AQ335" si="2955">E335/Z335</f>
        <v>8.7570621468926552E-2</v>
      </c>
      <c r="AP335" s="2">
        <f t="shared" si="2955"/>
        <v>5.7777777777777775E-2</v>
      </c>
      <c r="AQ335" s="2">
        <f t="shared" si="2955"/>
        <v>7.0895522388059698E-2</v>
      </c>
      <c r="AR335" s="2">
        <f t="shared" si="2311"/>
        <v>0.1652542372881356</v>
      </c>
      <c r="AS335" s="2">
        <f t="shared" ref="AS335:AT335" si="2956">R335/AA335</f>
        <v>0.13</v>
      </c>
      <c r="AT335" s="2">
        <f t="shared" si="2956"/>
        <v>0.11691542288557213</v>
      </c>
      <c r="AU335" s="2">
        <f t="shared" si="2475"/>
        <v>4.4534412955465584E-2</v>
      </c>
      <c r="AV335" s="2">
        <f t="shared" si="2475"/>
        <v>3.691813804173355E-2</v>
      </c>
      <c r="AW335" s="2">
        <f t="shared" si="2596"/>
        <v>4.0286481647269473E-2</v>
      </c>
    </row>
    <row r="336" spans="1:49" ht="13" x14ac:dyDescent="0.15">
      <c r="A336" s="1">
        <v>2022</v>
      </c>
      <c r="B336" s="1" t="s">
        <v>49</v>
      </c>
      <c r="C336" s="1" t="s">
        <v>70</v>
      </c>
      <c r="D336" s="1" t="s">
        <v>143</v>
      </c>
      <c r="E336" s="1">
        <v>120</v>
      </c>
      <c r="F336" s="1">
        <v>57</v>
      </c>
      <c r="G336" s="1">
        <v>177</v>
      </c>
      <c r="H336" s="1">
        <v>872</v>
      </c>
      <c r="I336" s="1">
        <v>735</v>
      </c>
      <c r="J336" s="1">
        <v>1607</v>
      </c>
      <c r="K336" s="1">
        <v>540</v>
      </c>
      <c r="L336" s="1">
        <v>591</v>
      </c>
      <c r="M336" s="1">
        <v>1131</v>
      </c>
      <c r="N336" s="1">
        <v>652</v>
      </c>
      <c r="O336" s="1">
        <v>605</v>
      </c>
      <c r="P336" s="1">
        <v>1257</v>
      </c>
      <c r="Q336" s="1">
        <v>819</v>
      </c>
      <c r="R336" s="1">
        <v>696</v>
      </c>
      <c r="S336" s="1">
        <v>1515</v>
      </c>
      <c r="T336" s="1">
        <v>29</v>
      </c>
      <c r="U336" s="1">
        <v>37</v>
      </c>
      <c r="V336" s="1">
        <v>66</v>
      </c>
      <c r="W336" s="1">
        <f t="shared" ref="W336:X336" si="2957">SUM(E336,H336,K336,N336,Q336,T336)</f>
        <v>3032</v>
      </c>
      <c r="X336" s="1">
        <f t="shared" si="2957"/>
        <v>2721</v>
      </c>
      <c r="Y336" s="1">
        <f t="shared" si="2301"/>
        <v>5753</v>
      </c>
      <c r="Z336" s="1">
        <f t="shared" ref="Z336:AA336" si="2958">W336-T336</f>
        <v>3003</v>
      </c>
      <c r="AA336" s="1">
        <f t="shared" si="2958"/>
        <v>2684</v>
      </c>
      <c r="AB336" s="1">
        <f t="shared" si="2303"/>
        <v>5687</v>
      </c>
      <c r="AC336" s="1">
        <f t="shared" ref="AC336:AD336" si="2959">SUM(E336,H336,K336,N336)</f>
        <v>2184</v>
      </c>
      <c r="AD336" s="1">
        <f t="shared" si="2959"/>
        <v>1988</v>
      </c>
      <c r="AE336" s="1">
        <f t="shared" si="2305"/>
        <v>4172</v>
      </c>
      <c r="AF336" s="2">
        <f t="shared" ref="AF336:AH336" si="2960">AC336/Z336</f>
        <v>0.72727272727272729</v>
      </c>
      <c r="AG336" s="2">
        <f t="shared" si="2960"/>
        <v>0.74068554396423247</v>
      </c>
      <c r="AH336" s="2">
        <f t="shared" si="2960"/>
        <v>0.73360295410585541</v>
      </c>
      <c r="AI336" s="1">
        <f t="shared" ref="AI336:AJ336" si="2961">SUM(E336,H336,K336)</f>
        <v>1532</v>
      </c>
      <c r="AJ336" s="1">
        <f t="shared" si="2961"/>
        <v>1383</v>
      </c>
      <c r="AK336" s="1">
        <f t="shared" si="2308"/>
        <v>2915</v>
      </c>
      <c r="AL336" s="2">
        <f t="shared" ref="AL336:AN336" si="2962">AI336/Z336</f>
        <v>0.5101565101565102</v>
      </c>
      <c r="AM336" s="2">
        <f t="shared" si="2962"/>
        <v>0.51527570789865873</v>
      </c>
      <c r="AN336" s="2">
        <f t="shared" si="2962"/>
        <v>0.5125725338491296</v>
      </c>
      <c r="AO336" s="2">
        <f t="shared" ref="AO336:AQ336" si="2963">E336/Z336</f>
        <v>3.996003996003996E-2</v>
      </c>
      <c r="AP336" s="2">
        <f t="shared" si="2963"/>
        <v>2.1236959761549927E-2</v>
      </c>
      <c r="AQ336" s="2">
        <f t="shared" si="2963"/>
        <v>3.1123615262880253E-2</v>
      </c>
      <c r="AR336" s="2">
        <f t="shared" si="2311"/>
        <v>0.23176823176823177</v>
      </c>
      <c r="AS336" s="2">
        <f t="shared" ref="AS336:AT336" si="2964">R336/AA336</f>
        <v>0.25931445603576753</v>
      </c>
      <c r="AT336" s="2">
        <f t="shared" si="2964"/>
        <v>0.26639704589414454</v>
      </c>
      <c r="AU336" s="2">
        <f t="shared" si="2475"/>
        <v>9.5646437994722951E-3</v>
      </c>
      <c r="AV336" s="2">
        <f t="shared" si="2475"/>
        <v>1.3597941933112825E-2</v>
      </c>
      <c r="AW336" s="2">
        <f t="shared" si="2596"/>
        <v>1.1472275334608031E-2</v>
      </c>
    </row>
    <row r="337" spans="1:49" ht="13" x14ac:dyDescent="0.15">
      <c r="A337" s="1">
        <v>2022</v>
      </c>
      <c r="B337" s="1" t="s">
        <v>117</v>
      </c>
      <c r="C337" s="1" t="s">
        <v>99</v>
      </c>
      <c r="D337" s="1" t="s">
        <v>144</v>
      </c>
      <c r="E337" s="1">
        <v>167</v>
      </c>
      <c r="F337" s="1">
        <v>96</v>
      </c>
      <c r="G337" s="1">
        <v>263</v>
      </c>
      <c r="H337" s="1">
        <v>964</v>
      </c>
      <c r="I337" s="1">
        <v>794</v>
      </c>
      <c r="J337" s="1">
        <v>1758</v>
      </c>
      <c r="K337" s="1">
        <v>386</v>
      </c>
      <c r="L337" s="1">
        <v>467</v>
      </c>
      <c r="M337" s="1">
        <v>853</v>
      </c>
      <c r="N337" s="1">
        <v>214</v>
      </c>
      <c r="O337" s="1">
        <v>276</v>
      </c>
      <c r="P337" s="1">
        <v>490</v>
      </c>
      <c r="Q337" s="1">
        <v>299</v>
      </c>
      <c r="R337" s="1">
        <v>284</v>
      </c>
      <c r="S337" s="1">
        <v>583</v>
      </c>
      <c r="T337" s="1">
        <v>100</v>
      </c>
      <c r="U337" s="1">
        <v>91</v>
      </c>
      <c r="V337" s="1">
        <v>191</v>
      </c>
      <c r="W337" s="1">
        <f t="shared" ref="W337:X337" si="2965">SUM(E337,H337,K337,N337,Q337,T337)</f>
        <v>2130</v>
      </c>
      <c r="X337" s="1">
        <f t="shared" si="2965"/>
        <v>2008</v>
      </c>
      <c r="Y337" s="1">
        <f t="shared" si="2301"/>
        <v>4138</v>
      </c>
      <c r="Z337" s="1">
        <f t="shared" ref="Z337:AA337" si="2966">W337-T337</f>
        <v>2030</v>
      </c>
      <c r="AA337" s="1">
        <f t="shared" si="2966"/>
        <v>1917</v>
      </c>
      <c r="AB337" s="1">
        <f t="shared" si="2303"/>
        <v>3947</v>
      </c>
      <c r="AC337" s="1">
        <f t="shared" ref="AC337:AD337" si="2967">SUM(E337,H337,K337,N337)</f>
        <v>1731</v>
      </c>
      <c r="AD337" s="1">
        <f t="shared" si="2967"/>
        <v>1633</v>
      </c>
      <c r="AE337" s="1">
        <f t="shared" si="2305"/>
        <v>3364</v>
      </c>
      <c r="AF337" s="2">
        <f t="shared" ref="AF337:AH337" si="2968">AC337/Z337</f>
        <v>0.85270935960591132</v>
      </c>
      <c r="AG337" s="2">
        <f t="shared" si="2968"/>
        <v>0.85185185185185186</v>
      </c>
      <c r="AH337" s="2">
        <f t="shared" si="2968"/>
        <v>0.85229288066886244</v>
      </c>
      <c r="AI337" s="1">
        <f t="shared" ref="AI337:AJ337" si="2969">SUM(E337,H337,K337)</f>
        <v>1517</v>
      </c>
      <c r="AJ337" s="1">
        <f t="shared" si="2969"/>
        <v>1357</v>
      </c>
      <c r="AK337" s="1">
        <f t="shared" si="2308"/>
        <v>2874</v>
      </c>
      <c r="AL337" s="2">
        <f t="shared" ref="AL337:AN337" si="2970">AI337/Z337</f>
        <v>0.74729064039408866</v>
      </c>
      <c r="AM337" s="2">
        <f t="shared" si="2970"/>
        <v>0.70787689097548256</v>
      </c>
      <c r="AN337" s="2">
        <f t="shared" si="2970"/>
        <v>0.72814796047631114</v>
      </c>
      <c r="AO337" s="2">
        <f t="shared" ref="AO337:AQ337" si="2971">E337/Z337</f>
        <v>8.2266009852216743E-2</v>
      </c>
      <c r="AP337" s="2">
        <f t="shared" si="2971"/>
        <v>5.0078247261345854E-2</v>
      </c>
      <c r="AQ337" s="2">
        <f t="shared" si="2971"/>
        <v>6.6632885736002026E-2</v>
      </c>
      <c r="AR337" s="2">
        <f t="shared" si="2311"/>
        <v>0.13990147783251231</v>
      </c>
      <c r="AS337" s="2">
        <f t="shared" ref="AS337:AT337" si="2972">R337/AA337</f>
        <v>0.14814814814814814</v>
      </c>
      <c r="AT337" s="2">
        <f t="shared" si="2972"/>
        <v>0.14770711933113756</v>
      </c>
      <c r="AU337" s="2">
        <f t="shared" si="2475"/>
        <v>4.6948356807511735E-2</v>
      </c>
      <c r="AV337" s="2">
        <f t="shared" si="2475"/>
        <v>4.5318725099601595E-2</v>
      </c>
      <c r="AW337" s="2">
        <f t="shared" si="2596"/>
        <v>4.6157564040599321E-2</v>
      </c>
    </row>
    <row r="338" spans="1:49" ht="13" x14ac:dyDescent="0.15">
      <c r="A338" s="1">
        <v>2022</v>
      </c>
      <c r="B338" s="1" t="s">
        <v>49</v>
      </c>
      <c r="C338" s="1" t="s">
        <v>54</v>
      </c>
      <c r="D338" s="1" t="s">
        <v>145</v>
      </c>
      <c r="E338" s="1">
        <v>373</v>
      </c>
      <c r="F338" s="1">
        <v>323</v>
      </c>
      <c r="G338" s="1">
        <v>696</v>
      </c>
      <c r="H338" s="1">
        <v>858</v>
      </c>
      <c r="I338" s="1">
        <v>1018</v>
      </c>
      <c r="J338" s="1">
        <v>1876</v>
      </c>
      <c r="K338" s="1">
        <v>126</v>
      </c>
      <c r="L338" s="1">
        <v>177</v>
      </c>
      <c r="M338" s="1">
        <v>303</v>
      </c>
      <c r="N338" s="1">
        <v>48</v>
      </c>
      <c r="O338" s="1">
        <v>64</v>
      </c>
      <c r="P338" s="1">
        <v>112</v>
      </c>
      <c r="Q338" s="1">
        <v>24</v>
      </c>
      <c r="R338" s="1">
        <v>17</v>
      </c>
      <c r="S338" s="1">
        <v>41</v>
      </c>
      <c r="T338" s="1">
        <v>39</v>
      </c>
      <c r="U338" s="1">
        <v>44</v>
      </c>
      <c r="V338" s="1">
        <v>83</v>
      </c>
      <c r="W338" s="1">
        <f t="shared" ref="W338:X338" si="2973">SUM(E338,H338,K338,N338,Q338,T338)</f>
        <v>1468</v>
      </c>
      <c r="X338" s="1">
        <f t="shared" si="2973"/>
        <v>1643</v>
      </c>
      <c r="Y338" s="1">
        <f t="shared" si="2301"/>
        <v>3111</v>
      </c>
      <c r="Z338" s="1">
        <f t="shared" ref="Z338:AA338" si="2974">W338-T338</f>
        <v>1429</v>
      </c>
      <c r="AA338" s="1">
        <f t="shared" si="2974"/>
        <v>1599</v>
      </c>
      <c r="AB338" s="1">
        <f t="shared" si="2303"/>
        <v>3028</v>
      </c>
      <c r="AC338" s="1">
        <f t="shared" ref="AC338:AD338" si="2975">SUM(E338,H338,K338,N338)</f>
        <v>1405</v>
      </c>
      <c r="AD338" s="1">
        <f t="shared" si="2975"/>
        <v>1582</v>
      </c>
      <c r="AE338" s="1">
        <f t="shared" si="2305"/>
        <v>2987</v>
      </c>
      <c r="AF338" s="2">
        <f t="shared" ref="AF338:AH338" si="2976">AC338/Z338</f>
        <v>0.98320503848845342</v>
      </c>
      <c r="AG338" s="2">
        <f t="shared" si="2976"/>
        <v>0.98936835522201372</v>
      </c>
      <c r="AH338" s="2">
        <f t="shared" si="2976"/>
        <v>0.98645970937912819</v>
      </c>
      <c r="AI338" s="1">
        <f t="shared" ref="AI338:AJ338" si="2977">SUM(E338,H338,K338)</f>
        <v>1357</v>
      </c>
      <c r="AJ338" s="1">
        <f t="shared" si="2977"/>
        <v>1518</v>
      </c>
      <c r="AK338" s="1">
        <f t="shared" si="2308"/>
        <v>2875</v>
      </c>
      <c r="AL338" s="2">
        <f t="shared" ref="AL338:AN338" si="2978">AI338/Z338</f>
        <v>0.94961511546536037</v>
      </c>
      <c r="AM338" s="2">
        <f t="shared" si="2978"/>
        <v>0.94934333958724204</v>
      </c>
      <c r="AN338" s="2">
        <f t="shared" si="2978"/>
        <v>0.94947159841479523</v>
      </c>
      <c r="AO338" s="2">
        <f t="shared" ref="AO338:AQ338" si="2979">E338/Z338</f>
        <v>0.26102169349195242</v>
      </c>
      <c r="AP338" s="2">
        <f t="shared" si="2979"/>
        <v>0.20200125078173858</v>
      </c>
      <c r="AQ338" s="2">
        <f t="shared" si="2979"/>
        <v>0.22985468956406868</v>
      </c>
      <c r="AR338" s="2">
        <f t="shared" si="2311"/>
        <v>1.1896431070678797E-2</v>
      </c>
      <c r="AS338" s="2">
        <f t="shared" ref="AS338:AT338" si="2980">R338/AA338</f>
        <v>1.0631644777986242E-2</v>
      </c>
      <c r="AT338" s="2">
        <f t="shared" si="2980"/>
        <v>1.3540290620871863E-2</v>
      </c>
      <c r="AU338" s="2">
        <f t="shared" si="2475"/>
        <v>2.6566757493188011E-2</v>
      </c>
      <c r="AV338" s="2">
        <f t="shared" si="2475"/>
        <v>2.6780279975654291E-2</v>
      </c>
      <c r="AW338" s="2">
        <f t="shared" si="2596"/>
        <v>2.6679524268723883E-2</v>
      </c>
    </row>
    <row r="339" spans="1:49" ht="13" x14ac:dyDescent="0.15">
      <c r="A339" s="1">
        <v>2022</v>
      </c>
      <c r="B339" s="1" t="s">
        <v>66</v>
      </c>
      <c r="C339" s="1" t="s">
        <v>99</v>
      </c>
      <c r="D339" s="1" t="s">
        <v>146</v>
      </c>
      <c r="E339" s="1">
        <v>349</v>
      </c>
      <c r="F339" s="1">
        <v>169</v>
      </c>
      <c r="G339" s="1">
        <v>518</v>
      </c>
      <c r="H339" s="1">
        <v>1575</v>
      </c>
      <c r="I339" s="1">
        <v>1171</v>
      </c>
      <c r="J339" s="1">
        <v>2746</v>
      </c>
      <c r="K339" s="1">
        <v>675</v>
      </c>
      <c r="L339" s="1">
        <v>660</v>
      </c>
      <c r="M339" s="1">
        <v>1335</v>
      </c>
      <c r="N339" s="1">
        <v>385</v>
      </c>
      <c r="O339" s="1">
        <v>393</v>
      </c>
      <c r="P339" s="1">
        <v>778</v>
      </c>
      <c r="Q339" s="1">
        <v>235</v>
      </c>
      <c r="R339" s="1">
        <v>402</v>
      </c>
      <c r="S339" s="1">
        <v>637</v>
      </c>
      <c r="T339" s="1">
        <v>55</v>
      </c>
      <c r="U339" s="1">
        <v>48</v>
      </c>
      <c r="V339" s="1">
        <v>103</v>
      </c>
      <c r="W339" s="1">
        <f t="shared" ref="W339:X339" si="2981">SUM(E339,H339,K339,N339,Q339,T339)</f>
        <v>3274</v>
      </c>
      <c r="X339" s="1">
        <f t="shared" si="2981"/>
        <v>2843</v>
      </c>
      <c r="Y339" s="1">
        <f t="shared" si="2301"/>
        <v>6117</v>
      </c>
      <c r="Z339" s="1">
        <f t="shared" ref="Z339:AA339" si="2982">W339-T339</f>
        <v>3219</v>
      </c>
      <c r="AA339" s="1">
        <f t="shared" si="2982"/>
        <v>2795</v>
      </c>
      <c r="AB339" s="1">
        <f t="shared" si="2303"/>
        <v>6014</v>
      </c>
      <c r="AC339" s="1">
        <f t="shared" ref="AC339:AD339" si="2983">SUM(E339,H339,K339,N339)</f>
        <v>2984</v>
      </c>
      <c r="AD339" s="1">
        <f t="shared" si="2983"/>
        <v>2393</v>
      </c>
      <c r="AE339" s="1">
        <f t="shared" si="2305"/>
        <v>5377</v>
      </c>
      <c r="AF339" s="2">
        <f t="shared" ref="AF339:AH339" si="2984">AC339/Z339</f>
        <v>0.9269959614787201</v>
      </c>
      <c r="AG339" s="2">
        <f t="shared" si="2984"/>
        <v>0.8561717352415027</v>
      </c>
      <c r="AH339" s="2">
        <f t="shared" si="2984"/>
        <v>0.89408047888260722</v>
      </c>
      <c r="AI339" s="1">
        <f t="shared" ref="AI339:AJ339" si="2985">SUM(E339,H339,K339)</f>
        <v>2599</v>
      </c>
      <c r="AJ339" s="1">
        <f t="shared" si="2985"/>
        <v>2000</v>
      </c>
      <c r="AK339" s="1">
        <f t="shared" si="2308"/>
        <v>4599</v>
      </c>
      <c r="AL339" s="2">
        <f t="shared" ref="AL339:AN339" si="2986">AI339/Z339</f>
        <v>0.80739360049704878</v>
      </c>
      <c r="AM339" s="2">
        <f t="shared" si="2986"/>
        <v>0.7155635062611807</v>
      </c>
      <c r="AN339" s="2">
        <f t="shared" si="2986"/>
        <v>0.76471566345194542</v>
      </c>
      <c r="AO339" s="2">
        <f t="shared" ref="AO339:AQ339" si="2987">E339/Z339</f>
        <v>0.10841876359117739</v>
      </c>
      <c r="AP339" s="2">
        <f t="shared" si="2987"/>
        <v>6.0465116279069767E-2</v>
      </c>
      <c r="AQ339" s="2">
        <f t="shared" si="2987"/>
        <v>8.6132357831725972E-2</v>
      </c>
      <c r="AR339" s="2">
        <f t="shared" si="2311"/>
        <v>0.12488350419384903</v>
      </c>
      <c r="AS339" s="2">
        <f t="shared" ref="AS339:AT339" si="2988">R339/AA339</f>
        <v>0.1438282647584973</v>
      </c>
      <c r="AT339" s="2">
        <f t="shared" si="2988"/>
        <v>0.10591952111739275</v>
      </c>
      <c r="AU339" s="2">
        <f t="shared" si="2475"/>
        <v>1.6799022602321318E-2</v>
      </c>
      <c r="AV339" s="2">
        <f t="shared" si="2475"/>
        <v>1.6883573689764335E-2</v>
      </c>
      <c r="AW339" s="2">
        <f t="shared" si="2596"/>
        <v>1.6838319437632827E-2</v>
      </c>
    </row>
    <row r="340" spans="1:49" ht="13" x14ac:dyDescent="0.15">
      <c r="A340" s="1">
        <v>2022</v>
      </c>
      <c r="B340" s="1" t="s">
        <v>49</v>
      </c>
      <c r="C340" s="1" t="s">
        <v>52</v>
      </c>
      <c r="D340" s="1" t="s">
        <v>147</v>
      </c>
      <c r="E340" s="1">
        <v>436</v>
      </c>
      <c r="F340" s="1">
        <v>325</v>
      </c>
      <c r="G340" s="1">
        <v>761</v>
      </c>
      <c r="H340" s="1">
        <v>1078</v>
      </c>
      <c r="I340" s="1">
        <v>1164</v>
      </c>
      <c r="J340" s="1">
        <v>2242</v>
      </c>
      <c r="K340" s="1">
        <v>536</v>
      </c>
      <c r="L340" s="1">
        <v>823</v>
      </c>
      <c r="M340" s="1">
        <v>1359</v>
      </c>
      <c r="N340" s="1">
        <v>270</v>
      </c>
      <c r="O340" s="1">
        <v>483</v>
      </c>
      <c r="P340" s="1">
        <v>753</v>
      </c>
      <c r="Q340" s="1">
        <v>294</v>
      </c>
      <c r="R340" s="1">
        <v>592</v>
      </c>
      <c r="S340" s="1">
        <v>886</v>
      </c>
      <c r="T340" s="1">
        <v>110</v>
      </c>
      <c r="U340" s="1">
        <v>143</v>
      </c>
      <c r="V340" s="1">
        <v>253</v>
      </c>
      <c r="W340" s="1">
        <f t="shared" ref="W340:X340" si="2989">SUM(E340,H340,K340,N340,Q340,T340)</f>
        <v>2724</v>
      </c>
      <c r="X340" s="1">
        <f t="shared" si="2989"/>
        <v>3530</v>
      </c>
      <c r="Y340" s="1">
        <f t="shared" si="2301"/>
        <v>6254</v>
      </c>
      <c r="Z340" s="1">
        <f t="shared" ref="Z340:AA340" si="2990">W340-T340</f>
        <v>2614</v>
      </c>
      <c r="AA340" s="1">
        <f t="shared" si="2990"/>
        <v>3387</v>
      </c>
      <c r="AB340" s="1">
        <f t="shared" si="2303"/>
        <v>6001</v>
      </c>
      <c r="AC340" s="1">
        <f t="shared" ref="AC340:AD340" si="2991">SUM(E340,H340,K340,N340)</f>
        <v>2320</v>
      </c>
      <c r="AD340" s="1">
        <f t="shared" si="2991"/>
        <v>2795</v>
      </c>
      <c r="AE340" s="1">
        <f t="shared" si="2305"/>
        <v>5115</v>
      </c>
      <c r="AF340" s="2">
        <f t="shared" ref="AF340:AH340" si="2992">AC340/Z340</f>
        <v>0.88752869166029069</v>
      </c>
      <c r="AG340" s="2">
        <f t="shared" si="2992"/>
        <v>0.82521405373486867</v>
      </c>
      <c r="AH340" s="2">
        <f t="shared" si="2992"/>
        <v>0.85235794034327617</v>
      </c>
      <c r="AI340" s="1">
        <f t="shared" ref="AI340:AJ340" si="2993">SUM(E340,H340,K340)</f>
        <v>2050</v>
      </c>
      <c r="AJ340" s="1">
        <f t="shared" si="2993"/>
        <v>2312</v>
      </c>
      <c r="AK340" s="1">
        <f t="shared" si="2308"/>
        <v>4362</v>
      </c>
      <c r="AL340" s="2">
        <f t="shared" ref="AL340:AN340" si="2994">AI340/Z340</f>
        <v>0.78423871461361894</v>
      </c>
      <c r="AM340" s="2">
        <f t="shared" si="2994"/>
        <v>0.68260997933274281</v>
      </c>
      <c r="AN340" s="2">
        <f t="shared" si="2994"/>
        <v>0.72687885352441262</v>
      </c>
      <c r="AO340" s="2">
        <f t="shared" ref="AO340:AQ340" si="2995">E340/Z340</f>
        <v>0.16679418515684774</v>
      </c>
      <c r="AP340" s="2">
        <f t="shared" si="2995"/>
        <v>9.595512252731031E-2</v>
      </c>
      <c r="AQ340" s="2">
        <f t="shared" si="2995"/>
        <v>0.12681219796700549</v>
      </c>
      <c r="AR340" s="2">
        <f t="shared" si="2311"/>
        <v>0.22647283856159142</v>
      </c>
      <c r="AS340" s="2">
        <f t="shared" ref="AS340:AT340" si="2996">R340/AA340</f>
        <v>0.17478594626513139</v>
      </c>
      <c r="AT340" s="2">
        <f t="shared" si="2996"/>
        <v>0.14764205965672389</v>
      </c>
      <c r="AU340" s="2">
        <f t="shared" si="2475"/>
        <v>4.0381791483113071E-2</v>
      </c>
      <c r="AV340" s="2">
        <f t="shared" si="2475"/>
        <v>4.0509915014164309E-2</v>
      </c>
      <c r="AW340" s="2">
        <f t="shared" si="2596"/>
        <v>4.0454109370003197E-2</v>
      </c>
    </row>
    <row r="341" spans="1:49" ht="13" x14ac:dyDescent="0.15">
      <c r="A341" s="1">
        <v>2022</v>
      </c>
      <c r="B341" s="1" t="s">
        <v>49</v>
      </c>
      <c r="C341" s="1" t="s">
        <v>101</v>
      </c>
      <c r="D341" s="1" t="s">
        <v>148</v>
      </c>
      <c r="E341" s="1">
        <v>166</v>
      </c>
      <c r="F341" s="1">
        <v>140</v>
      </c>
      <c r="G341" s="1">
        <v>306</v>
      </c>
      <c r="H341" s="1">
        <v>630</v>
      </c>
      <c r="I341" s="1">
        <v>675</v>
      </c>
      <c r="J341" s="1">
        <v>1305</v>
      </c>
      <c r="K341" s="1">
        <v>304</v>
      </c>
      <c r="L341" s="1">
        <v>356</v>
      </c>
      <c r="M341" s="1">
        <v>660</v>
      </c>
      <c r="N341" s="1">
        <v>153</v>
      </c>
      <c r="O341" s="1">
        <v>182</v>
      </c>
      <c r="P341" s="1">
        <v>335</v>
      </c>
      <c r="Q341" s="1">
        <v>128</v>
      </c>
      <c r="R341" s="1">
        <v>152</v>
      </c>
      <c r="S341" s="1">
        <v>280</v>
      </c>
      <c r="T341" s="1">
        <v>50</v>
      </c>
      <c r="U341" s="1">
        <v>43</v>
      </c>
      <c r="V341" s="1">
        <v>93</v>
      </c>
      <c r="W341" s="1">
        <f t="shared" ref="W341:X341" si="2997">SUM(E341,H341,K341,N341,Q341,T341)</f>
        <v>1431</v>
      </c>
      <c r="X341" s="1">
        <f t="shared" si="2997"/>
        <v>1548</v>
      </c>
      <c r="Y341" s="1">
        <f t="shared" si="2301"/>
        <v>2979</v>
      </c>
      <c r="Z341" s="1">
        <f t="shared" ref="Z341:AA341" si="2998">W341-T341</f>
        <v>1381</v>
      </c>
      <c r="AA341" s="1">
        <f t="shared" si="2998"/>
        <v>1505</v>
      </c>
      <c r="AB341" s="1">
        <f t="shared" si="2303"/>
        <v>2886</v>
      </c>
      <c r="AC341" s="1">
        <f t="shared" ref="AC341:AD341" si="2999">SUM(E341,H341,K341,N341)</f>
        <v>1253</v>
      </c>
      <c r="AD341" s="1">
        <f t="shared" si="2999"/>
        <v>1353</v>
      </c>
      <c r="AE341" s="1">
        <f t="shared" si="2305"/>
        <v>2606</v>
      </c>
      <c r="AF341" s="2">
        <f t="shared" ref="AF341:AH341" si="3000">AC341/Z341</f>
        <v>0.90731354091238237</v>
      </c>
      <c r="AG341" s="2">
        <f t="shared" si="3000"/>
        <v>0.89900332225913626</v>
      </c>
      <c r="AH341" s="2">
        <f t="shared" si="3000"/>
        <v>0.90297990297990294</v>
      </c>
      <c r="AI341" s="1">
        <f t="shared" ref="AI341:AJ341" si="3001">SUM(E341,H341,K341)</f>
        <v>1100</v>
      </c>
      <c r="AJ341" s="1">
        <f t="shared" si="3001"/>
        <v>1171</v>
      </c>
      <c r="AK341" s="1">
        <f t="shared" si="2308"/>
        <v>2271</v>
      </c>
      <c r="AL341" s="2">
        <f t="shared" ref="AL341:AN341" si="3002">AI341/Z341</f>
        <v>0.79652425778421432</v>
      </c>
      <c r="AM341" s="2">
        <f t="shared" si="3002"/>
        <v>0.77807308970099665</v>
      </c>
      <c r="AN341" s="2">
        <f t="shared" si="3002"/>
        <v>0.78690228690228692</v>
      </c>
      <c r="AO341" s="2">
        <f t="shared" ref="AO341:AQ341" si="3003">E341/Z341</f>
        <v>0.12020275162925416</v>
      </c>
      <c r="AP341" s="2">
        <f t="shared" si="3003"/>
        <v>9.3023255813953487E-2</v>
      </c>
      <c r="AQ341" s="2">
        <f t="shared" si="3003"/>
        <v>0.10602910602910603</v>
      </c>
      <c r="AR341" s="2">
        <f t="shared" si="2311"/>
        <v>0.11006517016654598</v>
      </c>
      <c r="AS341" s="2">
        <f t="shared" ref="AS341:AT341" si="3004">R341/AA341</f>
        <v>0.10099667774086379</v>
      </c>
      <c r="AT341" s="2">
        <f t="shared" si="3004"/>
        <v>9.7020097020097021E-2</v>
      </c>
      <c r="AU341" s="2">
        <f t="shared" si="2475"/>
        <v>3.494060097833683E-2</v>
      </c>
      <c r="AV341" s="2">
        <f t="shared" si="2475"/>
        <v>2.7777777777777776E-2</v>
      </c>
      <c r="AW341" s="2">
        <f t="shared" si="2596"/>
        <v>3.1218529707955689E-2</v>
      </c>
    </row>
    <row r="342" spans="1:49" ht="13" x14ac:dyDescent="0.15">
      <c r="A342" s="1">
        <v>2022</v>
      </c>
      <c r="B342" s="1" t="s">
        <v>49</v>
      </c>
      <c r="C342" s="1" t="s">
        <v>78</v>
      </c>
      <c r="D342" s="1" t="s">
        <v>149</v>
      </c>
      <c r="E342" s="1">
        <v>161</v>
      </c>
      <c r="F342" s="1">
        <v>133</v>
      </c>
      <c r="G342" s="1">
        <v>294</v>
      </c>
      <c r="H342" s="1">
        <v>875</v>
      </c>
      <c r="I342" s="1">
        <v>708</v>
      </c>
      <c r="J342" s="1">
        <v>1583</v>
      </c>
      <c r="K342" s="1">
        <v>506</v>
      </c>
      <c r="L342" s="1">
        <v>444</v>
      </c>
      <c r="M342" s="1">
        <v>950</v>
      </c>
      <c r="N342" s="1">
        <v>431</v>
      </c>
      <c r="O342" s="1">
        <v>310</v>
      </c>
      <c r="P342" s="1">
        <v>741</v>
      </c>
      <c r="Q342" s="1">
        <v>590</v>
      </c>
      <c r="R342" s="1">
        <v>612</v>
      </c>
      <c r="S342" s="1">
        <v>1202</v>
      </c>
      <c r="T342" s="1">
        <v>57</v>
      </c>
      <c r="U342" s="1">
        <v>57</v>
      </c>
      <c r="V342" s="1">
        <v>114</v>
      </c>
      <c r="W342" s="1">
        <f t="shared" ref="W342:X342" si="3005">SUM(E342,H342,K342,N342,Q342,T342)</f>
        <v>2620</v>
      </c>
      <c r="X342" s="1">
        <f t="shared" si="3005"/>
        <v>2264</v>
      </c>
      <c r="Y342" s="1">
        <f t="shared" si="2301"/>
        <v>4884</v>
      </c>
      <c r="Z342" s="1">
        <f t="shared" ref="Z342:AA342" si="3006">W342-T342</f>
        <v>2563</v>
      </c>
      <c r="AA342" s="1">
        <f t="shared" si="3006"/>
        <v>2207</v>
      </c>
      <c r="AB342" s="1">
        <f t="shared" si="2303"/>
        <v>4770</v>
      </c>
      <c r="AC342" s="1">
        <f t="shared" ref="AC342:AD342" si="3007">SUM(E342,H342,K342,N342)</f>
        <v>1973</v>
      </c>
      <c r="AD342" s="1">
        <f t="shared" si="3007"/>
        <v>1595</v>
      </c>
      <c r="AE342" s="1">
        <f t="shared" si="2305"/>
        <v>3568</v>
      </c>
      <c r="AF342" s="2">
        <f t="shared" ref="AF342:AH342" si="3008">AC342/Z342</f>
        <v>0.76980101443620752</v>
      </c>
      <c r="AG342" s="2">
        <f t="shared" si="3008"/>
        <v>0.72270049841413686</v>
      </c>
      <c r="AH342" s="2">
        <f t="shared" si="3008"/>
        <v>0.74800838574423478</v>
      </c>
      <c r="AI342" s="1">
        <f t="shared" ref="AI342:AJ342" si="3009">SUM(E342,H342,K342)</f>
        <v>1542</v>
      </c>
      <c r="AJ342" s="1">
        <f t="shared" si="3009"/>
        <v>1285</v>
      </c>
      <c r="AK342" s="1">
        <f t="shared" si="2308"/>
        <v>2827</v>
      </c>
      <c r="AL342" s="2">
        <f t="shared" ref="AL342:AN342" si="3010">AI342/Z342</f>
        <v>0.60163870464299651</v>
      </c>
      <c r="AM342" s="2">
        <f t="shared" si="3010"/>
        <v>0.58223833257816038</v>
      </c>
      <c r="AN342" s="2">
        <f t="shared" si="3010"/>
        <v>0.59266247379454928</v>
      </c>
      <c r="AO342" s="2">
        <f t="shared" ref="AO342:AQ342" si="3011">E342/Z342</f>
        <v>6.281701131486539E-2</v>
      </c>
      <c r="AP342" s="2">
        <f t="shared" si="3011"/>
        <v>6.0262800181241506E-2</v>
      </c>
      <c r="AQ342" s="2">
        <f t="shared" si="3011"/>
        <v>6.1635220125786164E-2</v>
      </c>
      <c r="AR342" s="2">
        <f t="shared" si="2311"/>
        <v>0.23878267655091689</v>
      </c>
      <c r="AS342" s="2">
        <f t="shared" ref="AS342:AT342" si="3012">R342/AA342</f>
        <v>0.27729950158586314</v>
      </c>
      <c r="AT342" s="2">
        <f t="shared" si="3012"/>
        <v>0.25199161425576522</v>
      </c>
      <c r="AU342" s="2">
        <f t="shared" si="2475"/>
        <v>2.1755725190839695E-2</v>
      </c>
      <c r="AV342" s="2">
        <f t="shared" si="2475"/>
        <v>2.517667844522968E-2</v>
      </c>
      <c r="AW342" s="2">
        <f t="shared" si="2596"/>
        <v>2.334152334152334E-2</v>
      </c>
    </row>
    <row r="343" spans="1:49" ht="13" x14ac:dyDescent="0.15">
      <c r="A343" s="1">
        <v>2022</v>
      </c>
      <c r="B343" s="1" t="s">
        <v>66</v>
      </c>
      <c r="C343" s="1" t="s">
        <v>67</v>
      </c>
      <c r="D343" s="1" t="s">
        <v>150</v>
      </c>
      <c r="E343" s="1">
        <v>162</v>
      </c>
      <c r="F343" s="1">
        <v>73</v>
      </c>
      <c r="G343" s="1">
        <v>235</v>
      </c>
      <c r="H343" s="1">
        <v>1038</v>
      </c>
      <c r="I343" s="1">
        <v>702</v>
      </c>
      <c r="J343" s="1">
        <v>1740</v>
      </c>
      <c r="K343" s="1">
        <v>565</v>
      </c>
      <c r="L343" s="1">
        <v>509</v>
      </c>
      <c r="M343" s="1">
        <v>1074</v>
      </c>
      <c r="N343" s="1">
        <v>299</v>
      </c>
      <c r="O343" s="1">
        <v>293</v>
      </c>
      <c r="P343" s="1">
        <v>592</v>
      </c>
      <c r="Q343" s="1">
        <v>189</v>
      </c>
      <c r="R343" s="1">
        <v>212</v>
      </c>
      <c r="S343" s="1">
        <v>401</v>
      </c>
      <c r="T343" s="1">
        <v>93</v>
      </c>
      <c r="U343" s="1">
        <v>50</v>
      </c>
      <c r="V343" s="1">
        <v>143</v>
      </c>
      <c r="W343" s="1">
        <f t="shared" ref="W343:X343" si="3013">SUM(E343,H343,K343,N343,Q343,T343)</f>
        <v>2346</v>
      </c>
      <c r="X343" s="1">
        <f t="shared" si="3013"/>
        <v>1839</v>
      </c>
      <c r="Y343" s="1">
        <f t="shared" si="2301"/>
        <v>4185</v>
      </c>
      <c r="Z343" s="1">
        <f t="shared" ref="Z343:AA343" si="3014">W343-T343</f>
        <v>2253</v>
      </c>
      <c r="AA343" s="1">
        <f t="shared" si="3014"/>
        <v>1789</v>
      </c>
      <c r="AB343" s="1">
        <f t="shared" si="2303"/>
        <v>4042</v>
      </c>
      <c r="AC343" s="1">
        <f t="shared" ref="AC343:AD343" si="3015">SUM(E343,H343,K343,N343)</f>
        <v>2064</v>
      </c>
      <c r="AD343" s="1">
        <f t="shared" si="3015"/>
        <v>1577</v>
      </c>
      <c r="AE343" s="1">
        <f t="shared" si="2305"/>
        <v>3641</v>
      </c>
      <c r="AF343" s="2">
        <f t="shared" ref="AF343:AH343" si="3016">AC343/Z343</f>
        <v>0.91611185086551261</v>
      </c>
      <c r="AG343" s="2">
        <f t="shared" si="3016"/>
        <v>0.88149804359977646</v>
      </c>
      <c r="AH343" s="2">
        <f t="shared" si="3016"/>
        <v>0.90079168728352299</v>
      </c>
      <c r="AI343" s="1">
        <f t="shared" ref="AI343:AJ343" si="3017">SUM(E343,H343,K343)</f>
        <v>1765</v>
      </c>
      <c r="AJ343" s="1">
        <f t="shared" si="3017"/>
        <v>1284</v>
      </c>
      <c r="AK343" s="1">
        <f t="shared" si="2308"/>
        <v>3049</v>
      </c>
      <c r="AL343" s="2">
        <f t="shared" ref="AL343:AN343" si="3018">AI343/Z343</f>
        <v>0.78339991122947183</v>
      </c>
      <c r="AM343" s="2">
        <f t="shared" si="3018"/>
        <v>0.71771939631078818</v>
      </c>
      <c r="AN343" s="2">
        <f t="shared" si="3018"/>
        <v>0.75432953983176643</v>
      </c>
      <c r="AO343" s="2">
        <f t="shared" ref="AO343:AQ343" si="3019">E343/Z343</f>
        <v>7.1904127829560585E-2</v>
      </c>
      <c r="AP343" s="2">
        <f t="shared" si="3019"/>
        <v>4.0804918949133594E-2</v>
      </c>
      <c r="AQ343" s="2">
        <f t="shared" si="3019"/>
        <v>5.8139534883720929E-2</v>
      </c>
      <c r="AR343" s="2">
        <f t="shared" si="2311"/>
        <v>9.4096759875721261E-2</v>
      </c>
      <c r="AS343" s="2">
        <f t="shared" ref="AS343:AT343" si="3020">R343/AA343</f>
        <v>0.11850195640022358</v>
      </c>
      <c r="AT343" s="2">
        <f t="shared" si="3020"/>
        <v>9.9208312716476996E-2</v>
      </c>
      <c r="AU343" s="2">
        <f t="shared" si="2475"/>
        <v>3.9641943734015347E-2</v>
      </c>
      <c r="AV343" s="2">
        <f t="shared" si="2475"/>
        <v>2.7188689505165852E-2</v>
      </c>
      <c r="AW343" s="2">
        <f t="shared" si="2596"/>
        <v>3.4169653524492236E-2</v>
      </c>
    </row>
    <row r="344" spans="1:49" ht="13" x14ac:dyDescent="0.15">
      <c r="A344" s="1">
        <v>2022</v>
      </c>
      <c r="B344" s="1" t="s">
        <v>49</v>
      </c>
      <c r="C344" s="1" t="s">
        <v>80</v>
      </c>
      <c r="D344" s="1" t="s">
        <v>151</v>
      </c>
      <c r="E344" s="1">
        <v>149</v>
      </c>
      <c r="F344" s="1">
        <v>57</v>
      </c>
      <c r="G344" s="1">
        <v>206</v>
      </c>
      <c r="H344" s="1">
        <v>897</v>
      </c>
      <c r="I344" s="1">
        <v>741</v>
      </c>
      <c r="J344" s="1">
        <v>1638</v>
      </c>
      <c r="K344" s="1">
        <v>418</v>
      </c>
      <c r="L344" s="1">
        <v>446</v>
      </c>
      <c r="M344" s="1">
        <v>864</v>
      </c>
      <c r="N344" s="1">
        <v>315</v>
      </c>
      <c r="O344" s="1">
        <v>273</v>
      </c>
      <c r="P344" s="1">
        <v>588</v>
      </c>
      <c r="Q344" s="1">
        <v>457</v>
      </c>
      <c r="R344" s="1">
        <v>427</v>
      </c>
      <c r="S344" s="1">
        <v>884</v>
      </c>
      <c r="T344" s="1">
        <v>21</v>
      </c>
      <c r="U344" s="1">
        <v>34</v>
      </c>
      <c r="V344" s="1">
        <v>55</v>
      </c>
      <c r="W344" s="1">
        <f t="shared" ref="W344:X344" si="3021">SUM(E344,H344,K344,N344,Q344,T344)</f>
        <v>2257</v>
      </c>
      <c r="X344" s="1">
        <f t="shared" si="3021"/>
        <v>1978</v>
      </c>
      <c r="Y344" s="1">
        <f t="shared" si="2301"/>
        <v>4235</v>
      </c>
      <c r="Z344" s="1">
        <f t="shared" ref="Z344:AA344" si="3022">W344-T344</f>
        <v>2236</v>
      </c>
      <c r="AA344" s="1">
        <f t="shared" si="3022"/>
        <v>1944</v>
      </c>
      <c r="AB344" s="1">
        <f t="shared" si="2303"/>
        <v>4180</v>
      </c>
      <c r="AC344" s="1">
        <f t="shared" ref="AC344:AD344" si="3023">SUM(E344,H344,K344,N344)</f>
        <v>1779</v>
      </c>
      <c r="AD344" s="1">
        <f t="shared" si="3023"/>
        <v>1517</v>
      </c>
      <c r="AE344" s="1">
        <f t="shared" si="2305"/>
        <v>3296</v>
      </c>
      <c r="AF344" s="2">
        <f t="shared" ref="AF344:AH344" si="3024">AC344/Z344</f>
        <v>0.79561717352415029</v>
      </c>
      <c r="AG344" s="2">
        <f t="shared" si="3024"/>
        <v>0.78034979423868311</v>
      </c>
      <c r="AH344" s="2">
        <f t="shared" si="3024"/>
        <v>0.78851674641148328</v>
      </c>
      <c r="AI344" s="1">
        <f t="shared" ref="AI344:AJ344" si="3025">SUM(E344,H344,K344)</f>
        <v>1464</v>
      </c>
      <c r="AJ344" s="1">
        <f t="shared" si="3025"/>
        <v>1244</v>
      </c>
      <c r="AK344" s="1">
        <f t="shared" si="2308"/>
        <v>2708</v>
      </c>
      <c r="AL344" s="2">
        <f t="shared" ref="AL344:AN344" si="3026">AI344/Z344</f>
        <v>0.65474060822898028</v>
      </c>
      <c r="AM344" s="2">
        <f t="shared" si="3026"/>
        <v>0.63991769547325106</v>
      </c>
      <c r="AN344" s="2">
        <f t="shared" si="3026"/>
        <v>0.64784688995215312</v>
      </c>
      <c r="AO344" s="2">
        <f t="shared" ref="AO344:AQ344" si="3027">E344/Z344</f>
        <v>6.6636851520572457E-2</v>
      </c>
      <c r="AP344" s="2">
        <f t="shared" si="3027"/>
        <v>2.9320987654320986E-2</v>
      </c>
      <c r="AQ344" s="2">
        <f t="shared" si="3027"/>
        <v>4.9282296650717705E-2</v>
      </c>
      <c r="AR344" s="2">
        <f t="shared" si="2311"/>
        <v>0.1909660107334526</v>
      </c>
      <c r="AS344" s="2">
        <f t="shared" ref="AS344:AT344" si="3028">R344/AA344</f>
        <v>0.21965020576131689</v>
      </c>
      <c r="AT344" s="2">
        <f t="shared" si="3028"/>
        <v>0.21148325358851675</v>
      </c>
      <c r="AU344" s="2">
        <f t="shared" si="2475"/>
        <v>9.3043863535666807E-3</v>
      </c>
      <c r="AV344" s="2">
        <f t="shared" si="2475"/>
        <v>1.7189079878665317E-2</v>
      </c>
      <c r="AW344" s="2">
        <f t="shared" si="2596"/>
        <v>1.2987012987012988E-2</v>
      </c>
    </row>
    <row r="345" spans="1:49" ht="13" x14ac:dyDescent="0.15">
      <c r="A345" s="1">
        <v>2023</v>
      </c>
      <c r="B345" s="1" t="s">
        <v>74</v>
      </c>
      <c r="C345" s="1" t="s">
        <v>75</v>
      </c>
      <c r="D345" s="1" t="s">
        <v>202</v>
      </c>
      <c r="E345" s="1">
        <v>15</v>
      </c>
      <c r="F345" s="1">
        <v>3</v>
      </c>
      <c r="G345" s="1">
        <v>18</v>
      </c>
      <c r="H345" s="1">
        <v>165</v>
      </c>
      <c r="I345" s="1">
        <v>90</v>
      </c>
      <c r="J345" s="1">
        <v>255</v>
      </c>
      <c r="K345" s="1">
        <v>80</v>
      </c>
      <c r="L345" s="1">
        <v>65</v>
      </c>
      <c r="M345" s="1">
        <v>145</v>
      </c>
      <c r="N345" s="1">
        <v>24</v>
      </c>
      <c r="O345" s="1">
        <v>25</v>
      </c>
      <c r="P345" s="1">
        <v>49</v>
      </c>
      <c r="Q345" s="1">
        <v>28</v>
      </c>
      <c r="R345" s="1">
        <v>37</v>
      </c>
      <c r="S345" s="1">
        <v>65</v>
      </c>
      <c r="T345" s="1">
        <v>7</v>
      </c>
      <c r="U345" s="1">
        <v>7</v>
      </c>
      <c r="V345" s="1">
        <v>14</v>
      </c>
      <c r="W345" s="1">
        <f t="shared" ref="W345:X345" si="3029">SUM(E345,H345,K345,N345,Q345,T345)</f>
        <v>319</v>
      </c>
      <c r="X345" s="1">
        <f t="shared" si="3029"/>
        <v>227</v>
      </c>
      <c r="Y345" s="1">
        <f t="shared" si="2301"/>
        <v>546</v>
      </c>
      <c r="Z345" s="1">
        <f t="shared" ref="Z345:AA345" si="3030">W345-T345</f>
        <v>312</v>
      </c>
      <c r="AA345" s="1">
        <f t="shared" si="3030"/>
        <v>220</v>
      </c>
      <c r="AB345" s="1">
        <f t="shared" si="2303"/>
        <v>532</v>
      </c>
      <c r="AC345" s="1">
        <f t="shared" ref="AC345:AD345" si="3031">SUM(E345,H345,K345,N345)</f>
        <v>284</v>
      </c>
      <c r="AD345" s="1">
        <f t="shared" si="3031"/>
        <v>183</v>
      </c>
      <c r="AE345" s="1">
        <f t="shared" si="2305"/>
        <v>467</v>
      </c>
      <c r="AF345" s="2">
        <f t="shared" ref="AF345:AH345" si="3032">AC345/Z345</f>
        <v>0.91025641025641024</v>
      </c>
      <c r="AG345" s="2">
        <f t="shared" si="3032"/>
        <v>0.83181818181818179</v>
      </c>
      <c r="AH345" s="2">
        <f t="shared" si="3032"/>
        <v>0.8778195488721805</v>
      </c>
      <c r="AI345" s="1">
        <f t="shared" ref="AI345:AJ345" si="3033">SUM(E345,H345,K345)</f>
        <v>260</v>
      </c>
      <c r="AJ345" s="1">
        <f t="shared" si="3033"/>
        <v>158</v>
      </c>
      <c r="AK345" s="1">
        <f t="shared" si="2308"/>
        <v>418</v>
      </c>
      <c r="AL345" s="2">
        <f t="shared" ref="AL345:AN345" si="3034">AI345/Z345</f>
        <v>0.83333333333333337</v>
      </c>
      <c r="AM345" s="2">
        <f t="shared" si="3034"/>
        <v>0.71818181818181814</v>
      </c>
      <c r="AN345" s="2">
        <f t="shared" si="3034"/>
        <v>0.7857142857142857</v>
      </c>
      <c r="AO345" s="2">
        <f t="shared" ref="AO345:AQ345" si="3035">E345/Z345</f>
        <v>4.807692307692308E-2</v>
      </c>
      <c r="AP345" s="2">
        <f t="shared" si="3035"/>
        <v>1.3636363636363636E-2</v>
      </c>
      <c r="AQ345" s="2">
        <f t="shared" si="3035"/>
        <v>3.3834586466165412E-2</v>
      </c>
      <c r="AR345" s="2">
        <f t="shared" si="2311"/>
        <v>0.11858974358974358</v>
      </c>
      <c r="AS345" s="2">
        <f t="shared" ref="AS345:AT345" si="3036">R345/AA345</f>
        <v>0.16818181818181818</v>
      </c>
      <c r="AT345" s="2">
        <f t="shared" si="3036"/>
        <v>0.12218045112781954</v>
      </c>
      <c r="AU345" s="2">
        <f t="shared" si="2475"/>
        <v>2.1943573667711599E-2</v>
      </c>
      <c r="AV345" s="2">
        <f t="shared" si="2475"/>
        <v>3.0837004405286344E-2</v>
      </c>
      <c r="AW345" s="2">
        <f t="shared" si="2596"/>
        <v>2.564102564102564E-2</v>
      </c>
    </row>
    <row r="346" spans="1:49" ht="13" x14ac:dyDescent="0.15">
      <c r="A346" s="1">
        <v>2022</v>
      </c>
      <c r="B346" s="1" t="s">
        <v>49</v>
      </c>
      <c r="C346" s="1" t="s">
        <v>59</v>
      </c>
      <c r="D346" s="1" t="s">
        <v>152</v>
      </c>
      <c r="E346" s="1">
        <v>279</v>
      </c>
      <c r="F346" s="1">
        <v>215</v>
      </c>
      <c r="G346" s="1">
        <v>494</v>
      </c>
      <c r="H346" s="1">
        <v>1259</v>
      </c>
      <c r="I346" s="1">
        <v>1241</v>
      </c>
      <c r="J346" s="1">
        <v>2500</v>
      </c>
      <c r="K346" s="1">
        <v>759</v>
      </c>
      <c r="L346" s="1">
        <v>771</v>
      </c>
      <c r="M346" s="1">
        <v>1530</v>
      </c>
      <c r="N346" s="1">
        <v>482</v>
      </c>
      <c r="O346" s="1">
        <v>529</v>
      </c>
      <c r="P346" s="1">
        <v>1011</v>
      </c>
      <c r="Q346" s="1">
        <v>669</v>
      </c>
      <c r="R346" s="1">
        <v>758</v>
      </c>
      <c r="S346" s="1">
        <v>1427</v>
      </c>
      <c r="T346" s="1">
        <v>25</v>
      </c>
      <c r="U346" s="1">
        <v>44</v>
      </c>
      <c r="V346" s="1">
        <v>69</v>
      </c>
      <c r="W346" s="1">
        <f t="shared" ref="W346:X346" si="3037">SUM(E346,H346,K346,N346,Q346,T346)</f>
        <v>3473</v>
      </c>
      <c r="X346" s="1">
        <f t="shared" si="3037"/>
        <v>3558</v>
      </c>
      <c r="Y346" s="1">
        <f t="shared" si="2301"/>
        <v>7031</v>
      </c>
      <c r="Z346" s="1">
        <f t="shared" ref="Z346:AA346" si="3038">W346-T346</f>
        <v>3448</v>
      </c>
      <c r="AA346" s="1">
        <f t="shared" si="3038"/>
        <v>3514</v>
      </c>
      <c r="AB346" s="1">
        <f t="shared" si="2303"/>
        <v>6962</v>
      </c>
      <c r="AC346" s="1">
        <f t="shared" ref="AC346:AD346" si="3039">SUM(E346,H346,K346,N346)</f>
        <v>2779</v>
      </c>
      <c r="AD346" s="1">
        <f t="shared" si="3039"/>
        <v>2756</v>
      </c>
      <c r="AE346" s="1">
        <f t="shared" si="2305"/>
        <v>5535</v>
      </c>
      <c r="AF346" s="2">
        <f t="shared" ref="AF346:AH346" si="3040">AC346/Z346</f>
        <v>0.80597447795823662</v>
      </c>
      <c r="AG346" s="2">
        <f t="shared" si="3040"/>
        <v>0.78429140580535006</v>
      </c>
      <c r="AH346" s="2">
        <f t="shared" si="3040"/>
        <v>0.79503016374604996</v>
      </c>
      <c r="AI346" s="1">
        <f t="shared" ref="AI346:AJ346" si="3041">SUM(E346,H346,K346)</f>
        <v>2297</v>
      </c>
      <c r="AJ346" s="1">
        <f t="shared" si="3041"/>
        <v>2227</v>
      </c>
      <c r="AK346" s="1">
        <f t="shared" si="2308"/>
        <v>4524</v>
      </c>
      <c r="AL346" s="2">
        <f t="shared" ref="AL346:AN346" si="3042">AI346/Z346</f>
        <v>0.66618329466357307</v>
      </c>
      <c r="AM346" s="2">
        <f t="shared" si="3042"/>
        <v>0.63375071143995443</v>
      </c>
      <c r="AN346" s="2">
        <f t="shared" si="3042"/>
        <v>0.649813272048262</v>
      </c>
      <c r="AO346" s="2">
        <f t="shared" ref="AO346:AQ346" si="3043">E346/Z346</f>
        <v>8.0916473317865431E-2</v>
      </c>
      <c r="AP346" s="2">
        <f t="shared" si="3043"/>
        <v>6.1183836084234493E-2</v>
      </c>
      <c r="AQ346" s="2">
        <f t="shared" si="3043"/>
        <v>7.0956621660442407E-2</v>
      </c>
      <c r="AR346" s="2">
        <f t="shared" si="2311"/>
        <v>0.21983758700696054</v>
      </c>
      <c r="AS346" s="2">
        <f t="shared" ref="AS346:AT346" si="3044">R346/AA346</f>
        <v>0.21570859419464997</v>
      </c>
      <c r="AT346" s="2">
        <f t="shared" si="3044"/>
        <v>0.20496983625395002</v>
      </c>
      <c r="AU346" s="2">
        <f t="shared" si="2475"/>
        <v>7.1983875611862942E-3</v>
      </c>
      <c r="AV346" s="2">
        <f t="shared" si="2475"/>
        <v>1.2366498032602586E-2</v>
      </c>
      <c r="AW346" s="2">
        <f t="shared" si="2596"/>
        <v>9.8136822642582843E-3</v>
      </c>
    </row>
    <row r="347" spans="1:49" ht="13" x14ac:dyDescent="0.15">
      <c r="A347" s="1">
        <v>2022</v>
      </c>
      <c r="B347" s="1" t="s">
        <v>49</v>
      </c>
      <c r="C347" s="1" t="s">
        <v>80</v>
      </c>
      <c r="D347" s="1" t="s">
        <v>153</v>
      </c>
      <c r="E347" s="1">
        <v>126</v>
      </c>
      <c r="F347" s="1">
        <v>59</v>
      </c>
      <c r="G347" s="1">
        <v>185</v>
      </c>
      <c r="H347" s="1">
        <v>684</v>
      </c>
      <c r="I347" s="1">
        <v>557</v>
      </c>
      <c r="J347" s="1">
        <v>1241</v>
      </c>
      <c r="K347" s="1">
        <v>270</v>
      </c>
      <c r="L347" s="1">
        <v>275</v>
      </c>
      <c r="M347" s="1">
        <v>545</v>
      </c>
      <c r="N347" s="1">
        <v>216</v>
      </c>
      <c r="O347" s="1">
        <v>193</v>
      </c>
      <c r="P347" s="1">
        <v>409</v>
      </c>
      <c r="Q347" s="1">
        <v>224</v>
      </c>
      <c r="R347" s="1">
        <v>232</v>
      </c>
      <c r="S347" s="1">
        <v>456</v>
      </c>
      <c r="T347" s="1">
        <v>18</v>
      </c>
      <c r="U347" s="1">
        <v>20</v>
      </c>
      <c r="V347" s="1">
        <v>38</v>
      </c>
      <c r="W347" s="1">
        <f t="shared" ref="W347:X347" si="3045">SUM(E347,H347,K347,N347,Q347,T347)</f>
        <v>1538</v>
      </c>
      <c r="X347" s="1">
        <f t="shared" si="3045"/>
        <v>1336</v>
      </c>
      <c r="Y347" s="1">
        <f t="shared" si="2301"/>
        <v>2874</v>
      </c>
      <c r="Z347" s="1">
        <f t="shared" ref="Z347:AA347" si="3046">W347-T347</f>
        <v>1520</v>
      </c>
      <c r="AA347" s="1">
        <f t="shared" si="3046"/>
        <v>1316</v>
      </c>
      <c r="AB347" s="1">
        <f t="shared" si="2303"/>
        <v>2836</v>
      </c>
      <c r="AC347" s="1">
        <f t="shared" ref="AC347:AD347" si="3047">SUM(E347,H347,K347,N347)</f>
        <v>1296</v>
      </c>
      <c r="AD347" s="1">
        <f t="shared" si="3047"/>
        <v>1084</v>
      </c>
      <c r="AE347" s="1">
        <f t="shared" si="2305"/>
        <v>2380</v>
      </c>
      <c r="AF347" s="2">
        <f t="shared" ref="AF347:AH347" si="3048">AC347/Z347</f>
        <v>0.85263157894736841</v>
      </c>
      <c r="AG347" s="2">
        <f t="shared" si="3048"/>
        <v>0.82370820668693012</v>
      </c>
      <c r="AH347" s="2">
        <f t="shared" si="3048"/>
        <v>0.83921015514809594</v>
      </c>
      <c r="AI347" s="1">
        <f t="shared" ref="AI347:AJ347" si="3049">SUM(E347,H347,K347)</f>
        <v>1080</v>
      </c>
      <c r="AJ347" s="1">
        <f t="shared" si="3049"/>
        <v>891</v>
      </c>
      <c r="AK347" s="1">
        <f t="shared" si="2308"/>
        <v>1971</v>
      </c>
      <c r="AL347" s="2">
        <f t="shared" ref="AL347:AN347" si="3050">AI347/Z347</f>
        <v>0.71052631578947367</v>
      </c>
      <c r="AM347" s="2">
        <f t="shared" si="3050"/>
        <v>0.67705167173252279</v>
      </c>
      <c r="AN347" s="2">
        <f t="shared" si="3050"/>
        <v>0.69499294781382226</v>
      </c>
      <c r="AO347" s="2">
        <f t="shared" ref="AO347:AQ347" si="3051">E347/Z347</f>
        <v>8.2894736842105257E-2</v>
      </c>
      <c r="AP347" s="2">
        <f t="shared" si="3051"/>
        <v>4.4832826747720364E-2</v>
      </c>
      <c r="AQ347" s="2">
        <f t="shared" si="3051"/>
        <v>6.5232722143864594E-2</v>
      </c>
      <c r="AR347" s="2">
        <f t="shared" si="2311"/>
        <v>0.15263157894736842</v>
      </c>
      <c r="AS347" s="2">
        <f t="shared" ref="AS347:AT347" si="3052">R347/AA347</f>
        <v>0.17629179331306991</v>
      </c>
      <c r="AT347" s="2">
        <f t="shared" si="3052"/>
        <v>0.16078984485190409</v>
      </c>
      <c r="AU347" s="2">
        <f t="shared" si="2475"/>
        <v>1.1703511053315995E-2</v>
      </c>
      <c r="AV347" s="2">
        <f t="shared" si="2475"/>
        <v>1.4970059880239521E-2</v>
      </c>
      <c r="AW347" s="2">
        <f t="shared" si="2596"/>
        <v>1.3221990257480862E-2</v>
      </c>
    </row>
    <row r="348" spans="1:49" ht="13" x14ac:dyDescent="0.15">
      <c r="A348" s="1">
        <v>2022</v>
      </c>
      <c r="B348" s="1" t="s">
        <v>49</v>
      </c>
      <c r="C348" s="1" t="s">
        <v>62</v>
      </c>
      <c r="D348" s="1" t="s">
        <v>154</v>
      </c>
      <c r="E348" s="1">
        <v>40</v>
      </c>
      <c r="F348" s="1">
        <v>25</v>
      </c>
      <c r="G348" s="1">
        <v>65</v>
      </c>
      <c r="H348" s="1">
        <v>396</v>
      </c>
      <c r="I348" s="1">
        <v>426</v>
      </c>
      <c r="J348" s="1">
        <v>822</v>
      </c>
      <c r="K348" s="1">
        <v>266</v>
      </c>
      <c r="L348" s="1">
        <v>332</v>
      </c>
      <c r="M348" s="1">
        <v>598</v>
      </c>
      <c r="N348" s="1">
        <v>200</v>
      </c>
      <c r="O348" s="1">
        <v>306</v>
      </c>
      <c r="P348" s="1">
        <v>506</v>
      </c>
      <c r="Q348" s="1">
        <v>206</v>
      </c>
      <c r="R348" s="1">
        <v>323</v>
      </c>
      <c r="S348" s="1">
        <v>529</v>
      </c>
      <c r="T348" s="1">
        <v>2</v>
      </c>
      <c r="U348" s="1">
        <v>10</v>
      </c>
      <c r="V348" s="1">
        <v>12</v>
      </c>
      <c r="W348" s="1">
        <f t="shared" ref="W348:X348" si="3053">SUM(E348,H348,K348,N348,Q348,T348)</f>
        <v>1110</v>
      </c>
      <c r="X348" s="1">
        <f t="shared" si="3053"/>
        <v>1422</v>
      </c>
      <c r="Y348" s="1">
        <f t="shared" si="2301"/>
        <v>2532</v>
      </c>
      <c r="Z348" s="1">
        <f t="shared" ref="Z348:AA348" si="3054">W348-T348</f>
        <v>1108</v>
      </c>
      <c r="AA348" s="1">
        <f t="shared" si="3054"/>
        <v>1412</v>
      </c>
      <c r="AB348" s="1">
        <f t="shared" si="2303"/>
        <v>2520</v>
      </c>
      <c r="AC348" s="1">
        <f t="shared" ref="AC348:AD348" si="3055">SUM(E348,H348,K348,N348)</f>
        <v>902</v>
      </c>
      <c r="AD348" s="1">
        <f t="shared" si="3055"/>
        <v>1089</v>
      </c>
      <c r="AE348" s="1">
        <f t="shared" si="2305"/>
        <v>1991</v>
      </c>
      <c r="AF348" s="2">
        <f t="shared" ref="AF348:AH348" si="3056">AC348/Z348</f>
        <v>0.8140794223826715</v>
      </c>
      <c r="AG348" s="2">
        <f t="shared" si="3056"/>
        <v>0.77124645892351273</v>
      </c>
      <c r="AH348" s="2">
        <f t="shared" si="3056"/>
        <v>0.79007936507936505</v>
      </c>
      <c r="AI348" s="1">
        <f t="shared" ref="AI348:AJ348" si="3057">SUM(E348,H348,K348)</f>
        <v>702</v>
      </c>
      <c r="AJ348" s="1">
        <f t="shared" si="3057"/>
        <v>783</v>
      </c>
      <c r="AK348" s="1">
        <f t="shared" si="2308"/>
        <v>1485</v>
      </c>
      <c r="AL348" s="2">
        <f t="shared" ref="AL348:AN348" si="3058">AI348/Z348</f>
        <v>0.63357400722021662</v>
      </c>
      <c r="AM348" s="2">
        <f t="shared" si="3058"/>
        <v>0.55453257790368271</v>
      </c>
      <c r="AN348" s="2">
        <f t="shared" si="3058"/>
        <v>0.5892857142857143</v>
      </c>
      <c r="AO348" s="2">
        <f t="shared" ref="AO348:AQ348" si="3059">E348/Z348</f>
        <v>3.6101083032490974E-2</v>
      </c>
      <c r="AP348" s="2">
        <f t="shared" si="3059"/>
        <v>1.7705382436260624E-2</v>
      </c>
      <c r="AQ348" s="2">
        <f t="shared" si="3059"/>
        <v>2.5793650793650792E-2</v>
      </c>
      <c r="AR348" s="2">
        <f t="shared" si="2311"/>
        <v>0.2915162454873646</v>
      </c>
      <c r="AS348" s="2">
        <f t="shared" ref="AS348:AT348" si="3060">R348/AA348</f>
        <v>0.22875354107648727</v>
      </c>
      <c r="AT348" s="2">
        <f t="shared" si="3060"/>
        <v>0.20992063492063492</v>
      </c>
      <c r="AU348" s="2">
        <f t="shared" si="2475"/>
        <v>1.8018018018018018E-3</v>
      </c>
      <c r="AV348" s="2">
        <f t="shared" si="2475"/>
        <v>7.0323488045007029E-3</v>
      </c>
      <c r="AW348" s="2">
        <f t="shared" si="2596"/>
        <v>4.7393364928909956E-3</v>
      </c>
    </row>
    <row r="349" spans="1:49" ht="13" x14ac:dyDescent="0.15">
      <c r="A349" s="1">
        <v>2022</v>
      </c>
      <c r="B349" s="1" t="s">
        <v>49</v>
      </c>
      <c r="C349" s="1" t="s">
        <v>93</v>
      </c>
      <c r="D349" s="1" t="s">
        <v>155</v>
      </c>
      <c r="E349" s="1">
        <v>217</v>
      </c>
      <c r="F349" s="1">
        <v>182</v>
      </c>
      <c r="G349" s="1">
        <v>399</v>
      </c>
      <c r="H349" s="1">
        <v>778</v>
      </c>
      <c r="I349" s="1">
        <v>871</v>
      </c>
      <c r="J349" s="1">
        <v>1649</v>
      </c>
      <c r="K349" s="1">
        <v>297</v>
      </c>
      <c r="L349" s="1">
        <v>375</v>
      </c>
      <c r="M349" s="1">
        <v>672</v>
      </c>
      <c r="N349" s="1">
        <v>201</v>
      </c>
      <c r="O349" s="1">
        <v>226</v>
      </c>
      <c r="P349" s="1">
        <v>427</v>
      </c>
      <c r="Q349" s="1">
        <v>205</v>
      </c>
      <c r="R349" s="1">
        <v>288</v>
      </c>
      <c r="S349" s="1">
        <v>493</v>
      </c>
      <c r="T349" s="1">
        <v>72</v>
      </c>
      <c r="U349" s="1">
        <v>107</v>
      </c>
      <c r="V349" s="1">
        <v>179</v>
      </c>
      <c r="W349" s="1">
        <f t="shared" ref="W349:X349" si="3061">SUM(E349,H349,K349,N349,Q349,T349)</f>
        <v>1770</v>
      </c>
      <c r="X349" s="1">
        <f t="shared" si="3061"/>
        <v>2049</v>
      </c>
      <c r="Y349" s="1">
        <f t="shared" si="2301"/>
        <v>3819</v>
      </c>
      <c r="Z349" s="1">
        <f t="shared" ref="Z349:AA349" si="3062">W349-T349</f>
        <v>1698</v>
      </c>
      <c r="AA349" s="1">
        <f t="shared" si="3062"/>
        <v>1942</v>
      </c>
      <c r="AB349" s="1">
        <f t="shared" si="2303"/>
        <v>3640</v>
      </c>
      <c r="AC349" s="1">
        <f t="shared" ref="AC349:AD349" si="3063">SUM(E349,H349,K349,N349)</f>
        <v>1493</v>
      </c>
      <c r="AD349" s="1">
        <f t="shared" si="3063"/>
        <v>1654</v>
      </c>
      <c r="AE349" s="1">
        <f t="shared" si="2305"/>
        <v>3147</v>
      </c>
      <c r="AF349" s="2">
        <f t="shared" ref="AF349:AH349" si="3064">AC349/Z349</f>
        <v>0.87926972909305068</v>
      </c>
      <c r="AG349" s="2">
        <f t="shared" si="3064"/>
        <v>0.85169927909371779</v>
      </c>
      <c r="AH349" s="2">
        <f t="shared" si="3064"/>
        <v>0.8645604395604396</v>
      </c>
      <c r="AI349" s="1">
        <f t="shared" ref="AI349:AJ349" si="3065">SUM(E349,H349,K349)</f>
        <v>1292</v>
      </c>
      <c r="AJ349" s="1">
        <f t="shared" si="3065"/>
        <v>1428</v>
      </c>
      <c r="AK349" s="1">
        <f t="shared" si="2308"/>
        <v>2720</v>
      </c>
      <c r="AL349" s="2">
        <f t="shared" ref="AL349:AN349" si="3066">AI349/Z349</f>
        <v>0.76089517078916369</v>
      </c>
      <c r="AM349" s="2">
        <f t="shared" si="3066"/>
        <v>0.7353244078269825</v>
      </c>
      <c r="AN349" s="2">
        <f t="shared" si="3066"/>
        <v>0.74725274725274726</v>
      </c>
      <c r="AO349" s="2">
        <f t="shared" ref="AO349:AQ349" si="3067">E349/Z349</f>
        <v>0.12779740871613662</v>
      </c>
      <c r="AP349" s="2">
        <f t="shared" si="3067"/>
        <v>9.3717816683831098E-2</v>
      </c>
      <c r="AQ349" s="2">
        <f t="shared" si="3067"/>
        <v>0.10961538461538461</v>
      </c>
      <c r="AR349" s="2">
        <f t="shared" si="2311"/>
        <v>0.16961130742049471</v>
      </c>
      <c r="AS349" s="2">
        <f t="shared" ref="AS349:AT349" si="3068">R349/AA349</f>
        <v>0.14830072090628219</v>
      </c>
      <c r="AT349" s="2">
        <f t="shared" si="3068"/>
        <v>0.13543956043956043</v>
      </c>
      <c r="AU349" s="2">
        <f t="shared" si="2475"/>
        <v>4.0677966101694912E-2</v>
      </c>
      <c r="AV349" s="2">
        <f t="shared" si="2475"/>
        <v>5.2220595412396292E-2</v>
      </c>
      <c r="AW349" s="2">
        <f t="shared" si="2596"/>
        <v>4.6870908614820635E-2</v>
      </c>
    </row>
    <row r="350" spans="1:49" ht="13" x14ac:dyDescent="0.15">
      <c r="A350" s="1">
        <v>2022</v>
      </c>
      <c r="B350" s="1" t="s">
        <v>117</v>
      </c>
      <c r="C350" s="1" t="s">
        <v>101</v>
      </c>
      <c r="D350" s="1" t="s">
        <v>156</v>
      </c>
      <c r="E350" s="1">
        <v>292</v>
      </c>
      <c r="F350" s="1">
        <v>262</v>
      </c>
      <c r="G350" s="1">
        <v>554</v>
      </c>
      <c r="H350" s="1">
        <v>1365</v>
      </c>
      <c r="I350" s="1">
        <v>1390</v>
      </c>
      <c r="J350" s="1">
        <v>2755</v>
      </c>
      <c r="K350" s="1">
        <v>390</v>
      </c>
      <c r="L350" s="1">
        <v>494</v>
      </c>
      <c r="M350" s="1">
        <v>884</v>
      </c>
      <c r="N350" s="1">
        <v>238</v>
      </c>
      <c r="O350" s="1">
        <v>305</v>
      </c>
      <c r="P350" s="1">
        <v>543</v>
      </c>
      <c r="Q350" s="1">
        <v>121</v>
      </c>
      <c r="R350" s="1">
        <v>159</v>
      </c>
      <c r="S350" s="1">
        <v>280</v>
      </c>
      <c r="T350" s="1">
        <v>77</v>
      </c>
      <c r="U350" s="1">
        <v>77</v>
      </c>
      <c r="V350" s="1">
        <v>154</v>
      </c>
      <c r="W350" s="1">
        <f t="shared" ref="W350:X350" si="3069">SUM(E350,H350,K350,N350,Q350,T350)</f>
        <v>2483</v>
      </c>
      <c r="X350" s="1">
        <f t="shared" si="3069"/>
        <v>2687</v>
      </c>
      <c r="Y350" s="1">
        <f t="shared" si="2301"/>
        <v>5170</v>
      </c>
      <c r="Z350" s="1">
        <f t="shared" ref="Z350:AA350" si="3070">W350-T350</f>
        <v>2406</v>
      </c>
      <c r="AA350" s="1">
        <f t="shared" si="3070"/>
        <v>2610</v>
      </c>
      <c r="AB350" s="1">
        <f t="shared" si="2303"/>
        <v>5016</v>
      </c>
      <c r="AC350" s="1">
        <f t="shared" ref="AC350:AD350" si="3071">SUM(E350,H350,K350,N350)</f>
        <v>2285</v>
      </c>
      <c r="AD350" s="1">
        <f t="shared" si="3071"/>
        <v>2451</v>
      </c>
      <c r="AE350" s="1">
        <f t="shared" si="2305"/>
        <v>4736</v>
      </c>
      <c r="AF350" s="2">
        <f t="shared" ref="AF350:AH350" si="3072">AC350/Z350</f>
        <v>0.9497090606816293</v>
      </c>
      <c r="AG350" s="2">
        <f t="shared" si="3072"/>
        <v>0.93908045977011489</v>
      </c>
      <c r="AH350" s="2">
        <f t="shared" si="3072"/>
        <v>0.94417862838915467</v>
      </c>
      <c r="AI350" s="1">
        <f t="shared" ref="AI350:AJ350" si="3073">SUM(E350,H350,K350)</f>
        <v>2047</v>
      </c>
      <c r="AJ350" s="1">
        <f t="shared" si="3073"/>
        <v>2146</v>
      </c>
      <c r="AK350" s="1">
        <f t="shared" si="2308"/>
        <v>4193</v>
      </c>
      <c r="AL350" s="2">
        <f t="shared" ref="AL350:AN350" si="3074">AI350/Z350</f>
        <v>0.85078969243557767</v>
      </c>
      <c r="AM350" s="2">
        <f t="shared" si="3074"/>
        <v>0.82222222222222219</v>
      </c>
      <c r="AN350" s="2">
        <f t="shared" si="3074"/>
        <v>0.83592503987240829</v>
      </c>
      <c r="AO350" s="2">
        <f t="shared" ref="AO350:AQ350" si="3075">E350/Z350</f>
        <v>0.12136325852036575</v>
      </c>
      <c r="AP350" s="2">
        <f t="shared" si="3075"/>
        <v>0.10038314176245211</v>
      </c>
      <c r="AQ350" s="2">
        <f t="shared" si="3075"/>
        <v>0.11044657097288677</v>
      </c>
      <c r="AR350" s="2">
        <f t="shared" si="2311"/>
        <v>6.6084788029925193E-2</v>
      </c>
      <c r="AS350" s="2">
        <f t="shared" ref="AS350:AT350" si="3076">R350/AA350</f>
        <v>6.0919540229885057E-2</v>
      </c>
      <c r="AT350" s="2">
        <f t="shared" si="3076"/>
        <v>5.5821371610845293E-2</v>
      </c>
      <c r="AU350" s="2">
        <f t="shared" si="2475"/>
        <v>3.1010873942811115E-2</v>
      </c>
      <c r="AV350" s="2">
        <f t="shared" si="2475"/>
        <v>2.8656494231484926E-2</v>
      </c>
      <c r="AW350" s="2">
        <f t="shared" si="2596"/>
        <v>2.9787234042553193E-2</v>
      </c>
    </row>
    <row r="351" spans="1:49" ht="13" x14ac:dyDescent="0.15">
      <c r="A351" s="1">
        <v>2022</v>
      </c>
      <c r="B351" s="1" t="s">
        <v>49</v>
      </c>
      <c r="C351" s="1" t="s">
        <v>101</v>
      </c>
      <c r="D351" s="1" t="s">
        <v>157</v>
      </c>
      <c r="E351" s="1">
        <v>420</v>
      </c>
      <c r="F351" s="1">
        <v>498</v>
      </c>
      <c r="G351" s="1">
        <v>918</v>
      </c>
      <c r="H351" s="1">
        <v>2476</v>
      </c>
      <c r="I351" s="1">
        <v>2805</v>
      </c>
      <c r="J351" s="1">
        <v>5281</v>
      </c>
      <c r="K351" s="1">
        <v>504</v>
      </c>
      <c r="L351" s="1">
        <v>535</v>
      </c>
      <c r="M351" s="1">
        <v>1039</v>
      </c>
      <c r="N351" s="1">
        <v>311</v>
      </c>
      <c r="O351" s="1">
        <v>283</v>
      </c>
      <c r="P351" s="1">
        <v>594</v>
      </c>
      <c r="Q351" s="1">
        <v>116</v>
      </c>
      <c r="R351" s="1">
        <v>160</v>
      </c>
      <c r="S351" s="1">
        <v>276</v>
      </c>
      <c r="T351" s="1">
        <v>63</v>
      </c>
      <c r="U351" s="1">
        <v>68</v>
      </c>
      <c r="V351" s="1">
        <v>131</v>
      </c>
      <c r="W351" s="1">
        <f t="shared" ref="W351:X351" si="3077">SUM(E351,H351,K351,N351,Q351,T351)</f>
        <v>3890</v>
      </c>
      <c r="X351" s="1">
        <f t="shared" si="3077"/>
        <v>4349</v>
      </c>
      <c r="Y351" s="1">
        <f t="shared" si="2301"/>
        <v>8239</v>
      </c>
      <c r="Z351" s="1">
        <f t="shared" ref="Z351:AA351" si="3078">W351-T351</f>
        <v>3827</v>
      </c>
      <c r="AA351" s="1">
        <f t="shared" si="3078"/>
        <v>4281</v>
      </c>
      <c r="AB351" s="1">
        <f t="shared" si="2303"/>
        <v>8108</v>
      </c>
      <c r="AC351" s="1">
        <f t="shared" ref="AC351:AD351" si="3079">SUM(E351,H351,K351,N351)</f>
        <v>3711</v>
      </c>
      <c r="AD351" s="1">
        <f t="shared" si="3079"/>
        <v>4121</v>
      </c>
      <c r="AE351" s="1">
        <f t="shared" si="2305"/>
        <v>7832</v>
      </c>
      <c r="AF351" s="2">
        <f t="shared" ref="AF351:AH351" si="3080">AC351/Z351</f>
        <v>0.9696890514763522</v>
      </c>
      <c r="AG351" s="2">
        <f t="shared" si="3080"/>
        <v>0.96262555477692124</v>
      </c>
      <c r="AH351" s="2">
        <f t="shared" si="3080"/>
        <v>0.96595954612728174</v>
      </c>
      <c r="AI351" s="1">
        <f t="shared" ref="AI351:AJ351" si="3081">SUM(E351,H351,K351)</f>
        <v>3400</v>
      </c>
      <c r="AJ351" s="1">
        <f t="shared" si="3081"/>
        <v>3838</v>
      </c>
      <c r="AK351" s="1">
        <f t="shared" si="2308"/>
        <v>7238</v>
      </c>
      <c r="AL351" s="2">
        <f t="shared" ref="AL351:AN351" si="3082">AI351/Z351</f>
        <v>0.88842435327933111</v>
      </c>
      <c r="AM351" s="2">
        <f t="shared" si="3082"/>
        <v>0.89651950478860076</v>
      </c>
      <c r="AN351" s="2">
        <f t="shared" si="3082"/>
        <v>0.89269856931425751</v>
      </c>
      <c r="AO351" s="2">
        <f t="shared" ref="AO351:AQ351" si="3083">E351/Z351</f>
        <v>0.10974653775803501</v>
      </c>
      <c r="AP351" s="2">
        <f t="shared" si="3083"/>
        <v>0.11632796075683252</v>
      </c>
      <c r="AQ351" s="2">
        <f t="shared" si="3083"/>
        <v>0.11322150962012827</v>
      </c>
      <c r="AR351" s="2">
        <f t="shared" si="2311"/>
        <v>4.1808204860203813E-2</v>
      </c>
      <c r="AS351" s="2">
        <f t="shared" ref="AS351:AT351" si="3084">R351/AA351</f>
        <v>3.7374445223078721E-2</v>
      </c>
      <c r="AT351" s="2">
        <f t="shared" si="3084"/>
        <v>3.4040453872718306E-2</v>
      </c>
      <c r="AU351" s="2">
        <f t="shared" si="2475"/>
        <v>1.6195372750642673E-2</v>
      </c>
      <c r="AV351" s="2">
        <f t="shared" si="2475"/>
        <v>1.5635778339848239E-2</v>
      </c>
      <c r="AW351" s="2">
        <f t="shared" si="2596"/>
        <v>1.5899987862604686E-2</v>
      </c>
    </row>
    <row r="352" spans="1:49" ht="13" x14ac:dyDescent="0.15">
      <c r="A352" s="1">
        <v>2022</v>
      </c>
      <c r="B352" s="1" t="s">
        <v>49</v>
      </c>
      <c r="C352" s="1" t="s">
        <v>50</v>
      </c>
      <c r="D352" s="1" t="s">
        <v>158</v>
      </c>
      <c r="E352" s="1">
        <v>824</v>
      </c>
      <c r="F352" s="1">
        <v>839</v>
      </c>
      <c r="G352" s="1">
        <v>1663</v>
      </c>
      <c r="H352" s="1">
        <v>1314</v>
      </c>
      <c r="I352" s="1">
        <v>1843</v>
      </c>
      <c r="J352" s="1">
        <v>3157</v>
      </c>
      <c r="K352" s="1">
        <v>291</v>
      </c>
      <c r="L352" s="1">
        <v>367</v>
      </c>
      <c r="M352" s="1">
        <v>658</v>
      </c>
      <c r="N352" s="1">
        <v>161</v>
      </c>
      <c r="O352" s="1">
        <v>238</v>
      </c>
      <c r="P352" s="1">
        <v>399</v>
      </c>
      <c r="Q352" s="1">
        <v>81</v>
      </c>
      <c r="R352" s="1">
        <v>97</v>
      </c>
      <c r="S352" s="1">
        <v>178</v>
      </c>
      <c r="T352" s="1">
        <v>93</v>
      </c>
      <c r="U352" s="1">
        <v>95</v>
      </c>
      <c r="V352" s="1">
        <v>188</v>
      </c>
      <c r="W352" s="1">
        <f t="shared" ref="W352:X352" si="3085">SUM(E352,H352,K352,N352,Q352,T352)</f>
        <v>2764</v>
      </c>
      <c r="X352" s="1">
        <f t="shared" si="3085"/>
        <v>3479</v>
      </c>
      <c r="Y352" s="1">
        <f t="shared" si="2301"/>
        <v>6243</v>
      </c>
      <c r="Z352" s="1">
        <f t="shared" ref="Z352:AA352" si="3086">W352-T352</f>
        <v>2671</v>
      </c>
      <c r="AA352" s="1">
        <f t="shared" si="3086"/>
        <v>3384</v>
      </c>
      <c r="AB352" s="1">
        <f t="shared" si="2303"/>
        <v>6055</v>
      </c>
      <c r="AC352" s="1">
        <f t="shared" ref="AC352:AD352" si="3087">SUM(E352,H352,K352,N352)</f>
        <v>2590</v>
      </c>
      <c r="AD352" s="1">
        <f t="shared" si="3087"/>
        <v>3287</v>
      </c>
      <c r="AE352" s="1">
        <f t="shared" si="2305"/>
        <v>5877</v>
      </c>
      <c r="AF352" s="2">
        <f t="shared" ref="AF352:AH352" si="3088">AC352/Z352</f>
        <v>0.9696742792961438</v>
      </c>
      <c r="AG352" s="2">
        <f t="shared" si="3088"/>
        <v>0.97133569739952719</v>
      </c>
      <c r="AH352" s="2">
        <f t="shared" si="3088"/>
        <v>0.97060280759702722</v>
      </c>
      <c r="AI352" s="1">
        <f t="shared" ref="AI352:AJ352" si="3089">SUM(E352,H352,K352)</f>
        <v>2429</v>
      </c>
      <c r="AJ352" s="1">
        <f t="shared" si="3089"/>
        <v>3049</v>
      </c>
      <c r="AK352" s="1">
        <f t="shared" si="2308"/>
        <v>5478</v>
      </c>
      <c r="AL352" s="2">
        <f t="shared" ref="AL352:AN352" si="3090">AI352/Z352</f>
        <v>0.90939722950205915</v>
      </c>
      <c r="AM352" s="2">
        <f t="shared" si="3090"/>
        <v>0.90100472813238774</v>
      </c>
      <c r="AN352" s="2">
        <f t="shared" si="3090"/>
        <v>0.90470685383980176</v>
      </c>
      <c r="AO352" s="2">
        <f t="shared" ref="AO352:AQ352" si="3091">E352/Z352</f>
        <v>0.30849868962935229</v>
      </c>
      <c r="AP352" s="2">
        <f t="shared" si="3091"/>
        <v>0.24793144208037826</v>
      </c>
      <c r="AQ352" s="2">
        <f t="shared" si="3091"/>
        <v>0.27464905037159371</v>
      </c>
      <c r="AR352" s="2">
        <f t="shared" si="2311"/>
        <v>3.6315986521901912E-2</v>
      </c>
      <c r="AS352" s="2">
        <f t="shared" ref="AS352:AT352" si="3092">R352/AA352</f>
        <v>2.8664302600472813E-2</v>
      </c>
      <c r="AT352" s="2">
        <f t="shared" si="3092"/>
        <v>2.9397192402972751E-2</v>
      </c>
      <c r="AU352" s="2">
        <f t="shared" si="2475"/>
        <v>3.3646888567293774E-2</v>
      </c>
      <c r="AV352" s="2">
        <f t="shared" si="2475"/>
        <v>2.730669732681805E-2</v>
      </c>
      <c r="AW352" s="2">
        <f t="shared" si="2596"/>
        <v>3.0113727374659619E-2</v>
      </c>
    </row>
    <row r="353" spans="1:49" ht="13" x14ac:dyDescent="0.15">
      <c r="A353" s="1">
        <v>2022</v>
      </c>
      <c r="B353" s="1" t="s">
        <v>66</v>
      </c>
      <c r="C353" s="1" t="s">
        <v>78</v>
      </c>
      <c r="D353" s="1" t="s">
        <v>159</v>
      </c>
      <c r="E353" s="1">
        <v>25</v>
      </c>
      <c r="F353" s="1">
        <v>17</v>
      </c>
      <c r="G353" s="1">
        <v>42</v>
      </c>
      <c r="H353" s="1">
        <v>773</v>
      </c>
      <c r="I353" s="1">
        <v>443</v>
      </c>
      <c r="J353" s="1">
        <v>1216</v>
      </c>
      <c r="K353" s="1">
        <v>612</v>
      </c>
      <c r="L353" s="1">
        <v>528</v>
      </c>
      <c r="M353" s="1">
        <v>1140</v>
      </c>
      <c r="N353" s="1">
        <v>391</v>
      </c>
      <c r="O353" s="1">
        <v>334</v>
      </c>
      <c r="P353" s="1">
        <v>725</v>
      </c>
      <c r="Q353" s="1">
        <v>420</v>
      </c>
      <c r="R353" s="1">
        <v>486</v>
      </c>
      <c r="S353" s="1">
        <v>906</v>
      </c>
      <c r="T353" s="1">
        <v>40</v>
      </c>
      <c r="U353" s="1">
        <v>34</v>
      </c>
      <c r="V353" s="1">
        <v>74</v>
      </c>
      <c r="W353" s="1">
        <f t="shared" ref="W353:X353" si="3093">SUM(E353,H353,K353,N353,Q353,T353)</f>
        <v>2261</v>
      </c>
      <c r="X353" s="1">
        <f t="shared" si="3093"/>
        <v>1842</v>
      </c>
      <c r="Y353" s="1">
        <f t="shared" si="2301"/>
        <v>4103</v>
      </c>
      <c r="Z353" s="1">
        <f t="shared" ref="Z353:AA353" si="3094">W353-T353</f>
        <v>2221</v>
      </c>
      <c r="AA353" s="1">
        <f t="shared" si="3094"/>
        <v>1808</v>
      </c>
      <c r="AB353" s="1">
        <f t="shared" si="2303"/>
        <v>4029</v>
      </c>
      <c r="AC353" s="1">
        <f t="shared" ref="AC353:AD353" si="3095">SUM(E353,H353,K353,N353)</f>
        <v>1801</v>
      </c>
      <c r="AD353" s="1">
        <f t="shared" si="3095"/>
        <v>1322</v>
      </c>
      <c r="AE353" s="1">
        <f t="shared" si="2305"/>
        <v>3123</v>
      </c>
      <c r="AF353" s="2">
        <f t="shared" ref="AF353:AH353" si="3096">AC353/Z353</f>
        <v>0.81089599279603786</v>
      </c>
      <c r="AG353" s="2">
        <f t="shared" si="3096"/>
        <v>0.73119469026548678</v>
      </c>
      <c r="AH353" s="2">
        <f t="shared" si="3096"/>
        <v>0.77513030528667159</v>
      </c>
      <c r="AI353" s="1">
        <f t="shared" ref="AI353:AJ353" si="3097">SUM(E353,H353,K353)</f>
        <v>1410</v>
      </c>
      <c r="AJ353" s="1">
        <f t="shared" si="3097"/>
        <v>988</v>
      </c>
      <c r="AK353" s="1">
        <f t="shared" si="2308"/>
        <v>2398</v>
      </c>
      <c r="AL353" s="2">
        <f t="shared" ref="AL353:AN353" si="3098">AI353/Z353</f>
        <v>0.634849167041873</v>
      </c>
      <c r="AM353" s="2">
        <f t="shared" si="3098"/>
        <v>0.54646017699115046</v>
      </c>
      <c r="AN353" s="2">
        <f t="shared" si="3098"/>
        <v>0.59518490940680069</v>
      </c>
      <c r="AO353" s="2">
        <f t="shared" ref="AO353:AQ353" si="3099">E353/Z353</f>
        <v>1.125619090499775E-2</v>
      </c>
      <c r="AP353" s="2">
        <f t="shared" si="3099"/>
        <v>9.4026548672566379E-3</v>
      </c>
      <c r="AQ353" s="2">
        <f t="shared" si="3099"/>
        <v>1.0424422933730455E-2</v>
      </c>
      <c r="AR353" s="2">
        <f t="shared" si="2311"/>
        <v>0.21882035119315624</v>
      </c>
      <c r="AS353" s="2">
        <f t="shared" ref="AS353:AT353" si="3100">R353/AA353</f>
        <v>0.26880530973451328</v>
      </c>
      <c r="AT353" s="2">
        <f t="shared" si="3100"/>
        <v>0.22486969471332838</v>
      </c>
      <c r="AU353" s="2">
        <f t="shared" si="2475"/>
        <v>1.7691287041132243E-2</v>
      </c>
      <c r="AV353" s="2">
        <f t="shared" si="2475"/>
        <v>1.8458197611292075E-2</v>
      </c>
      <c r="AW353" s="2">
        <f t="shared" si="2596"/>
        <v>1.8035583719229833E-2</v>
      </c>
    </row>
    <row r="354" spans="1:49" ht="13" x14ac:dyDescent="0.15">
      <c r="A354" s="1">
        <v>2022</v>
      </c>
      <c r="B354" s="1" t="s">
        <v>49</v>
      </c>
      <c r="C354" s="1" t="s">
        <v>80</v>
      </c>
      <c r="D354" s="1" t="s">
        <v>160</v>
      </c>
      <c r="E354" s="1">
        <v>862</v>
      </c>
      <c r="F354" s="1">
        <v>655</v>
      </c>
      <c r="G354" s="1">
        <v>1517</v>
      </c>
      <c r="H354" s="1">
        <v>2051</v>
      </c>
      <c r="I354" s="1">
        <v>1953</v>
      </c>
      <c r="J354" s="1">
        <v>4004</v>
      </c>
      <c r="K354" s="1">
        <v>717</v>
      </c>
      <c r="L354" s="1">
        <v>807</v>
      </c>
      <c r="M354" s="1">
        <v>1524</v>
      </c>
      <c r="N354" s="1">
        <v>407</v>
      </c>
      <c r="O354" s="1">
        <v>563</v>
      </c>
      <c r="P354" s="1">
        <v>970</v>
      </c>
      <c r="Q354" s="1">
        <v>768</v>
      </c>
      <c r="R354" s="1">
        <v>824</v>
      </c>
      <c r="S354" s="1">
        <v>1592</v>
      </c>
      <c r="T354" s="1">
        <v>99</v>
      </c>
      <c r="U354" s="1">
        <v>84</v>
      </c>
      <c r="V354" s="1">
        <v>183</v>
      </c>
      <c r="W354" s="1">
        <f t="shared" ref="W354:X354" si="3101">SUM(E354,H354,K354,N354,Q354,T354)</f>
        <v>4904</v>
      </c>
      <c r="X354" s="1">
        <f t="shared" si="3101"/>
        <v>4886</v>
      </c>
      <c r="Y354" s="1">
        <f t="shared" si="2301"/>
        <v>9790</v>
      </c>
      <c r="Z354" s="1">
        <f t="shared" ref="Z354:AA354" si="3102">W354-T354</f>
        <v>4805</v>
      </c>
      <c r="AA354" s="1">
        <f t="shared" si="3102"/>
        <v>4802</v>
      </c>
      <c r="AB354" s="1">
        <f t="shared" si="2303"/>
        <v>9607</v>
      </c>
      <c r="AC354" s="1">
        <f t="shared" ref="AC354:AD354" si="3103">SUM(E354,H354,K354,N354)</f>
        <v>4037</v>
      </c>
      <c r="AD354" s="1">
        <f t="shared" si="3103"/>
        <v>3978</v>
      </c>
      <c r="AE354" s="1">
        <f t="shared" si="2305"/>
        <v>8015</v>
      </c>
      <c r="AF354" s="2">
        <f t="shared" ref="AF354:AH354" si="3104">AC354/Z354</f>
        <v>0.84016649323621229</v>
      </c>
      <c r="AG354" s="2">
        <f t="shared" si="3104"/>
        <v>0.8284048313202832</v>
      </c>
      <c r="AH354" s="2">
        <f t="shared" si="3104"/>
        <v>0.83428749869886543</v>
      </c>
      <c r="AI354" s="1">
        <f t="shared" ref="AI354:AJ354" si="3105">SUM(E354,H354,K354)</f>
        <v>3630</v>
      </c>
      <c r="AJ354" s="1">
        <f t="shared" si="3105"/>
        <v>3415</v>
      </c>
      <c r="AK354" s="1">
        <f t="shared" si="2308"/>
        <v>7045</v>
      </c>
      <c r="AL354" s="2">
        <f t="shared" ref="AL354:AN354" si="3106">AI354/Z354</f>
        <v>0.75546305931321545</v>
      </c>
      <c r="AM354" s="2">
        <f t="shared" si="3106"/>
        <v>0.71116201582673888</v>
      </c>
      <c r="AN354" s="2">
        <f t="shared" si="3106"/>
        <v>0.73331945456438019</v>
      </c>
      <c r="AO354" s="2">
        <f t="shared" ref="AO354:AQ354" si="3107">E354/Z354</f>
        <v>0.1793964620187305</v>
      </c>
      <c r="AP354" s="2">
        <f t="shared" si="3107"/>
        <v>0.1364014993752603</v>
      </c>
      <c r="AQ354" s="2">
        <f t="shared" si="3107"/>
        <v>0.15790569376496305</v>
      </c>
      <c r="AR354" s="2">
        <f t="shared" si="2311"/>
        <v>0.17148803329864723</v>
      </c>
      <c r="AS354" s="2">
        <f t="shared" ref="AS354:AT354" si="3108">R354/AA354</f>
        <v>0.17159516867971678</v>
      </c>
      <c r="AT354" s="2">
        <f t="shared" si="3108"/>
        <v>0.1657125013011346</v>
      </c>
      <c r="AU354" s="2">
        <f t="shared" si="2475"/>
        <v>2.0187601957585646E-2</v>
      </c>
      <c r="AV354" s="2">
        <f t="shared" si="2475"/>
        <v>1.7191977077363897E-2</v>
      </c>
      <c r="AW354" s="2">
        <f t="shared" ref="AW354:AW417" si="3109">V354/Y354</f>
        <v>1.8692543411644537E-2</v>
      </c>
    </row>
    <row r="355" spans="1:49" ht="13" x14ac:dyDescent="0.15">
      <c r="A355" s="1">
        <v>2022</v>
      </c>
      <c r="B355" s="1" t="s">
        <v>49</v>
      </c>
      <c r="C355" s="1" t="s">
        <v>89</v>
      </c>
      <c r="D355" s="1" t="s">
        <v>161</v>
      </c>
      <c r="E355" s="1">
        <v>134</v>
      </c>
      <c r="F355" s="1">
        <v>98</v>
      </c>
      <c r="G355" s="1">
        <v>232</v>
      </c>
      <c r="H355" s="1">
        <v>976</v>
      </c>
      <c r="I355" s="1">
        <v>1122</v>
      </c>
      <c r="J355" s="1">
        <v>2098</v>
      </c>
      <c r="K355" s="1">
        <v>583</v>
      </c>
      <c r="L355" s="1">
        <v>792</v>
      </c>
      <c r="M355" s="1">
        <v>1375</v>
      </c>
      <c r="N355" s="1">
        <v>478</v>
      </c>
      <c r="O355" s="1">
        <v>577</v>
      </c>
      <c r="P355" s="1">
        <v>1055</v>
      </c>
      <c r="Q355" s="1">
        <v>585</v>
      </c>
      <c r="R355" s="1">
        <v>695</v>
      </c>
      <c r="S355" s="1">
        <v>1280</v>
      </c>
      <c r="T355" s="1">
        <v>82</v>
      </c>
      <c r="U355" s="1">
        <v>109</v>
      </c>
      <c r="V355" s="1">
        <v>191</v>
      </c>
      <c r="W355" s="1">
        <f t="shared" ref="W355:X355" si="3110">SUM(E355,H355,K355,N355,Q355,T355)</f>
        <v>2838</v>
      </c>
      <c r="X355" s="1">
        <f t="shared" si="3110"/>
        <v>3393</v>
      </c>
      <c r="Y355" s="1">
        <f t="shared" si="2301"/>
        <v>6231</v>
      </c>
      <c r="Z355" s="1">
        <f t="shared" ref="Z355:AA355" si="3111">W355-T355</f>
        <v>2756</v>
      </c>
      <c r="AA355" s="1">
        <f t="shared" si="3111"/>
        <v>3284</v>
      </c>
      <c r="AB355" s="1">
        <f t="shared" si="2303"/>
        <v>6040</v>
      </c>
      <c r="AC355" s="1">
        <f t="shared" ref="AC355:AD355" si="3112">SUM(E355,H355,K355,N355)</f>
        <v>2171</v>
      </c>
      <c r="AD355" s="1">
        <f t="shared" si="3112"/>
        <v>2589</v>
      </c>
      <c r="AE355" s="1">
        <f t="shared" si="2305"/>
        <v>4760</v>
      </c>
      <c r="AF355" s="2">
        <f t="shared" ref="AF355:AH355" si="3113">AC355/Z355</f>
        <v>0.78773584905660377</v>
      </c>
      <c r="AG355" s="2">
        <f t="shared" si="3113"/>
        <v>0.78836784409256999</v>
      </c>
      <c r="AH355" s="2">
        <f t="shared" si="3113"/>
        <v>0.78807947019867552</v>
      </c>
      <c r="AI355" s="1">
        <f t="shared" ref="AI355:AJ355" si="3114">SUM(E355,H355,K355)</f>
        <v>1693</v>
      </c>
      <c r="AJ355" s="1">
        <f t="shared" si="3114"/>
        <v>2012</v>
      </c>
      <c r="AK355" s="1">
        <f t="shared" si="2308"/>
        <v>3705</v>
      </c>
      <c r="AL355" s="2">
        <f t="shared" ref="AL355:AN355" si="3115">AI355/Z355</f>
        <v>0.61429608127721336</v>
      </c>
      <c r="AM355" s="2">
        <f t="shared" si="3115"/>
        <v>0.61266747868453109</v>
      </c>
      <c r="AN355" s="2">
        <f t="shared" si="3115"/>
        <v>0.61341059602649006</v>
      </c>
      <c r="AO355" s="2">
        <f t="shared" ref="AO355:AQ355" si="3116">E355/Z355</f>
        <v>4.862119013062409E-2</v>
      </c>
      <c r="AP355" s="2">
        <f t="shared" si="3116"/>
        <v>2.9841656516443361E-2</v>
      </c>
      <c r="AQ355" s="2">
        <f t="shared" si="3116"/>
        <v>3.8410596026490065E-2</v>
      </c>
      <c r="AR355" s="2">
        <f t="shared" si="2311"/>
        <v>0.25217706821480407</v>
      </c>
      <c r="AS355" s="2">
        <f t="shared" ref="AS355:AT355" si="3117">R355/AA355</f>
        <v>0.21163215590742995</v>
      </c>
      <c r="AT355" s="2">
        <f t="shared" si="3117"/>
        <v>0.2119205298013245</v>
      </c>
      <c r="AU355" s="2">
        <f t="shared" si="2475"/>
        <v>2.8893587033121917E-2</v>
      </c>
      <c r="AV355" s="2">
        <f t="shared" si="2475"/>
        <v>3.2124963159445921E-2</v>
      </c>
      <c r="AW355" s="2">
        <f t="shared" si="3109"/>
        <v>3.0653185684480822E-2</v>
      </c>
    </row>
    <row r="356" spans="1:49" ht="13" x14ac:dyDescent="0.15">
      <c r="A356" s="1">
        <v>2022</v>
      </c>
      <c r="B356" s="1" t="s">
        <v>49</v>
      </c>
      <c r="C356" s="1" t="s">
        <v>93</v>
      </c>
      <c r="D356" s="1" t="s">
        <v>162</v>
      </c>
      <c r="E356" s="1">
        <v>1104</v>
      </c>
      <c r="F356" s="1">
        <v>1034</v>
      </c>
      <c r="G356" s="1">
        <v>2138</v>
      </c>
      <c r="H356" s="1">
        <v>3323</v>
      </c>
      <c r="I356" s="1">
        <v>4277</v>
      </c>
      <c r="J356" s="1">
        <v>7600</v>
      </c>
      <c r="K356" s="1">
        <v>1020</v>
      </c>
      <c r="L356" s="1">
        <v>1424</v>
      </c>
      <c r="M356" s="1">
        <v>2444</v>
      </c>
      <c r="N356" s="1">
        <v>756</v>
      </c>
      <c r="O356" s="1">
        <v>1036</v>
      </c>
      <c r="P356" s="1">
        <v>1792</v>
      </c>
      <c r="Q356" s="1">
        <v>636</v>
      </c>
      <c r="R356" s="1">
        <v>711</v>
      </c>
      <c r="S356" s="1">
        <v>1347</v>
      </c>
      <c r="T356" s="1">
        <v>182</v>
      </c>
      <c r="U356" s="1">
        <v>203</v>
      </c>
      <c r="V356" s="1">
        <v>385</v>
      </c>
      <c r="W356" s="1">
        <f t="shared" ref="W356:X356" si="3118">SUM(E356,H356,K356,N356,Q356,T356)</f>
        <v>7021</v>
      </c>
      <c r="X356" s="1">
        <f t="shared" si="3118"/>
        <v>8685</v>
      </c>
      <c r="Y356" s="1">
        <f t="shared" si="2301"/>
        <v>15706</v>
      </c>
      <c r="Z356" s="1">
        <f t="shared" ref="Z356:AA356" si="3119">W356-T356</f>
        <v>6839</v>
      </c>
      <c r="AA356" s="1">
        <f t="shared" si="3119"/>
        <v>8482</v>
      </c>
      <c r="AB356" s="1">
        <f t="shared" si="2303"/>
        <v>15321</v>
      </c>
      <c r="AC356" s="1">
        <f t="shared" ref="AC356:AD356" si="3120">SUM(E356,H356,K356,N356)</f>
        <v>6203</v>
      </c>
      <c r="AD356" s="1">
        <f t="shared" si="3120"/>
        <v>7771</v>
      </c>
      <c r="AE356" s="1">
        <f t="shared" si="2305"/>
        <v>13974</v>
      </c>
      <c r="AF356" s="2">
        <f t="shared" ref="AF356:AH356" si="3121">AC356/Z356</f>
        <v>0.90700394794560613</v>
      </c>
      <c r="AG356" s="2">
        <f t="shared" si="3121"/>
        <v>0.91617543032303705</v>
      </c>
      <c r="AH356" s="2">
        <f t="shared" si="3121"/>
        <v>0.91208145682396713</v>
      </c>
      <c r="AI356" s="1">
        <f t="shared" ref="AI356:AJ356" si="3122">SUM(E356,H356,K356)</f>
        <v>5447</v>
      </c>
      <c r="AJ356" s="1">
        <f t="shared" si="3122"/>
        <v>6735</v>
      </c>
      <c r="AK356" s="1">
        <f t="shared" si="2308"/>
        <v>12182</v>
      </c>
      <c r="AL356" s="2">
        <f t="shared" ref="AL356:AN356" si="3123">AI356/Z356</f>
        <v>0.79646147097528874</v>
      </c>
      <c r="AM356" s="2">
        <f t="shared" si="3123"/>
        <v>0.79403442584296158</v>
      </c>
      <c r="AN356" s="2">
        <f t="shared" si="3123"/>
        <v>0.79511781215325372</v>
      </c>
      <c r="AO356" s="2">
        <f t="shared" ref="AO356:AQ356" si="3124">E356/Z356</f>
        <v>0.16142710922649511</v>
      </c>
      <c r="AP356" s="2">
        <f t="shared" si="3124"/>
        <v>0.12190521103513323</v>
      </c>
      <c r="AQ356" s="2">
        <f t="shared" si="3124"/>
        <v>0.13954702695646498</v>
      </c>
      <c r="AR356" s="2">
        <f t="shared" si="2311"/>
        <v>0.10396256762684603</v>
      </c>
      <c r="AS356" s="2">
        <f t="shared" ref="AS356:AT356" si="3125">R356/AA356</f>
        <v>8.3824569676962987E-2</v>
      </c>
      <c r="AT356" s="2">
        <f t="shared" si="3125"/>
        <v>8.7918543176032898E-2</v>
      </c>
      <c r="AU356" s="2">
        <f t="shared" si="2475"/>
        <v>2.5922233300099701E-2</v>
      </c>
      <c r="AV356" s="2">
        <f t="shared" si="2475"/>
        <v>2.3373632700057569E-2</v>
      </c>
      <c r="AW356" s="2">
        <f t="shared" si="3109"/>
        <v>2.4512924996816503E-2</v>
      </c>
    </row>
    <row r="357" spans="1:49" ht="13" x14ac:dyDescent="0.15">
      <c r="A357" s="1">
        <v>2022</v>
      </c>
      <c r="B357" s="1" t="s">
        <v>49</v>
      </c>
      <c r="C357" s="1" t="s">
        <v>50</v>
      </c>
      <c r="D357" s="1" t="s">
        <v>163</v>
      </c>
      <c r="E357" s="1">
        <v>588</v>
      </c>
      <c r="F357" s="1">
        <v>584</v>
      </c>
      <c r="G357" s="1">
        <v>1172</v>
      </c>
      <c r="H357" s="1">
        <v>1468</v>
      </c>
      <c r="I357" s="1">
        <v>2016</v>
      </c>
      <c r="J357" s="1">
        <v>3484</v>
      </c>
      <c r="K357" s="1">
        <v>425</v>
      </c>
      <c r="L357" s="1">
        <v>724</v>
      </c>
      <c r="M357" s="1">
        <v>1149</v>
      </c>
      <c r="N357" s="1">
        <v>298</v>
      </c>
      <c r="O357" s="1">
        <v>449</v>
      </c>
      <c r="P357" s="1">
        <v>747</v>
      </c>
      <c r="Q357" s="1">
        <v>200</v>
      </c>
      <c r="R357" s="1">
        <v>302</v>
      </c>
      <c r="S357" s="1">
        <v>502</v>
      </c>
      <c r="T357" s="1">
        <v>100</v>
      </c>
      <c r="U357" s="1">
        <v>104</v>
      </c>
      <c r="V357" s="1">
        <v>204</v>
      </c>
      <c r="W357" s="1">
        <f t="shared" ref="W357:X357" si="3126">SUM(E357,H357,K357,N357,Q357,T357)</f>
        <v>3079</v>
      </c>
      <c r="X357" s="1">
        <f t="shared" si="3126"/>
        <v>4179</v>
      </c>
      <c r="Y357" s="1">
        <f t="shared" si="2301"/>
        <v>7258</v>
      </c>
      <c r="Z357" s="1">
        <f t="shared" ref="Z357:AA357" si="3127">W357-T357</f>
        <v>2979</v>
      </c>
      <c r="AA357" s="1">
        <f t="shared" si="3127"/>
        <v>4075</v>
      </c>
      <c r="AB357" s="1">
        <f t="shared" si="2303"/>
        <v>7054</v>
      </c>
      <c r="AC357" s="1">
        <f t="shared" ref="AC357:AD357" si="3128">SUM(E357,H357,K357,N357)</f>
        <v>2779</v>
      </c>
      <c r="AD357" s="1">
        <f t="shared" si="3128"/>
        <v>3773</v>
      </c>
      <c r="AE357" s="1">
        <f t="shared" si="2305"/>
        <v>6552</v>
      </c>
      <c r="AF357" s="2">
        <f t="shared" ref="AF357:AH357" si="3129">AC357/Z357</f>
        <v>0.93286337697213828</v>
      </c>
      <c r="AG357" s="2">
        <f t="shared" si="3129"/>
        <v>0.92588957055214727</v>
      </c>
      <c r="AH357" s="2">
        <f t="shared" si="3129"/>
        <v>0.92883470371420473</v>
      </c>
      <c r="AI357" s="1">
        <f t="shared" ref="AI357:AJ357" si="3130">SUM(E357,H357,K357)</f>
        <v>2481</v>
      </c>
      <c r="AJ357" s="1">
        <f t="shared" si="3130"/>
        <v>3324</v>
      </c>
      <c r="AK357" s="1">
        <f t="shared" si="2308"/>
        <v>5805</v>
      </c>
      <c r="AL357" s="2">
        <f t="shared" ref="AL357:AN357" si="3131">AI357/Z357</f>
        <v>0.83282980866062439</v>
      </c>
      <c r="AM357" s="2">
        <f t="shared" si="3131"/>
        <v>0.81570552147239261</v>
      </c>
      <c r="AN357" s="2">
        <f t="shared" si="3131"/>
        <v>0.8229373405160193</v>
      </c>
      <c r="AO357" s="2">
        <f t="shared" ref="AO357:AQ357" si="3132">E357/Z357</f>
        <v>0.1973816717019134</v>
      </c>
      <c r="AP357" s="2">
        <f t="shared" si="3132"/>
        <v>0.14331288343558282</v>
      </c>
      <c r="AQ357" s="2">
        <f t="shared" si="3132"/>
        <v>0.16614686702580098</v>
      </c>
      <c r="AR357" s="2">
        <f t="shared" si="2311"/>
        <v>0.10137630077207116</v>
      </c>
      <c r="AS357" s="2">
        <f t="shared" ref="AS357:AT357" si="3133">R357/AA357</f>
        <v>7.411042944785276E-2</v>
      </c>
      <c r="AT357" s="2">
        <f t="shared" si="3133"/>
        <v>7.1165296285795293E-2</v>
      </c>
      <c r="AU357" s="2">
        <f t="shared" si="2475"/>
        <v>3.2478077297823968E-2</v>
      </c>
      <c r="AV357" s="2">
        <f t="shared" si="2475"/>
        <v>2.4886336444125388E-2</v>
      </c>
      <c r="AW357" s="2">
        <f t="shared" si="3109"/>
        <v>2.8106916505924496E-2</v>
      </c>
    </row>
    <row r="358" spans="1:49" ht="13" x14ac:dyDescent="0.15">
      <c r="A358" s="1">
        <v>2022</v>
      </c>
      <c r="B358" s="1" t="s">
        <v>49</v>
      </c>
      <c r="C358" s="1" t="s">
        <v>50</v>
      </c>
      <c r="D358" s="1" t="s">
        <v>164</v>
      </c>
      <c r="E358" s="1">
        <v>204</v>
      </c>
      <c r="F358" s="1">
        <v>164</v>
      </c>
      <c r="G358" s="1">
        <v>368</v>
      </c>
      <c r="H358" s="1">
        <v>519</v>
      </c>
      <c r="I358" s="1">
        <v>652</v>
      </c>
      <c r="J358" s="1">
        <v>1171</v>
      </c>
      <c r="K358" s="1">
        <v>131</v>
      </c>
      <c r="L358" s="1">
        <v>208</v>
      </c>
      <c r="M358" s="1">
        <v>339</v>
      </c>
      <c r="N358" s="1">
        <v>73</v>
      </c>
      <c r="O358" s="1">
        <v>110</v>
      </c>
      <c r="P358" s="1">
        <v>183</v>
      </c>
      <c r="Q358" s="1">
        <v>32</v>
      </c>
      <c r="R358" s="1">
        <v>55</v>
      </c>
      <c r="S358" s="1">
        <v>87</v>
      </c>
      <c r="T358" s="1">
        <v>31</v>
      </c>
      <c r="U358" s="1">
        <v>35</v>
      </c>
      <c r="V358" s="1">
        <v>66</v>
      </c>
      <c r="W358" s="1">
        <f t="shared" ref="W358:X358" si="3134">SUM(E358,H358,K358,N358,Q358,T358)</f>
        <v>990</v>
      </c>
      <c r="X358" s="1">
        <f t="shared" si="3134"/>
        <v>1224</v>
      </c>
      <c r="Y358" s="1">
        <f t="shared" si="2301"/>
        <v>2214</v>
      </c>
      <c r="Z358" s="1">
        <f t="shared" ref="Z358:AA358" si="3135">W358-T358</f>
        <v>959</v>
      </c>
      <c r="AA358" s="1">
        <f t="shared" si="3135"/>
        <v>1189</v>
      </c>
      <c r="AB358" s="1">
        <f t="shared" si="2303"/>
        <v>2148</v>
      </c>
      <c r="AC358" s="1">
        <f t="shared" ref="AC358:AD358" si="3136">SUM(E358,H358,K358,N358)</f>
        <v>927</v>
      </c>
      <c r="AD358" s="1">
        <f t="shared" si="3136"/>
        <v>1134</v>
      </c>
      <c r="AE358" s="1">
        <f t="shared" si="2305"/>
        <v>2061</v>
      </c>
      <c r="AF358" s="2">
        <f t="shared" ref="AF358:AH358" si="3137">AC358/Z358</f>
        <v>0.96663190823774769</v>
      </c>
      <c r="AG358" s="2">
        <f t="shared" si="3137"/>
        <v>0.95374264087468463</v>
      </c>
      <c r="AH358" s="2">
        <f t="shared" si="3137"/>
        <v>0.95949720670391059</v>
      </c>
      <c r="AI358" s="1">
        <f t="shared" ref="AI358:AJ358" si="3138">SUM(E358,H358,K358)</f>
        <v>854</v>
      </c>
      <c r="AJ358" s="1">
        <f t="shared" si="3138"/>
        <v>1024</v>
      </c>
      <c r="AK358" s="1">
        <f t="shared" si="2308"/>
        <v>1878</v>
      </c>
      <c r="AL358" s="2">
        <f t="shared" ref="AL358:AN358" si="3139">AI358/Z358</f>
        <v>0.89051094890510951</v>
      </c>
      <c r="AM358" s="2">
        <f t="shared" si="3139"/>
        <v>0.86122792262405379</v>
      </c>
      <c r="AN358" s="2">
        <f t="shared" si="3139"/>
        <v>0.87430167597765363</v>
      </c>
      <c r="AO358" s="2">
        <f t="shared" ref="AO358:AQ358" si="3140">E358/Z358</f>
        <v>0.2127215849843587</v>
      </c>
      <c r="AP358" s="2">
        <f t="shared" si="3140"/>
        <v>0.13793103448275862</v>
      </c>
      <c r="AQ358" s="2">
        <f t="shared" si="3140"/>
        <v>0.17132216014897581</v>
      </c>
      <c r="AR358" s="2">
        <f t="shared" si="2311"/>
        <v>5.7351407716371219E-2</v>
      </c>
      <c r="AS358" s="2">
        <f t="shared" ref="AS358:AT358" si="3141">R358/AA358</f>
        <v>4.6257359125315388E-2</v>
      </c>
      <c r="AT358" s="2">
        <f t="shared" si="3141"/>
        <v>4.0502793296089384E-2</v>
      </c>
      <c r="AU358" s="2">
        <f t="shared" si="2475"/>
        <v>3.1313131313131314E-2</v>
      </c>
      <c r="AV358" s="2">
        <f t="shared" si="2475"/>
        <v>2.8594771241830064E-2</v>
      </c>
      <c r="AW358" s="2">
        <f t="shared" si="3109"/>
        <v>2.9810298102981029E-2</v>
      </c>
    </row>
    <row r="359" spans="1:49" ht="13" x14ac:dyDescent="0.15">
      <c r="A359" s="1">
        <v>2022</v>
      </c>
      <c r="B359" s="1" t="s">
        <v>66</v>
      </c>
      <c r="C359" s="1" t="s">
        <v>67</v>
      </c>
      <c r="D359" s="1" t="s">
        <v>165</v>
      </c>
      <c r="E359" s="1">
        <v>6</v>
      </c>
      <c r="F359" s="1">
        <v>1</v>
      </c>
      <c r="G359" s="1">
        <v>7</v>
      </c>
      <c r="H359" s="1">
        <v>286</v>
      </c>
      <c r="I359" s="1">
        <v>100</v>
      </c>
      <c r="J359" s="1">
        <v>386</v>
      </c>
      <c r="K359" s="1">
        <v>331</v>
      </c>
      <c r="L359" s="1">
        <v>193</v>
      </c>
      <c r="M359" s="1">
        <v>524</v>
      </c>
      <c r="N359" s="1">
        <v>215</v>
      </c>
      <c r="O359" s="1">
        <v>126</v>
      </c>
      <c r="P359" s="1">
        <v>341</v>
      </c>
      <c r="Q359" s="1">
        <v>354</v>
      </c>
      <c r="R359" s="1">
        <v>264</v>
      </c>
      <c r="S359" s="1">
        <v>618</v>
      </c>
      <c r="T359" s="1">
        <v>98</v>
      </c>
      <c r="U359" s="1">
        <v>54</v>
      </c>
      <c r="V359" s="1">
        <v>152</v>
      </c>
      <c r="W359" s="1">
        <f t="shared" ref="W359:X359" si="3142">SUM(E359,H359,K359,N359,Q359,T359)</f>
        <v>1290</v>
      </c>
      <c r="X359" s="1">
        <f t="shared" si="3142"/>
        <v>738</v>
      </c>
      <c r="Y359" s="1">
        <f t="shared" si="2301"/>
        <v>2028</v>
      </c>
      <c r="Z359" s="1">
        <f t="shared" ref="Z359:AA359" si="3143">W359-T359</f>
        <v>1192</v>
      </c>
      <c r="AA359" s="1">
        <f t="shared" si="3143"/>
        <v>684</v>
      </c>
      <c r="AB359" s="1">
        <f t="shared" si="2303"/>
        <v>1876</v>
      </c>
      <c r="AC359" s="1">
        <f t="shared" ref="AC359:AD359" si="3144">SUM(E359,H359,K359,N359)</f>
        <v>838</v>
      </c>
      <c r="AD359" s="1">
        <f t="shared" si="3144"/>
        <v>420</v>
      </c>
      <c r="AE359" s="1">
        <f t="shared" si="2305"/>
        <v>1258</v>
      </c>
      <c r="AF359" s="2">
        <f t="shared" ref="AF359:AH359" si="3145">AC359/Z359</f>
        <v>0.70302013422818788</v>
      </c>
      <c r="AG359" s="2">
        <f t="shared" si="3145"/>
        <v>0.61403508771929827</v>
      </c>
      <c r="AH359" s="2">
        <f t="shared" si="3145"/>
        <v>0.67057569296375263</v>
      </c>
      <c r="AI359" s="1">
        <f t="shared" ref="AI359:AJ359" si="3146">SUM(E359,H359,K359)</f>
        <v>623</v>
      </c>
      <c r="AJ359" s="1">
        <f t="shared" si="3146"/>
        <v>294</v>
      </c>
      <c r="AK359" s="1">
        <f t="shared" si="2308"/>
        <v>917</v>
      </c>
      <c r="AL359" s="2">
        <f t="shared" ref="AL359:AN359" si="3147">AI359/Z359</f>
        <v>0.5226510067114094</v>
      </c>
      <c r="AM359" s="2">
        <f t="shared" si="3147"/>
        <v>0.42982456140350878</v>
      </c>
      <c r="AN359" s="2">
        <f t="shared" si="3147"/>
        <v>0.48880597014925375</v>
      </c>
      <c r="AO359" s="2">
        <f t="shared" ref="AO359:AQ359" si="3148">E359/Z359</f>
        <v>5.0335570469798654E-3</v>
      </c>
      <c r="AP359" s="2">
        <f t="shared" si="3148"/>
        <v>1.4619883040935672E-3</v>
      </c>
      <c r="AQ359" s="2">
        <f t="shared" si="3148"/>
        <v>3.7313432835820895E-3</v>
      </c>
      <c r="AR359" s="2">
        <f t="shared" si="2311"/>
        <v>0.22147651006711411</v>
      </c>
      <c r="AS359" s="2">
        <f t="shared" ref="AS359:AT359" si="3149">R359/AA359</f>
        <v>0.38596491228070173</v>
      </c>
      <c r="AT359" s="2">
        <f t="shared" si="3149"/>
        <v>0.32942430703624731</v>
      </c>
      <c r="AU359" s="2">
        <f t="shared" si="2475"/>
        <v>7.5968992248062014E-2</v>
      </c>
      <c r="AV359" s="2">
        <f t="shared" si="2475"/>
        <v>7.3170731707317069E-2</v>
      </c>
      <c r="AW359" s="2">
        <f t="shared" si="3109"/>
        <v>7.4950690335305714E-2</v>
      </c>
    </row>
    <row r="360" spans="1:49" ht="13" x14ac:dyDescent="0.15">
      <c r="A360" s="1">
        <v>2022</v>
      </c>
      <c r="B360" s="1" t="s">
        <v>49</v>
      </c>
      <c r="C360" s="1" t="s">
        <v>62</v>
      </c>
      <c r="D360" s="1" t="s">
        <v>166</v>
      </c>
      <c r="E360" s="1">
        <v>68</v>
      </c>
      <c r="F360" s="1">
        <v>48</v>
      </c>
      <c r="G360" s="1">
        <v>116</v>
      </c>
      <c r="H360" s="1">
        <v>510</v>
      </c>
      <c r="I360" s="1">
        <v>544</v>
      </c>
      <c r="J360" s="1">
        <v>1054</v>
      </c>
      <c r="K360" s="1">
        <v>439</v>
      </c>
      <c r="L360" s="1">
        <v>514</v>
      </c>
      <c r="M360" s="1">
        <v>953</v>
      </c>
      <c r="N360" s="1">
        <v>270</v>
      </c>
      <c r="O360" s="1">
        <v>374</v>
      </c>
      <c r="P360" s="1">
        <v>644</v>
      </c>
      <c r="Q360" s="1">
        <v>513</v>
      </c>
      <c r="R360" s="1">
        <v>488</v>
      </c>
      <c r="S360" s="1">
        <v>1001</v>
      </c>
      <c r="T360" s="1">
        <v>42</v>
      </c>
      <c r="U360" s="1">
        <v>58</v>
      </c>
      <c r="V360" s="1">
        <v>100</v>
      </c>
      <c r="W360" s="1">
        <f t="shared" ref="W360:X360" si="3150">SUM(E360,H360,K360,N360,Q360,T360)</f>
        <v>1842</v>
      </c>
      <c r="X360" s="1">
        <f t="shared" si="3150"/>
        <v>2026</v>
      </c>
      <c r="Y360" s="1">
        <f t="shared" si="2301"/>
        <v>3868</v>
      </c>
      <c r="Z360" s="1">
        <f t="shared" ref="Z360:AA360" si="3151">W360-T360</f>
        <v>1800</v>
      </c>
      <c r="AA360" s="1">
        <f t="shared" si="3151"/>
        <v>1968</v>
      </c>
      <c r="AB360" s="1">
        <f t="shared" si="2303"/>
        <v>3768</v>
      </c>
      <c r="AC360" s="1">
        <f t="shared" ref="AC360:AD360" si="3152">SUM(E360,H360,K360,N360)</f>
        <v>1287</v>
      </c>
      <c r="AD360" s="1">
        <f t="shared" si="3152"/>
        <v>1480</v>
      </c>
      <c r="AE360" s="1">
        <f t="shared" si="2305"/>
        <v>2767</v>
      </c>
      <c r="AF360" s="2">
        <f t="shared" ref="AF360:AH360" si="3153">AC360/Z360</f>
        <v>0.71499999999999997</v>
      </c>
      <c r="AG360" s="2">
        <f t="shared" si="3153"/>
        <v>0.75203252032520329</v>
      </c>
      <c r="AH360" s="2">
        <f t="shared" si="3153"/>
        <v>0.73434182590233543</v>
      </c>
      <c r="AI360" s="1">
        <f t="shared" ref="AI360:AJ360" si="3154">SUM(E360,H360,K360)</f>
        <v>1017</v>
      </c>
      <c r="AJ360" s="1">
        <f t="shared" si="3154"/>
        <v>1106</v>
      </c>
      <c r="AK360" s="1">
        <f t="shared" si="2308"/>
        <v>2123</v>
      </c>
      <c r="AL360" s="2">
        <f t="shared" ref="AL360:AN360" si="3155">AI360/Z360</f>
        <v>0.56499999999999995</v>
      </c>
      <c r="AM360" s="2">
        <f t="shared" si="3155"/>
        <v>0.56199186991869921</v>
      </c>
      <c r="AN360" s="2">
        <f t="shared" si="3155"/>
        <v>0.56342887473460723</v>
      </c>
      <c r="AO360" s="2">
        <f t="shared" ref="AO360:AQ360" si="3156">E360/Z360</f>
        <v>3.7777777777777778E-2</v>
      </c>
      <c r="AP360" s="2">
        <f t="shared" si="3156"/>
        <v>2.4390243902439025E-2</v>
      </c>
      <c r="AQ360" s="2">
        <f t="shared" si="3156"/>
        <v>3.0785562632696391E-2</v>
      </c>
      <c r="AR360" s="2">
        <f t="shared" si="2311"/>
        <v>0.27111111111111114</v>
      </c>
      <c r="AS360" s="2">
        <f t="shared" ref="AS360:AT360" si="3157">R360/AA360</f>
        <v>0.24796747967479674</v>
      </c>
      <c r="AT360" s="2">
        <f t="shared" si="3157"/>
        <v>0.26565817409766457</v>
      </c>
      <c r="AU360" s="2">
        <f t="shared" si="2475"/>
        <v>2.2801302931596091E-2</v>
      </c>
      <c r="AV360" s="2">
        <f t="shared" si="2475"/>
        <v>2.8627838104639685E-2</v>
      </c>
      <c r="AW360" s="2">
        <f t="shared" si="3109"/>
        <v>2.5853154084798345E-2</v>
      </c>
    </row>
    <row r="361" spans="1:49" ht="13" x14ac:dyDescent="0.15">
      <c r="A361" s="1">
        <v>2022</v>
      </c>
      <c r="B361" s="1" t="s">
        <v>49</v>
      </c>
      <c r="C361" s="1" t="s">
        <v>67</v>
      </c>
      <c r="D361" s="1" t="s">
        <v>167</v>
      </c>
      <c r="E361" s="1">
        <v>45</v>
      </c>
      <c r="F361" s="1">
        <v>5</v>
      </c>
      <c r="G361" s="1">
        <v>50</v>
      </c>
      <c r="H361" s="1">
        <v>772</v>
      </c>
      <c r="I361" s="1">
        <v>333</v>
      </c>
      <c r="J361" s="1">
        <v>1105</v>
      </c>
      <c r="K361" s="1">
        <v>457</v>
      </c>
      <c r="L361" s="1">
        <v>300</v>
      </c>
      <c r="M361" s="1">
        <v>757</v>
      </c>
      <c r="N361" s="1">
        <v>176</v>
      </c>
      <c r="O361" s="1">
        <v>126</v>
      </c>
      <c r="P361" s="1">
        <v>302</v>
      </c>
      <c r="Q361" s="1">
        <v>142</v>
      </c>
      <c r="R361" s="1">
        <v>113</v>
      </c>
      <c r="S361" s="1">
        <v>255</v>
      </c>
      <c r="T361" s="1">
        <v>83</v>
      </c>
      <c r="U361" s="1">
        <v>59</v>
      </c>
      <c r="V361" s="1">
        <v>142</v>
      </c>
      <c r="W361" s="1">
        <f t="shared" ref="W361:X361" si="3158">SUM(E361,H361,K361,N361,Q361,T361)</f>
        <v>1675</v>
      </c>
      <c r="X361" s="1">
        <f t="shared" si="3158"/>
        <v>936</v>
      </c>
      <c r="Y361" s="1">
        <f t="shared" si="2301"/>
        <v>2611</v>
      </c>
      <c r="Z361" s="1">
        <f t="shared" ref="Z361:AA361" si="3159">W361-T361</f>
        <v>1592</v>
      </c>
      <c r="AA361" s="1">
        <f t="shared" si="3159"/>
        <v>877</v>
      </c>
      <c r="AB361" s="1">
        <f t="shared" si="2303"/>
        <v>2469</v>
      </c>
      <c r="AC361" s="1">
        <f t="shared" ref="AC361:AD361" si="3160">SUM(E361,H361,K361,N361)</f>
        <v>1450</v>
      </c>
      <c r="AD361" s="1">
        <f t="shared" si="3160"/>
        <v>764</v>
      </c>
      <c r="AE361" s="1">
        <f t="shared" si="2305"/>
        <v>2214</v>
      </c>
      <c r="AF361" s="2">
        <f t="shared" ref="AF361:AH361" si="3161">AC361/Z361</f>
        <v>0.91080402010050254</v>
      </c>
      <c r="AG361" s="2">
        <f t="shared" si="3161"/>
        <v>0.87115165336374001</v>
      </c>
      <c r="AH361" s="2">
        <f t="shared" si="3161"/>
        <v>0.89671931956257589</v>
      </c>
      <c r="AI361" s="1">
        <f t="shared" ref="AI361:AJ361" si="3162">SUM(E361,H361,K361)</f>
        <v>1274</v>
      </c>
      <c r="AJ361" s="1">
        <f t="shared" si="3162"/>
        <v>638</v>
      </c>
      <c r="AK361" s="1">
        <f t="shared" si="2308"/>
        <v>1912</v>
      </c>
      <c r="AL361" s="2">
        <f t="shared" ref="AL361:AN361" si="3163">AI361/Z361</f>
        <v>0.80025125628140703</v>
      </c>
      <c r="AM361" s="2">
        <f t="shared" si="3163"/>
        <v>0.72748004561003421</v>
      </c>
      <c r="AN361" s="2">
        <f t="shared" si="3163"/>
        <v>0.77440259214256779</v>
      </c>
      <c r="AO361" s="2">
        <f t="shared" ref="AO361:AQ361" si="3164">E361/Z361</f>
        <v>2.8266331658291458E-2</v>
      </c>
      <c r="AP361" s="2">
        <f t="shared" si="3164"/>
        <v>5.7012542759407071E-3</v>
      </c>
      <c r="AQ361" s="2">
        <f t="shared" si="3164"/>
        <v>2.025111381125962E-2</v>
      </c>
      <c r="AR361" s="2">
        <f t="shared" si="2311"/>
        <v>7.0979899497487439E-2</v>
      </c>
      <c r="AS361" s="2">
        <f t="shared" ref="AS361:AT361" si="3165">R361/AA361</f>
        <v>0.12884834663625996</v>
      </c>
      <c r="AT361" s="2">
        <f t="shared" si="3165"/>
        <v>0.10328068043742406</v>
      </c>
      <c r="AU361" s="2">
        <f t="shared" si="2475"/>
        <v>4.955223880597015E-2</v>
      </c>
      <c r="AV361" s="2">
        <f t="shared" si="2475"/>
        <v>6.3034188034188032E-2</v>
      </c>
      <c r="AW361" s="2">
        <f t="shared" si="3109"/>
        <v>5.4385292991191117E-2</v>
      </c>
    </row>
    <row r="362" spans="1:49" ht="13" x14ac:dyDescent="0.15">
      <c r="A362" s="1">
        <v>2022</v>
      </c>
      <c r="B362" s="1" t="s">
        <v>49</v>
      </c>
      <c r="C362" s="1" t="s">
        <v>50</v>
      </c>
      <c r="D362" s="1" t="s">
        <v>168</v>
      </c>
      <c r="E362" s="1">
        <v>1548</v>
      </c>
      <c r="F362" s="1">
        <v>1572</v>
      </c>
      <c r="G362" s="1">
        <v>3120</v>
      </c>
      <c r="H362" s="1">
        <v>1879</v>
      </c>
      <c r="I362" s="1">
        <v>2313</v>
      </c>
      <c r="J362" s="1">
        <v>4192</v>
      </c>
      <c r="K362" s="1">
        <v>420</v>
      </c>
      <c r="L362" s="1">
        <v>590</v>
      </c>
      <c r="M362" s="1">
        <v>1010</v>
      </c>
      <c r="N362" s="1">
        <v>271</v>
      </c>
      <c r="O362" s="1">
        <v>383</v>
      </c>
      <c r="P362" s="1">
        <v>654</v>
      </c>
      <c r="Q362" s="1">
        <v>187</v>
      </c>
      <c r="R362" s="1">
        <v>250</v>
      </c>
      <c r="S362" s="1">
        <v>437</v>
      </c>
      <c r="T362" s="1">
        <v>104</v>
      </c>
      <c r="U362" s="1">
        <v>111</v>
      </c>
      <c r="V362" s="1">
        <v>215</v>
      </c>
      <c r="W362" s="1">
        <f t="shared" ref="W362:X362" si="3166">SUM(E362,H362,K362,N362,Q362,T362)</f>
        <v>4409</v>
      </c>
      <c r="X362" s="1">
        <f t="shared" si="3166"/>
        <v>5219</v>
      </c>
      <c r="Y362" s="1">
        <f t="shared" si="2301"/>
        <v>9628</v>
      </c>
      <c r="Z362" s="1">
        <f t="shared" ref="Z362:AA362" si="3167">W362-T362</f>
        <v>4305</v>
      </c>
      <c r="AA362" s="1">
        <f t="shared" si="3167"/>
        <v>5108</v>
      </c>
      <c r="AB362" s="1">
        <f t="shared" si="2303"/>
        <v>9413</v>
      </c>
      <c r="AC362" s="1">
        <f t="shared" ref="AC362:AD362" si="3168">SUM(E362,H362,K362,N362)</f>
        <v>4118</v>
      </c>
      <c r="AD362" s="1">
        <f t="shared" si="3168"/>
        <v>4858</v>
      </c>
      <c r="AE362" s="1">
        <f t="shared" si="2305"/>
        <v>8976</v>
      </c>
      <c r="AF362" s="2">
        <f t="shared" ref="AF362:AH362" si="3169">AC362/Z362</f>
        <v>0.95656213704994197</v>
      </c>
      <c r="AG362" s="2">
        <f t="shared" si="3169"/>
        <v>0.95105716523101014</v>
      </c>
      <c r="AH362" s="2">
        <f t="shared" si="3169"/>
        <v>0.95357484330181663</v>
      </c>
      <c r="AI362" s="1">
        <f t="shared" ref="AI362:AJ362" si="3170">SUM(E362,H362,K362)</f>
        <v>3847</v>
      </c>
      <c r="AJ362" s="1">
        <f t="shared" si="3170"/>
        <v>4475</v>
      </c>
      <c r="AK362" s="1">
        <f t="shared" si="2308"/>
        <v>8322</v>
      </c>
      <c r="AL362" s="2">
        <f t="shared" ref="AL362:AN362" si="3171">AI362/Z362</f>
        <v>0.8936120789779326</v>
      </c>
      <c r="AM362" s="2">
        <f t="shared" si="3171"/>
        <v>0.87607674236491773</v>
      </c>
      <c r="AN362" s="2">
        <f t="shared" si="3171"/>
        <v>0.88409646233931793</v>
      </c>
      <c r="AO362" s="2">
        <f t="shared" ref="AO362:AQ362" si="3172">E362/Z362</f>
        <v>0.35958188153310106</v>
      </c>
      <c r="AP362" s="2">
        <f t="shared" si="3172"/>
        <v>0.30775254502740801</v>
      </c>
      <c r="AQ362" s="2">
        <f t="shared" si="3172"/>
        <v>0.33145649633485608</v>
      </c>
      <c r="AR362" s="2">
        <f t="shared" si="2311"/>
        <v>5.8072009291521488E-2</v>
      </c>
      <c r="AS362" s="2">
        <f t="shared" ref="AS362:AT362" si="3173">R362/AA362</f>
        <v>4.8942834768989821E-2</v>
      </c>
      <c r="AT362" s="2">
        <f t="shared" si="3173"/>
        <v>4.642515669818336E-2</v>
      </c>
      <c r="AU362" s="2">
        <f t="shared" si="2475"/>
        <v>2.3588115218870491E-2</v>
      </c>
      <c r="AV362" s="2">
        <f t="shared" si="2475"/>
        <v>2.126844223031232E-2</v>
      </c>
      <c r="AW362" s="2">
        <f t="shared" si="3109"/>
        <v>2.2330702118820107E-2</v>
      </c>
    </row>
    <row r="363" spans="1:49" ht="13" x14ac:dyDescent="0.15">
      <c r="A363" s="1">
        <v>2022</v>
      </c>
      <c r="B363" s="1" t="s">
        <v>49</v>
      </c>
      <c r="C363" s="1" t="s">
        <v>99</v>
      </c>
      <c r="D363" s="1" t="s">
        <v>169</v>
      </c>
      <c r="E363" s="1">
        <v>416</v>
      </c>
      <c r="F363" s="1">
        <v>303</v>
      </c>
      <c r="G363" s="1">
        <v>719</v>
      </c>
      <c r="H363" s="1">
        <v>1405</v>
      </c>
      <c r="I363" s="1">
        <v>1608</v>
      </c>
      <c r="J363" s="1">
        <v>3013</v>
      </c>
      <c r="K363" s="1">
        <v>463</v>
      </c>
      <c r="L363" s="1">
        <v>561</v>
      </c>
      <c r="M363" s="1">
        <v>1024</v>
      </c>
      <c r="N363" s="1">
        <v>266</v>
      </c>
      <c r="O363" s="1">
        <v>376</v>
      </c>
      <c r="P363" s="1">
        <v>642</v>
      </c>
      <c r="Q363" s="1">
        <v>215</v>
      </c>
      <c r="R363" s="1">
        <v>260</v>
      </c>
      <c r="S363" s="1">
        <v>475</v>
      </c>
      <c r="T363" s="1">
        <v>49</v>
      </c>
      <c r="U363" s="1">
        <v>46</v>
      </c>
      <c r="V363" s="1">
        <v>95</v>
      </c>
      <c r="W363" s="1">
        <f t="shared" ref="W363:X363" si="3174">SUM(E363,H363,K363,N363,Q363,T363)</f>
        <v>2814</v>
      </c>
      <c r="X363" s="1">
        <f t="shared" si="3174"/>
        <v>3154</v>
      </c>
      <c r="Y363" s="1">
        <f t="shared" si="2301"/>
        <v>5968</v>
      </c>
      <c r="Z363" s="1">
        <f t="shared" ref="Z363:AA363" si="3175">W363-T363</f>
        <v>2765</v>
      </c>
      <c r="AA363" s="1">
        <f t="shared" si="3175"/>
        <v>3108</v>
      </c>
      <c r="AB363" s="1">
        <f t="shared" si="2303"/>
        <v>5873</v>
      </c>
      <c r="AC363" s="1">
        <f t="shared" ref="AC363:AD363" si="3176">SUM(E363,H363,K363,N363)</f>
        <v>2550</v>
      </c>
      <c r="AD363" s="1">
        <f t="shared" si="3176"/>
        <v>2848</v>
      </c>
      <c r="AE363" s="1">
        <f t="shared" si="2305"/>
        <v>5398</v>
      </c>
      <c r="AF363" s="2">
        <f t="shared" ref="AF363:AH363" si="3177">AC363/Z363</f>
        <v>0.92224231464737794</v>
      </c>
      <c r="AG363" s="2">
        <f t="shared" si="3177"/>
        <v>0.91634491634491633</v>
      </c>
      <c r="AH363" s="2">
        <f t="shared" si="3177"/>
        <v>0.91912140303081902</v>
      </c>
      <c r="AI363" s="1">
        <f t="shared" ref="AI363:AJ363" si="3178">SUM(E363,H363,K363)</f>
        <v>2284</v>
      </c>
      <c r="AJ363" s="1">
        <f t="shared" si="3178"/>
        <v>2472</v>
      </c>
      <c r="AK363" s="1">
        <f t="shared" si="2308"/>
        <v>4756</v>
      </c>
      <c r="AL363" s="2">
        <f t="shared" ref="AL363:AN363" si="3179">AI363/Z363</f>
        <v>0.82603978300180836</v>
      </c>
      <c r="AM363" s="2">
        <f t="shared" si="3179"/>
        <v>0.79536679536679533</v>
      </c>
      <c r="AN363" s="2">
        <f t="shared" si="3179"/>
        <v>0.80980759407457859</v>
      </c>
      <c r="AO363" s="2">
        <f t="shared" ref="AO363:AQ363" si="3180">E363/Z363</f>
        <v>0.15045207956600362</v>
      </c>
      <c r="AP363" s="2">
        <f t="shared" si="3180"/>
        <v>9.749034749034749E-2</v>
      </c>
      <c r="AQ363" s="2">
        <f t="shared" si="3180"/>
        <v>0.12242465520177082</v>
      </c>
      <c r="AR363" s="2">
        <f t="shared" si="2311"/>
        <v>9.403254972875226E-2</v>
      </c>
      <c r="AS363" s="2">
        <f t="shared" ref="AS363:AT363" si="3181">R363/AA363</f>
        <v>8.3655083655083659E-2</v>
      </c>
      <c r="AT363" s="2">
        <f t="shared" si="3181"/>
        <v>8.0878596969180996E-2</v>
      </c>
      <c r="AU363" s="2">
        <f t="shared" si="2475"/>
        <v>1.7412935323383085E-2</v>
      </c>
      <c r="AV363" s="2">
        <f t="shared" si="2475"/>
        <v>1.4584654407102092E-2</v>
      </c>
      <c r="AW363" s="2">
        <f t="shared" si="3109"/>
        <v>1.5918230563002681E-2</v>
      </c>
    </row>
    <row r="364" spans="1:49" ht="13" x14ac:dyDescent="0.15">
      <c r="A364" s="1">
        <v>2022</v>
      </c>
      <c r="B364" s="1" t="s">
        <v>49</v>
      </c>
      <c r="C364" s="1" t="s">
        <v>89</v>
      </c>
      <c r="D364" s="1" t="s">
        <v>170</v>
      </c>
      <c r="E364" s="1">
        <v>366</v>
      </c>
      <c r="F364" s="1">
        <v>216</v>
      </c>
      <c r="G364" s="1">
        <v>582</v>
      </c>
      <c r="H364" s="1">
        <v>1958</v>
      </c>
      <c r="I364" s="1">
        <v>1966</v>
      </c>
      <c r="J364" s="1">
        <v>3924</v>
      </c>
      <c r="K364" s="1">
        <v>988</v>
      </c>
      <c r="L364" s="1">
        <v>1089</v>
      </c>
      <c r="M364" s="1">
        <v>2077</v>
      </c>
      <c r="N364" s="1">
        <v>872</v>
      </c>
      <c r="O364" s="1">
        <v>965</v>
      </c>
      <c r="P364" s="1">
        <v>1837</v>
      </c>
      <c r="Q364" s="1">
        <v>978</v>
      </c>
      <c r="R364" s="1">
        <v>1133</v>
      </c>
      <c r="S364" s="1">
        <v>2111</v>
      </c>
      <c r="T364" s="1">
        <v>193</v>
      </c>
      <c r="U364" s="1">
        <v>222</v>
      </c>
      <c r="V364" s="1">
        <v>415</v>
      </c>
      <c r="W364" s="1">
        <f t="shared" ref="W364:X364" si="3182">SUM(E364,H364,K364,N364,Q364,T364)</f>
        <v>5355</v>
      </c>
      <c r="X364" s="1">
        <f t="shared" si="3182"/>
        <v>5591</v>
      </c>
      <c r="Y364" s="1">
        <f t="shared" si="2301"/>
        <v>10946</v>
      </c>
      <c r="Z364" s="1">
        <f t="shared" ref="Z364:AA364" si="3183">W364-T364</f>
        <v>5162</v>
      </c>
      <c r="AA364" s="1">
        <f t="shared" si="3183"/>
        <v>5369</v>
      </c>
      <c r="AB364" s="1">
        <f t="shared" si="2303"/>
        <v>10531</v>
      </c>
      <c r="AC364" s="1">
        <f t="shared" ref="AC364:AD364" si="3184">SUM(E364,H364,K364,N364)</f>
        <v>4184</v>
      </c>
      <c r="AD364" s="1">
        <f t="shared" si="3184"/>
        <v>4236</v>
      </c>
      <c r="AE364" s="1">
        <f t="shared" si="2305"/>
        <v>8420</v>
      </c>
      <c r="AF364" s="2">
        <f t="shared" ref="AF364:AH364" si="3185">AC364/Z364</f>
        <v>0.81053855094924443</v>
      </c>
      <c r="AG364" s="2">
        <f t="shared" si="3185"/>
        <v>0.78897373812628047</v>
      </c>
      <c r="AH364" s="2">
        <f t="shared" si="3185"/>
        <v>0.79954420282974081</v>
      </c>
      <c r="AI364" s="1">
        <f t="shared" ref="AI364:AJ364" si="3186">SUM(E364,H364,K364)</f>
        <v>3312</v>
      </c>
      <c r="AJ364" s="1">
        <f t="shared" si="3186"/>
        <v>3271</v>
      </c>
      <c r="AK364" s="1">
        <f t="shared" si="2308"/>
        <v>6583</v>
      </c>
      <c r="AL364" s="2">
        <f t="shared" ref="AL364:AN364" si="3187">AI364/Z364</f>
        <v>0.64161177838047267</v>
      </c>
      <c r="AM364" s="2">
        <f t="shared" si="3187"/>
        <v>0.60923821940771095</v>
      </c>
      <c r="AN364" s="2">
        <f t="shared" si="3187"/>
        <v>0.62510682746177948</v>
      </c>
      <c r="AO364" s="2">
        <f t="shared" ref="AO364:AQ364" si="3188">E364/Z364</f>
        <v>7.0902750871755127E-2</v>
      </c>
      <c r="AP364" s="2">
        <f t="shared" si="3188"/>
        <v>4.0230955485192774E-2</v>
      </c>
      <c r="AQ364" s="2">
        <f t="shared" si="3188"/>
        <v>5.5265406893932202E-2</v>
      </c>
      <c r="AR364" s="2">
        <f t="shared" si="2311"/>
        <v>0.21948857032158078</v>
      </c>
      <c r="AS364" s="2">
        <f t="shared" ref="AS364:AT364" si="3189">R364/AA364</f>
        <v>0.21102626187371951</v>
      </c>
      <c r="AT364" s="2">
        <f t="shared" si="3189"/>
        <v>0.20045579717025924</v>
      </c>
      <c r="AU364" s="2">
        <f t="shared" si="2475"/>
        <v>3.6041083099906626E-2</v>
      </c>
      <c r="AV364" s="2">
        <f t="shared" si="2475"/>
        <v>3.970667143623681E-2</v>
      </c>
      <c r="AW364" s="2">
        <f t="shared" si="3109"/>
        <v>3.7913393020281384E-2</v>
      </c>
    </row>
    <row r="365" spans="1:49" ht="13" x14ac:dyDescent="0.15">
      <c r="A365" s="1">
        <v>2022</v>
      </c>
      <c r="B365" s="1" t="s">
        <v>49</v>
      </c>
      <c r="C365" s="1" t="s">
        <v>62</v>
      </c>
      <c r="D365" s="1" t="s">
        <v>171</v>
      </c>
      <c r="E365" s="1">
        <v>730</v>
      </c>
      <c r="F365" s="1">
        <v>613</v>
      </c>
      <c r="G365" s="1">
        <v>1343</v>
      </c>
      <c r="H365" s="1">
        <v>2494</v>
      </c>
      <c r="I365" s="1">
        <v>2904</v>
      </c>
      <c r="J365" s="1">
        <v>5398</v>
      </c>
      <c r="K365" s="1">
        <v>1201</v>
      </c>
      <c r="L365" s="1">
        <v>1541</v>
      </c>
      <c r="M365" s="1">
        <v>2742</v>
      </c>
      <c r="N365" s="1">
        <v>771</v>
      </c>
      <c r="O365" s="1">
        <v>1174</v>
      </c>
      <c r="P365" s="1">
        <v>1945</v>
      </c>
      <c r="Q365" s="1">
        <v>856</v>
      </c>
      <c r="R365" s="1">
        <v>996</v>
      </c>
      <c r="S365" s="1">
        <v>1852</v>
      </c>
      <c r="T365" s="1">
        <v>123</v>
      </c>
      <c r="U365" s="1">
        <v>160</v>
      </c>
      <c r="V365" s="1">
        <v>283</v>
      </c>
      <c r="W365" s="1">
        <f t="shared" ref="W365:X365" si="3190">SUM(E365,H365,K365,N365,Q365,T365)</f>
        <v>6175</v>
      </c>
      <c r="X365" s="1">
        <f t="shared" si="3190"/>
        <v>7388</v>
      </c>
      <c r="Y365" s="1">
        <f t="shared" si="2301"/>
        <v>13563</v>
      </c>
      <c r="Z365" s="1">
        <f t="shared" ref="Z365:AA365" si="3191">W365-T365</f>
        <v>6052</v>
      </c>
      <c r="AA365" s="1">
        <f t="shared" si="3191"/>
        <v>7228</v>
      </c>
      <c r="AB365" s="1">
        <f t="shared" si="2303"/>
        <v>13280</v>
      </c>
      <c r="AC365" s="1">
        <f t="shared" ref="AC365:AD365" si="3192">SUM(E365,H365,K365,N365)</f>
        <v>5196</v>
      </c>
      <c r="AD365" s="1">
        <f t="shared" si="3192"/>
        <v>6232</v>
      </c>
      <c r="AE365" s="1">
        <f t="shared" si="2305"/>
        <v>11428</v>
      </c>
      <c r="AF365" s="2">
        <f t="shared" ref="AF365:AH365" si="3193">AC365/Z365</f>
        <v>0.8585591539986781</v>
      </c>
      <c r="AG365" s="2">
        <f t="shared" si="3193"/>
        <v>0.86220254565578303</v>
      </c>
      <c r="AH365" s="2">
        <f t="shared" si="3193"/>
        <v>0.86054216867469879</v>
      </c>
      <c r="AI365" s="1">
        <f t="shared" ref="AI365:AJ365" si="3194">SUM(E365,H365,K365)</f>
        <v>4425</v>
      </c>
      <c r="AJ365" s="1">
        <f t="shared" si="3194"/>
        <v>5058</v>
      </c>
      <c r="AK365" s="1">
        <f t="shared" si="2308"/>
        <v>9483</v>
      </c>
      <c r="AL365" s="2">
        <f t="shared" ref="AL365:AN365" si="3195">AI365/Z365</f>
        <v>0.73116325181758102</v>
      </c>
      <c r="AM365" s="2">
        <f t="shared" si="3195"/>
        <v>0.69977863862755951</v>
      </c>
      <c r="AN365" s="2">
        <f t="shared" si="3195"/>
        <v>0.71408132530120483</v>
      </c>
      <c r="AO365" s="2">
        <f t="shared" ref="AO365:AQ365" si="3196">E365/Z365</f>
        <v>0.12062128222075347</v>
      </c>
      <c r="AP365" s="2">
        <f t="shared" si="3196"/>
        <v>8.4809075816270063E-2</v>
      </c>
      <c r="AQ365" s="2">
        <f t="shared" si="3196"/>
        <v>0.10112951807228916</v>
      </c>
      <c r="AR365" s="2">
        <f t="shared" si="2311"/>
        <v>0.16457369464639787</v>
      </c>
      <c r="AS365" s="2">
        <f t="shared" ref="AS365:AT365" si="3197">R365/AA365</f>
        <v>0.13779745434421695</v>
      </c>
      <c r="AT365" s="2">
        <f t="shared" si="3197"/>
        <v>0.13945783132530121</v>
      </c>
      <c r="AU365" s="2">
        <f t="shared" si="2475"/>
        <v>1.9919028340080972E-2</v>
      </c>
      <c r="AV365" s="2">
        <f t="shared" si="2475"/>
        <v>2.1656740660530589E-2</v>
      </c>
      <c r="AW365" s="2">
        <f t="shared" si="3109"/>
        <v>2.0865590208655901E-2</v>
      </c>
    </row>
    <row r="366" spans="1:49" ht="13" x14ac:dyDescent="0.15">
      <c r="A366" s="1">
        <v>2022</v>
      </c>
      <c r="B366" s="1" t="s">
        <v>49</v>
      </c>
      <c r="C366" s="1" t="s">
        <v>54</v>
      </c>
      <c r="D366" s="1" t="s">
        <v>172</v>
      </c>
      <c r="E366" s="1">
        <v>1947</v>
      </c>
      <c r="F366" s="1">
        <v>1689</v>
      </c>
      <c r="G366" s="1">
        <v>3636</v>
      </c>
      <c r="H366" s="1">
        <v>2034</v>
      </c>
      <c r="I366" s="1">
        <v>2821</v>
      </c>
      <c r="J366" s="1">
        <v>4855</v>
      </c>
      <c r="K366" s="1">
        <v>267</v>
      </c>
      <c r="L366" s="1">
        <v>399</v>
      </c>
      <c r="M366" s="1">
        <v>666</v>
      </c>
      <c r="N366" s="1">
        <v>102</v>
      </c>
      <c r="O366" s="1">
        <v>133</v>
      </c>
      <c r="P366" s="1">
        <v>235</v>
      </c>
      <c r="Q366" s="1">
        <v>47</v>
      </c>
      <c r="R366" s="1">
        <v>51</v>
      </c>
      <c r="S366" s="1">
        <v>98</v>
      </c>
      <c r="T366" s="1">
        <v>80</v>
      </c>
      <c r="U366" s="1">
        <v>87</v>
      </c>
      <c r="V366" s="1">
        <v>167</v>
      </c>
      <c r="W366" s="1">
        <f t="shared" ref="W366:X366" si="3198">SUM(E366,H366,K366,N366,Q366,T366)</f>
        <v>4477</v>
      </c>
      <c r="X366" s="1">
        <f t="shared" si="3198"/>
        <v>5180</v>
      </c>
      <c r="Y366" s="1">
        <f t="shared" si="2301"/>
        <v>9657</v>
      </c>
      <c r="Z366" s="1">
        <f t="shared" ref="Z366:AA366" si="3199">W366-T366</f>
        <v>4397</v>
      </c>
      <c r="AA366" s="1">
        <f t="shared" si="3199"/>
        <v>5093</v>
      </c>
      <c r="AB366" s="1">
        <f t="shared" si="2303"/>
        <v>9490</v>
      </c>
      <c r="AC366" s="1">
        <f t="shared" ref="AC366:AD366" si="3200">SUM(E366,H366,K366,N366)</f>
        <v>4350</v>
      </c>
      <c r="AD366" s="1">
        <f t="shared" si="3200"/>
        <v>5042</v>
      </c>
      <c r="AE366" s="1">
        <f t="shared" si="2305"/>
        <v>9392</v>
      </c>
      <c r="AF366" s="2">
        <f t="shared" ref="AF366:AH366" si="3201">AC366/Z366</f>
        <v>0.98931089379122128</v>
      </c>
      <c r="AG366" s="2">
        <f t="shared" si="3201"/>
        <v>0.98998625564500298</v>
      </c>
      <c r="AH366" s="2">
        <f t="shared" si="3201"/>
        <v>0.98967334035827181</v>
      </c>
      <c r="AI366" s="1">
        <f t="shared" ref="AI366:AJ366" si="3202">SUM(E366,H366,K366)</f>
        <v>4248</v>
      </c>
      <c r="AJ366" s="1">
        <f t="shared" si="3202"/>
        <v>4909</v>
      </c>
      <c r="AK366" s="1">
        <f t="shared" si="2308"/>
        <v>9157</v>
      </c>
      <c r="AL366" s="2">
        <f t="shared" ref="AL366:AN366" si="3203">AI366/Z366</f>
        <v>0.96611325904025469</v>
      </c>
      <c r="AM366" s="2">
        <f t="shared" si="3203"/>
        <v>0.96387198115059891</v>
      </c>
      <c r="AN366" s="2">
        <f t="shared" si="3203"/>
        <v>0.96491043203371973</v>
      </c>
      <c r="AO366" s="2">
        <f t="shared" ref="AO366:AQ366" si="3204">E366/Z366</f>
        <v>0.44280191039345007</v>
      </c>
      <c r="AP366" s="2">
        <f t="shared" si="3204"/>
        <v>0.33163165128607891</v>
      </c>
      <c r="AQ366" s="2">
        <f t="shared" si="3204"/>
        <v>0.38314014752370917</v>
      </c>
      <c r="AR366" s="2">
        <f t="shared" si="2311"/>
        <v>1.1598817375483284E-2</v>
      </c>
      <c r="AS366" s="2">
        <f t="shared" ref="AS366:AT366" si="3205">R366/AA366</f>
        <v>1.0013744354997054E-2</v>
      </c>
      <c r="AT366" s="2">
        <f t="shared" si="3205"/>
        <v>1.0326659641728134E-2</v>
      </c>
      <c r="AU366" s="2">
        <f t="shared" si="2475"/>
        <v>1.7869108778199687E-2</v>
      </c>
      <c r="AV366" s="2">
        <f t="shared" si="2475"/>
        <v>1.6795366795366796E-2</v>
      </c>
      <c r="AW366" s="2">
        <f t="shared" si="3109"/>
        <v>1.7293155224189706E-2</v>
      </c>
    </row>
    <row r="367" spans="1:49" ht="13" x14ac:dyDescent="0.15">
      <c r="A367" s="1">
        <v>2022</v>
      </c>
      <c r="B367" s="1" t="s">
        <v>49</v>
      </c>
      <c r="C367" s="1" t="s">
        <v>54</v>
      </c>
      <c r="D367" s="1" t="s">
        <v>173</v>
      </c>
      <c r="E367" s="1">
        <v>701</v>
      </c>
      <c r="F367" s="1">
        <v>727</v>
      </c>
      <c r="G367" s="1">
        <v>1428</v>
      </c>
      <c r="H367" s="1">
        <v>1045</v>
      </c>
      <c r="I367" s="1">
        <v>1370</v>
      </c>
      <c r="J367" s="1">
        <v>2415</v>
      </c>
      <c r="K367" s="1">
        <v>188</v>
      </c>
      <c r="L367" s="1">
        <v>300</v>
      </c>
      <c r="M367" s="1">
        <v>488</v>
      </c>
      <c r="N367" s="1">
        <v>78</v>
      </c>
      <c r="O367" s="1">
        <v>119</v>
      </c>
      <c r="P367" s="1">
        <v>197</v>
      </c>
      <c r="Q367" s="1">
        <v>35</v>
      </c>
      <c r="R367" s="1">
        <v>46</v>
      </c>
      <c r="S367" s="1">
        <v>81</v>
      </c>
      <c r="T367" s="1">
        <v>52</v>
      </c>
      <c r="U367" s="1">
        <v>43</v>
      </c>
      <c r="V367" s="1">
        <v>95</v>
      </c>
      <c r="W367" s="1">
        <f t="shared" ref="W367:X367" si="3206">SUM(E367,H367,K367,N367,Q367,T367)</f>
        <v>2099</v>
      </c>
      <c r="X367" s="1">
        <f t="shared" si="3206"/>
        <v>2605</v>
      </c>
      <c r="Y367" s="1">
        <f t="shared" si="2301"/>
        <v>4704</v>
      </c>
      <c r="Z367" s="1">
        <f t="shared" ref="Z367:AA367" si="3207">W367-T367</f>
        <v>2047</v>
      </c>
      <c r="AA367" s="1">
        <f t="shared" si="3207"/>
        <v>2562</v>
      </c>
      <c r="AB367" s="1">
        <f t="shared" si="2303"/>
        <v>4609</v>
      </c>
      <c r="AC367" s="1">
        <f t="shared" ref="AC367:AD367" si="3208">SUM(E367,H367,K367,N367)</f>
        <v>2012</v>
      </c>
      <c r="AD367" s="1">
        <f t="shared" si="3208"/>
        <v>2516</v>
      </c>
      <c r="AE367" s="1">
        <f t="shared" si="2305"/>
        <v>4528</v>
      </c>
      <c r="AF367" s="2">
        <f t="shared" ref="AF367:AH367" si="3209">AC367/Z367</f>
        <v>0.98290180752320466</v>
      </c>
      <c r="AG367" s="2">
        <f t="shared" si="3209"/>
        <v>0.98204527712724432</v>
      </c>
      <c r="AH367" s="2">
        <f t="shared" si="3209"/>
        <v>0.98242568886960291</v>
      </c>
      <c r="AI367" s="1">
        <f t="shared" ref="AI367:AJ367" si="3210">SUM(E367,H367,K367)</f>
        <v>1934</v>
      </c>
      <c r="AJ367" s="1">
        <f t="shared" si="3210"/>
        <v>2397</v>
      </c>
      <c r="AK367" s="1">
        <f t="shared" si="2308"/>
        <v>4331</v>
      </c>
      <c r="AL367" s="2">
        <f t="shared" ref="AL367:AN367" si="3211">AI367/Z367</f>
        <v>0.94479726428920374</v>
      </c>
      <c r="AM367" s="2">
        <f t="shared" si="3211"/>
        <v>0.93559718969555039</v>
      </c>
      <c r="AN367" s="2">
        <f t="shared" si="3211"/>
        <v>0.93968322846604468</v>
      </c>
      <c r="AO367" s="2">
        <f t="shared" ref="AO367:AQ367" si="3212">E367/Z367</f>
        <v>0.34245236932095752</v>
      </c>
      <c r="AP367" s="2">
        <f t="shared" si="3212"/>
        <v>0.28376268540202965</v>
      </c>
      <c r="AQ367" s="2">
        <f t="shared" si="3212"/>
        <v>0.3098285962247776</v>
      </c>
      <c r="AR367" s="2">
        <f t="shared" si="2311"/>
        <v>2.247191011235955E-2</v>
      </c>
      <c r="AS367" s="2">
        <f t="shared" ref="AS367:AT367" si="3213">R367/AA367</f>
        <v>1.7954722872755659E-2</v>
      </c>
      <c r="AT367" s="2">
        <f t="shared" si="3213"/>
        <v>1.757431113039705E-2</v>
      </c>
      <c r="AU367" s="2">
        <f t="shared" si="2475"/>
        <v>2.4773701762744165E-2</v>
      </c>
      <c r="AV367" s="2">
        <f t="shared" si="2475"/>
        <v>1.6506717850287907E-2</v>
      </c>
      <c r="AW367" s="2">
        <f t="shared" si="3109"/>
        <v>2.0195578231292519E-2</v>
      </c>
    </row>
    <row r="368" spans="1:49" ht="13" x14ac:dyDescent="0.15">
      <c r="A368" s="1">
        <v>2022</v>
      </c>
      <c r="B368" s="1" t="s">
        <v>49</v>
      </c>
      <c r="C368" s="1" t="s">
        <v>93</v>
      </c>
      <c r="D368" s="1" t="s">
        <v>174</v>
      </c>
      <c r="E368" s="1">
        <v>816</v>
      </c>
      <c r="F368" s="1">
        <v>800</v>
      </c>
      <c r="G368" s="1">
        <v>1616</v>
      </c>
      <c r="H368" s="1">
        <v>2184</v>
      </c>
      <c r="I368" s="1">
        <v>2656</v>
      </c>
      <c r="J368" s="1">
        <v>4840</v>
      </c>
      <c r="K368" s="1">
        <v>588</v>
      </c>
      <c r="L368" s="1">
        <v>845</v>
      </c>
      <c r="M368" s="1">
        <v>1433</v>
      </c>
      <c r="N368" s="1">
        <v>444</v>
      </c>
      <c r="O368" s="1">
        <v>555</v>
      </c>
      <c r="P368" s="1">
        <v>999</v>
      </c>
      <c r="Q368" s="1">
        <v>408</v>
      </c>
      <c r="R368" s="1">
        <v>450</v>
      </c>
      <c r="S368" s="1">
        <v>858</v>
      </c>
      <c r="T368" s="1">
        <v>154</v>
      </c>
      <c r="U368" s="1">
        <v>157</v>
      </c>
      <c r="V368" s="1">
        <v>311</v>
      </c>
      <c r="W368" s="1">
        <f t="shared" ref="W368:X368" si="3214">SUM(E368,H368,K368,N368,Q368,T368)</f>
        <v>4594</v>
      </c>
      <c r="X368" s="1">
        <f t="shared" si="3214"/>
        <v>5463</v>
      </c>
      <c r="Y368" s="1">
        <f t="shared" si="2301"/>
        <v>10057</v>
      </c>
      <c r="Z368" s="1">
        <f t="shared" ref="Z368:AA368" si="3215">W368-T368</f>
        <v>4440</v>
      </c>
      <c r="AA368" s="1">
        <f t="shared" si="3215"/>
        <v>5306</v>
      </c>
      <c r="AB368" s="1">
        <f t="shared" si="2303"/>
        <v>9746</v>
      </c>
      <c r="AC368" s="1">
        <f t="shared" ref="AC368:AD368" si="3216">SUM(E368,H368,K368,N368)</f>
        <v>4032</v>
      </c>
      <c r="AD368" s="1">
        <f t="shared" si="3216"/>
        <v>4856</v>
      </c>
      <c r="AE368" s="1">
        <f t="shared" si="2305"/>
        <v>8888</v>
      </c>
      <c r="AF368" s="2">
        <f t="shared" ref="AF368:AH368" si="3217">AC368/Z368</f>
        <v>0.90810810810810816</v>
      </c>
      <c r="AG368" s="2">
        <f t="shared" si="3217"/>
        <v>0.91519035054655107</v>
      </c>
      <c r="AH368" s="2">
        <f t="shared" si="3217"/>
        <v>0.91196388261851014</v>
      </c>
      <c r="AI368" s="1">
        <f t="shared" ref="AI368:AJ368" si="3218">SUM(E368,H368,K368)</f>
        <v>3588</v>
      </c>
      <c r="AJ368" s="1">
        <f t="shared" si="3218"/>
        <v>4301</v>
      </c>
      <c r="AK368" s="1">
        <f t="shared" si="2308"/>
        <v>7889</v>
      </c>
      <c r="AL368" s="2">
        <f t="shared" ref="AL368:AN368" si="3219">AI368/Z368</f>
        <v>0.80810810810810807</v>
      </c>
      <c r="AM368" s="2">
        <f t="shared" si="3219"/>
        <v>0.81059178288729739</v>
      </c>
      <c r="AN368" s="2">
        <f t="shared" si="3219"/>
        <v>0.8094602914016007</v>
      </c>
      <c r="AO368" s="2">
        <f t="shared" ref="AO368:AQ368" si="3220">E368/Z368</f>
        <v>0.18378378378378379</v>
      </c>
      <c r="AP368" s="2">
        <f t="shared" si="3220"/>
        <v>0.15077271013946475</v>
      </c>
      <c r="AQ368" s="2">
        <f t="shared" si="3220"/>
        <v>0.16581161502154732</v>
      </c>
      <c r="AR368" s="2">
        <f t="shared" si="2311"/>
        <v>0.10135135135135136</v>
      </c>
      <c r="AS368" s="2">
        <f t="shared" ref="AS368:AT368" si="3221">R368/AA368</f>
        <v>8.4809649453448932E-2</v>
      </c>
      <c r="AT368" s="2">
        <f t="shared" si="3221"/>
        <v>8.8036117381489837E-2</v>
      </c>
      <c r="AU368" s="2">
        <f t="shared" si="2475"/>
        <v>3.3521985198084456E-2</v>
      </c>
      <c r="AV368" s="2">
        <f t="shared" si="2475"/>
        <v>2.8738788211605346E-2</v>
      </c>
      <c r="AW368" s="2">
        <f t="shared" si="3109"/>
        <v>3.0923734712140799E-2</v>
      </c>
    </row>
    <row r="369" spans="1:49" ht="13" x14ac:dyDescent="0.15">
      <c r="A369" s="1">
        <v>2022</v>
      </c>
      <c r="B369" s="1" t="s">
        <v>74</v>
      </c>
      <c r="C369" s="1" t="s">
        <v>75</v>
      </c>
      <c r="D369" s="1" t="s">
        <v>202</v>
      </c>
      <c r="E369" s="1">
        <v>26</v>
      </c>
      <c r="F369" s="1">
        <v>6</v>
      </c>
      <c r="G369" s="1">
        <v>32</v>
      </c>
      <c r="H369" s="1">
        <v>193</v>
      </c>
      <c r="I369" s="1">
        <v>102</v>
      </c>
      <c r="J369" s="1">
        <v>295</v>
      </c>
      <c r="K369" s="1">
        <v>63</v>
      </c>
      <c r="L369" s="1">
        <v>53</v>
      </c>
      <c r="M369" s="1">
        <v>116</v>
      </c>
      <c r="N369" s="1">
        <v>36</v>
      </c>
      <c r="O369" s="1">
        <v>26</v>
      </c>
      <c r="P369" s="1">
        <v>62</v>
      </c>
      <c r="Q369" s="1">
        <v>15</v>
      </c>
      <c r="R369" s="1">
        <v>17</v>
      </c>
      <c r="S369" s="1">
        <v>32</v>
      </c>
      <c r="T369" s="1">
        <v>13</v>
      </c>
      <c r="U369" s="1">
        <v>4</v>
      </c>
      <c r="V369" s="1">
        <v>17</v>
      </c>
      <c r="W369" s="1">
        <f t="shared" ref="W369:X369" si="3222">SUM(E369,H369,K369,N369,Q369,T369)</f>
        <v>346</v>
      </c>
      <c r="X369" s="1">
        <f t="shared" si="3222"/>
        <v>208</v>
      </c>
      <c r="Y369" s="1">
        <f t="shared" si="2301"/>
        <v>554</v>
      </c>
      <c r="Z369" s="1">
        <f t="shared" ref="Z369:AA369" si="3223">W369-T369</f>
        <v>333</v>
      </c>
      <c r="AA369" s="1">
        <f t="shared" si="3223"/>
        <v>204</v>
      </c>
      <c r="AB369" s="1">
        <f t="shared" si="2303"/>
        <v>537</v>
      </c>
      <c r="AC369" s="1">
        <f t="shared" ref="AC369:AD369" si="3224">SUM(E369,H369,K369,N369)</f>
        <v>318</v>
      </c>
      <c r="AD369" s="1">
        <f t="shared" si="3224"/>
        <v>187</v>
      </c>
      <c r="AE369" s="1">
        <f t="shared" si="2305"/>
        <v>505</v>
      </c>
      <c r="AF369" s="2">
        <f t="shared" ref="AF369:AH369" si="3225">AC369/Z369</f>
        <v>0.95495495495495497</v>
      </c>
      <c r="AG369" s="2">
        <f t="shared" si="3225"/>
        <v>0.91666666666666663</v>
      </c>
      <c r="AH369" s="2">
        <f t="shared" si="3225"/>
        <v>0.94040968342644315</v>
      </c>
      <c r="AI369" s="1">
        <f t="shared" ref="AI369:AJ369" si="3226">SUM(E369,H369,K369)</f>
        <v>282</v>
      </c>
      <c r="AJ369" s="1">
        <f t="shared" si="3226"/>
        <v>161</v>
      </c>
      <c r="AK369" s="1">
        <f t="shared" si="2308"/>
        <v>443</v>
      </c>
      <c r="AL369" s="2">
        <f t="shared" ref="AL369:AN369" si="3227">AI369/Z369</f>
        <v>0.84684684684684686</v>
      </c>
      <c r="AM369" s="2">
        <f t="shared" si="3227"/>
        <v>0.78921568627450978</v>
      </c>
      <c r="AN369" s="2">
        <f t="shared" si="3227"/>
        <v>0.82495344506517687</v>
      </c>
      <c r="AO369" s="2">
        <f t="shared" ref="AO369:AQ369" si="3228">E369/Z369</f>
        <v>7.8078078078078081E-2</v>
      </c>
      <c r="AP369" s="2">
        <f t="shared" si="3228"/>
        <v>2.9411764705882353E-2</v>
      </c>
      <c r="AQ369" s="2">
        <f t="shared" si="3228"/>
        <v>5.9590316573556797E-2</v>
      </c>
      <c r="AR369" s="2">
        <f t="shared" si="2311"/>
        <v>5.1051051051051052E-2</v>
      </c>
      <c r="AS369" s="2">
        <f t="shared" ref="AS369:AT369" si="3229">R369/AA369</f>
        <v>8.3333333333333329E-2</v>
      </c>
      <c r="AT369" s="2">
        <f t="shared" si="3229"/>
        <v>5.9590316573556797E-2</v>
      </c>
      <c r="AU369" s="2">
        <f t="shared" si="2475"/>
        <v>3.7572254335260118E-2</v>
      </c>
      <c r="AV369" s="2">
        <f t="shared" si="2475"/>
        <v>1.9230769230769232E-2</v>
      </c>
      <c r="AW369" s="2">
        <f t="shared" si="3109"/>
        <v>3.0685920577617327E-2</v>
      </c>
    </row>
    <row r="370" spans="1:49" ht="13" x14ac:dyDescent="0.15">
      <c r="A370" s="1">
        <v>2022</v>
      </c>
      <c r="B370" s="1" t="s">
        <v>49</v>
      </c>
      <c r="C370" s="1" t="s">
        <v>67</v>
      </c>
      <c r="D370" s="1" t="s">
        <v>175</v>
      </c>
      <c r="E370" s="1">
        <v>38</v>
      </c>
      <c r="F370" s="1">
        <v>16</v>
      </c>
      <c r="G370" s="1">
        <v>54</v>
      </c>
      <c r="H370" s="1">
        <v>410</v>
      </c>
      <c r="I370" s="1">
        <v>363</v>
      </c>
      <c r="J370" s="1">
        <v>773</v>
      </c>
      <c r="K370" s="1">
        <v>292</v>
      </c>
      <c r="L370" s="1">
        <v>299</v>
      </c>
      <c r="M370" s="1">
        <v>591</v>
      </c>
      <c r="N370" s="1">
        <v>118</v>
      </c>
      <c r="O370" s="1">
        <v>144</v>
      </c>
      <c r="P370" s="1">
        <v>262</v>
      </c>
      <c r="Q370" s="1">
        <v>95</v>
      </c>
      <c r="R370" s="1">
        <v>120</v>
      </c>
      <c r="S370" s="1">
        <v>215</v>
      </c>
      <c r="T370" s="1">
        <v>7</v>
      </c>
      <c r="U370" s="1">
        <v>9</v>
      </c>
      <c r="V370" s="1">
        <v>16</v>
      </c>
      <c r="W370" s="1">
        <f t="shared" ref="W370:X370" si="3230">SUM(E370,H370,K370,N370,Q370,T370)</f>
        <v>960</v>
      </c>
      <c r="X370" s="1">
        <f t="shared" si="3230"/>
        <v>951</v>
      </c>
      <c r="Y370" s="1">
        <f t="shared" si="2301"/>
        <v>1911</v>
      </c>
      <c r="Z370" s="1">
        <f t="shared" ref="Z370:AA370" si="3231">W370-T370</f>
        <v>953</v>
      </c>
      <c r="AA370" s="1">
        <f t="shared" si="3231"/>
        <v>942</v>
      </c>
      <c r="AB370" s="1">
        <f t="shared" si="2303"/>
        <v>1895</v>
      </c>
      <c r="AC370" s="1">
        <f t="shared" ref="AC370:AD370" si="3232">SUM(E370,H370,K370,N370)</f>
        <v>858</v>
      </c>
      <c r="AD370" s="1">
        <f t="shared" si="3232"/>
        <v>822</v>
      </c>
      <c r="AE370" s="1">
        <f t="shared" si="2305"/>
        <v>1680</v>
      </c>
      <c r="AF370" s="2">
        <f t="shared" ref="AF370:AH370" si="3233">AC370/Z370</f>
        <v>0.90031479538300108</v>
      </c>
      <c r="AG370" s="2">
        <f t="shared" si="3233"/>
        <v>0.87261146496815289</v>
      </c>
      <c r="AH370" s="2">
        <f t="shared" si="3233"/>
        <v>0.88654353562005273</v>
      </c>
      <c r="AI370" s="1">
        <f t="shared" ref="AI370:AJ370" si="3234">SUM(E370,H370,K370)</f>
        <v>740</v>
      </c>
      <c r="AJ370" s="1">
        <f t="shared" si="3234"/>
        <v>678</v>
      </c>
      <c r="AK370" s="1">
        <f t="shared" si="2308"/>
        <v>1418</v>
      </c>
      <c r="AL370" s="2">
        <f t="shared" ref="AL370:AN370" si="3235">AI370/Z370</f>
        <v>0.776495278069255</v>
      </c>
      <c r="AM370" s="2">
        <f t="shared" si="3235"/>
        <v>0.71974522292993626</v>
      </c>
      <c r="AN370" s="2">
        <f t="shared" si="3235"/>
        <v>0.74828496042216364</v>
      </c>
      <c r="AO370" s="2">
        <f t="shared" ref="AO370:AQ370" si="3236">E370/Z370</f>
        <v>3.9874081846799581E-2</v>
      </c>
      <c r="AP370" s="2">
        <f t="shared" si="3236"/>
        <v>1.6985138004246284E-2</v>
      </c>
      <c r="AQ370" s="2">
        <f t="shared" si="3236"/>
        <v>2.849604221635884E-2</v>
      </c>
      <c r="AR370" s="2">
        <f t="shared" si="2311"/>
        <v>0.12591815320041971</v>
      </c>
      <c r="AS370" s="2">
        <f t="shared" ref="AS370:AT370" si="3237">R370/AA370</f>
        <v>0.12738853503184713</v>
      </c>
      <c r="AT370" s="2">
        <f t="shared" si="3237"/>
        <v>0.11345646437994723</v>
      </c>
      <c r="AU370" s="2">
        <f t="shared" si="2475"/>
        <v>7.2916666666666668E-3</v>
      </c>
      <c r="AV370" s="2">
        <f t="shared" si="2475"/>
        <v>9.4637223974763408E-3</v>
      </c>
      <c r="AW370" s="2">
        <f t="shared" si="3109"/>
        <v>8.3725798011512302E-3</v>
      </c>
    </row>
    <row r="371" spans="1:49" ht="13" x14ac:dyDescent="0.15">
      <c r="A371" s="1">
        <v>2022</v>
      </c>
      <c r="B371" s="1" t="s">
        <v>49</v>
      </c>
      <c r="C371" s="1" t="s">
        <v>50</v>
      </c>
      <c r="D371" s="1" t="s">
        <v>176</v>
      </c>
      <c r="E371" s="1">
        <v>831</v>
      </c>
      <c r="F371" s="1">
        <v>774</v>
      </c>
      <c r="G371" s="1">
        <v>1605</v>
      </c>
      <c r="H371" s="1">
        <v>2412</v>
      </c>
      <c r="I371" s="1">
        <v>2923</v>
      </c>
      <c r="J371" s="1">
        <v>5335</v>
      </c>
      <c r="K371" s="1">
        <v>582</v>
      </c>
      <c r="L371" s="1">
        <v>710</v>
      </c>
      <c r="M371" s="1">
        <v>1292</v>
      </c>
      <c r="N371" s="1">
        <v>335</v>
      </c>
      <c r="O371" s="1">
        <v>396</v>
      </c>
      <c r="P371" s="1">
        <v>731</v>
      </c>
      <c r="Q371" s="1">
        <v>211</v>
      </c>
      <c r="R371" s="1">
        <v>208</v>
      </c>
      <c r="S371" s="1">
        <v>419</v>
      </c>
      <c r="T371" s="1">
        <v>118</v>
      </c>
      <c r="U371" s="1">
        <v>113</v>
      </c>
      <c r="V371" s="1">
        <v>231</v>
      </c>
      <c r="W371" s="1">
        <f t="shared" ref="W371:X371" si="3238">SUM(E371,H371,K371,N371,Q371,T371)</f>
        <v>4489</v>
      </c>
      <c r="X371" s="1">
        <f t="shared" si="3238"/>
        <v>5124</v>
      </c>
      <c r="Y371" s="1">
        <f t="shared" si="2301"/>
        <v>9613</v>
      </c>
      <c r="Z371" s="1">
        <f t="shared" ref="Z371:AA371" si="3239">W371-T371</f>
        <v>4371</v>
      </c>
      <c r="AA371" s="1">
        <f t="shared" si="3239"/>
        <v>5011</v>
      </c>
      <c r="AB371" s="1">
        <f t="shared" si="2303"/>
        <v>9382</v>
      </c>
      <c r="AC371" s="1">
        <f t="shared" ref="AC371:AD371" si="3240">SUM(E371,H371,K371,N371)</f>
        <v>4160</v>
      </c>
      <c r="AD371" s="1">
        <f t="shared" si="3240"/>
        <v>4803</v>
      </c>
      <c r="AE371" s="1">
        <f t="shared" si="2305"/>
        <v>8963</v>
      </c>
      <c r="AF371" s="2">
        <f t="shared" ref="AF371:AH371" si="3241">AC371/Z371</f>
        <v>0.951727293525509</v>
      </c>
      <c r="AG371" s="2">
        <f t="shared" si="3241"/>
        <v>0.95849131909798446</v>
      </c>
      <c r="AH371" s="2">
        <f t="shared" si="3241"/>
        <v>0.95534001279044978</v>
      </c>
      <c r="AI371" s="1">
        <f t="shared" ref="AI371:AJ371" si="3242">SUM(E371,H371,K371)</f>
        <v>3825</v>
      </c>
      <c r="AJ371" s="1">
        <f t="shared" si="3242"/>
        <v>4407</v>
      </c>
      <c r="AK371" s="1">
        <f t="shared" si="2308"/>
        <v>8232</v>
      </c>
      <c r="AL371" s="2">
        <f t="shared" ref="AL371:AN371" si="3243">AI371/Z371</f>
        <v>0.87508579272477693</v>
      </c>
      <c r="AM371" s="2">
        <f t="shared" si="3243"/>
        <v>0.87946517661145485</v>
      </c>
      <c r="AN371" s="2">
        <f t="shared" si="3243"/>
        <v>0.87742485610743981</v>
      </c>
      <c r="AO371" s="2">
        <f t="shared" ref="AO371:AQ371" si="3244">E371/Z371</f>
        <v>0.19011667810569663</v>
      </c>
      <c r="AP371" s="2">
        <f t="shared" si="3244"/>
        <v>0.15446018758730792</v>
      </c>
      <c r="AQ371" s="2">
        <f t="shared" si="3244"/>
        <v>0.17107226604135578</v>
      </c>
      <c r="AR371" s="2">
        <f t="shared" si="2311"/>
        <v>4.7586364676275451E-2</v>
      </c>
      <c r="AS371" s="2">
        <f t="shared" ref="AS371:AT371" si="3245">R371/AA371</f>
        <v>4.1508680902015566E-2</v>
      </c>
      <c r="AT371" s="2">
        <f t="shared" si="3245"/>
        <v>4.4659987209550202E-2</v>
      </c>
      <c r="AU371" s="2">
        <f t="shared" si="2475"/>
        <v>2.6286478057473826E-2</v>
      </c>
      <c r="AV371" s="2">
        <f t="shared" si="2475"/>
        <v>2.2053083528493365E-2</v>
      </c>
      <c r="AW371" s="2">
        <f t="shared" si="3109"/>
        <v>2.4029959429938626E-2</v>
      </c>
    </row>
    <row r="372" spans="1:49" ht="13" x14ac:dyDescent="0.15">
      <c r="A372" s="1">
        <v>2022</v>
      </c>
      <c r="B372" s="1" t="s">
        <v>117</v>
      </c>
      <c r="C372" s="1" t="s">
        <v>93</v>
      </c>
      <c r="D372" s="1" t="s">
        <v>177</v>
      </c>
      <c r="E372" s="1">
        <v>421</v>
      </c>
      <c r="F372" s="1">
        <v>353</v>
      </c>
      <c r="G372" s="1">
        <v>774</v>
      </c>
      <c r="H372" s="1">
        <v>1445</v>
      </c>
      <c r="I372" s="1">
        <v>1629</v>
      </c>
      <c r="J372" s="1">
        <v>3074</v>
      </c>
      <c r="K372" s="1">
        <v>608</v>
      </c>
      <c r="L372" s="1">
        <v>751</v>
      </c>
      <c r="M372" s="1">
        <v>1359</v>
      </c>
      <c r="N372" s="1">
        <v>385</v>
      </c>
      <c r="O372" s="1">
        <v>542</v>
      </c>
      <c r="P372" s="1">
        <v>927</v>
      </c>
      <c r="Q372" s="1">
        <v>434</v>
      </c>
      <c r="R372" s="1">
        <v>607</v>
      </c>
      <c r="S372" s="1">
        <v>1041</v>
      </c>
      <c r="T372" s="1">
        <v>124</v>
      </c>
      <c r="U372" s="1">
        <v>151</v>
      </c>
      <c r="V372" s="1">
        <v>275</v>
      </c>
      <c r="W372" s="1">
        <f t="shared" ref="W372:X372" si="3246">SUM(E372,H372,K372,N372,Q372,T372)</f>
        <v>3417</v>
      </c>
      <c r="X372" s="1">
        <f t="shared" si="3246"/>
        <v>4033</v>
      </c>
      <c r="Y372" s="1">
        <f t="shared" si="2301"/>
        <v>7450</v>
      </c>
      <c r="Z372" s="1">
        <f t="shared" ref="Z372:AA372" si="3247">W372-T372</f>
        <v>3293</v>
      </c>
      <c r="AA372" s="1">
        <f t="shared" si="3247"/>
        <v>3882</v>
      </c>
      <c r="AB372" s="1">
        <f t="shared" si="2303"/>
        <v>7175</v>
      </c>
      <c r="AC372" s="1">
        <f t="shared" ref="AC372:AD372" si="3248">SUM(E372,H372,K372,N372)</f>
        <v>2859</v>
      </c>
      <c r="AD372" s="1">
        <f t="shared" si="3248"/>
        <v>3275</v>
      </c>
      <c r="AE372" s="1">
        <f t="shared" si="2305"/>
        <v>6134</v>
      </c>
      <c r="AF372" s="2">
        <f t="shared" ref="AF372:AH372" si="3249">AC372/Z372</f>
        <v>0.86820528393562102</v>
      </c>
      <c r="AG372" s="2">
        <f t="shared" si="3249"/>
        <v>0.84363730036063889</v>
      </c>
      <c r="AH372" s="2">
        <f t="shared" si="3249"/>
        <v>0.85491289198606268</v>
      </c>
      <c r="AI372" s="1">
        <f t="shared" ref="AI372:AJ372" si="3250">SUM(E372,H372,K372)</f>
        <v>2474</v>
      </c>
      <c r="AJ372" s="1">
        <f t="shared" si="3250"/>
        <v>2733</v>
      </c>
      <c r="AK372" s="1">
        <f t="shared" si="2308"/>
        <v>5207</v>
      </c>
      <c r="AL372" s="2">
        <f t="shared" ref="AL372:AN372" si="3251">AI372/Z372</f>
        <v>0.75129061645915574</v>
      </c>
      <c r="AM372" s="2">
        <f t="shared" si="3251"/>
        <v>0.70401854714064915</v>
      </c>
      <c r="AN372" s="2">
        <f t="shared" si="3251"/>
        <v>0.72571428571428576</v>
      </c>
      <c r="AO372" s="2">
        <f t="shared" ref="AO372:AQ372" si="3252">E372/Z372</f>
        <v>0.12784694807166716</v>
      </c>
      <c r="AP372" s="2">
        <f t="shared" si="3252"/>
        <v>9.093250901597115E-2</v>
      </c>
      <c r="AQ372" s="2">
        <f t="shared" si="3252"/>
        <v>0.10787456445993031</v>
      </c>
      <c r="AR372" s="2">
        <f t="shared" si="2311"/>
        <v>0.18433039781354388</v>
      </c>
      <c r="AS372" s="2">
        <f t="shared" ref="AS372:AT372" si="3253">R372/AA372</f>
        <v>0.15636269963936114</v>
      </c>
      <c r="AT372" s="2">
        <f t="shared" si="3253"/>
        <v>0.14508710801393729</v>
      </c>
      <c r="AU372" s="2">
        <f t="shared" si="2475"/>
        <v>3.6289142522680715E-2</v>
      </c>
      <c r="AV372" s="2">
        <f t="shared" si="2475"/>
        <v>3.7441110835606251E-2</v>
      </c>
      <c r="AW372" s="2">
        <f t="shared" si="3109"/>
        <v>3.6912751677852351E-2</v>
      </c>
    </row>
    <row r="373" spans="1:49" ht="13" x14ac:dyDescent="0.15">
      <c r="A373" s="1">
        <v>2022</v>
      </c>
      <c r="B373" s="1" t="s">
        <v>69</v>
      </c>
      <c r="C373" s="1" t="s">
        <v>93</v>
      </c>
      <c r="D373" s="1" t="s">
        <v>178</v>
      </c>
      <c r="E373" s="1">
        <v>2973</v>
      </c>
      <c r="F373" s="1">
        <v>3045</v>
      </c>
      <c r="G373" s="1">
        <v>6018</v>
      </c>
      <c r="H373" s="1">
        <v>4834</v>
      </c>
      <c r="I373" s="1">
        <v>6092</v>
      </c>
      <c r="J373" s="1">
        <v>10926</v>
      </c>
      <c r="K373" s="1">
        <v>1173</v>
      </c>
      <c r="L373" s="1">
        <v>1683</v>
      </c>
      <c r="M373" s="1">
        <v>2856</v>
      </c>
      <c r="N373" s="1">
        <v>689</v>
      </c>
      <c r="O373" s="1">
        <v>1076</v>
      </c>
      <c r="P373" s="1">
        <v>1765</v>
      </c>
      <c r="Q373" s="1">
        <v>564</v>
      </c>
      <c r="R373" s="1">
        <v>707</v>
      </c>
      <c r="S373" s="1">
        <v>1271</v>
      </c>
      <c r="T373" s="1">
        <v>257</v>
      </c>
      <c r="U373" s="1">
        <v>287</v>
      </c>
      <c r="V373" s="1">
        <v>544</v>
      </c>
      <c r="W373" s="1">
        <f t="shared" ref="W373:X373" si="3254">SUM(E373,H373,K373,N373,Q373,T373)</f>
        <v>10490</v>
      </c>
      <c r="X373" s="1">
        <f t="shared" si="3254"/>
        <v>12890</v>
      </c>
      <c r="Y373" s="1">
        <f t="shared" si="2301"/>
        <v>23380</v>
      </c>
      <c r="Z373" s="1">
        <f t="shared" ref="Z373:AA373" si="3255">W373-T373</f>
        <v>10233</v>
      </c>
      <c r="AA373" s="1">
        <f t="shared" si="3255"/>
        <v>12603</v>
      </c>
      <c r="AB373" s="1">
        <f t="shared" si="2303"/>
        <v>22836</v>
      </c>
      <c r="AC373" s="1">
        <f t="shared" ref="AC373:AD373" si="3256">SUM(E373,H373,K373,N373)</f>
        <v>9669</v>
      </c>
      <c r="AD373" s="1">
        <f t="shared" si="3256"/>
        <v>11896</v>
      </c>
      <c r="AE373" s="1">
        <f t="shared" si="2305"/>
        <v>21565</v>
      </c>
      <c r="AF373" s="2">
        <f t="shared" ref="AF373:AH373" si="3257">AC373/Z373</f>
        <v>0.94488419818235125</v>
      </c>
      <c r="AG373" s="2">
        <f t="shared" si="3257"/>
        <v>0.94390224549710389</v>
      </c>
      <c r="AH373" s="2">
        <f t="shared" si="3257"/>
        <v>0.94434226659660181</v>
      </c>
      <c r="AI373" s="1">
        <f t="shared" ref="AI373:AJ373" si="3258">SUM(E373,H373,K373)</f>
        <v>8980</v>
      </c>
      <c r="AJ373" s="1">
        <f t="shared" si="3258"/>
        <v>10820</v>
      </c>
      <c r="AK373" s="1">
        <f t="shared" si="2308"/>
        <v>19800</v>
      </c>
      <c r="AL373" s="2">
        <f t="shared" ref="AL373:AN373" si="3259">AI373/Z373</f>
        <v>0.87755301475618097</v>
      </c>
      <c r="AM373" s="2">
        <f t="shared" si="3259"/>
        <v>0.85852574783781643</v>
      </c>
      <c r="AN373" s="2">
        <f t="shared" si="3259"/>
        <v>0.86705202312138729</v>
      </c>
      <c r="AO373" s="2">
        <f t="shared" ref="AO373:AQ373" si="3260">E373/Z373</f>
        <v>0.2905306361770742</v>
      </c>
      <c r="AP373" s="2">
        <f t="shared" si="3260"/>
        <v>0.24160914068079029</v>
      </c>
      <c r="AQ373" s="2">
        <f t="shared" si="3260"/>
        <v>0.26353126642143981</v>
      </c>
      <c r="AR373" s="2">
        <f t="shared" si="2311"/>
        <v>6.9090198377797327E-2</v>
      </c>
      <c r="AS373" s="2">
        <f t="shared" ref="AS373:AT373" si="3261">R373/AA373</f>
        <v>5.6097754502896134E-2</v>
      </c>
      <c r="AT373" s="2">
        <f t="shared" si="3261"/>
        <v>5.5657733403398142E-2</v>
      </c>
      <c r="AU373" s="2">
        <f t="shared" si="2475"/>
        <v>2.449952335557674E-2</v>
      </c>
      <c r="AV373" s="2">
        <f t="shared" si="2475"/>
        <v>2.2265321955003879E-2</v>
      </c>
      <c r="AW373" s="2">
        <f t="shared" si="3109"/>
        <v>2.3267750213857998E-2</v>
      </c>
    </row>
    <row r="374" spans="1:49" ht="13" x14ac:dyDescent="0.15">
      <c r="A374" s="1">
        <v>2024</v>
      </c>
      <c r="B374" s="1" t="s">
        <v>74</v>
      </c>
      <c r="C374" s="1" t="s">
        <v>75</v>
      </c>
      <c r="D374" s="1" t="s">
        <v>203</v>
      </c>
      <c r="E374" s="1">
        <v>13</v>
      </c>
      <c r="F374" s="1">
        <v>11</v>
      </c>
      <c r="G374" s="1">
        <v>24</v>
      </c>
      <c r="H374" s="1">
        <v>242</v>
      </c>
      <c r="I374" s="1">
        <v>234</v>
      </c>
      <c r="J374" s="1">
        <v>476</v>
      </c>
      <c r="K374" s="1">
        <v>106</v>
      </c>
      <c r="L374" s="1">
        <v>157</v>
      </c>
      <c r="M374" s="1">
        <v>263</v>
      </c>
      <c r="N374" s="1">
        <v>41</v>
      </c>
      <c r="O374" s="1">
        <v>48</v>
      </c>
      <c r="P374" s="1">
        <v>89</v>
      </c>
      <c r="Q374" s="1">
        <v>18</v>
      </c>
      <c r="R374" s="1">
        <v>38</v>
      </c>
      <c r="S374" s="1">
        <v>56</v>
      </c>
      <c r="T374" s="1">
        <v>7</v>
      </c>
      <c r="U374" s="1">
        <v>7</v>
      </c>
      <c r="V374" s="1">
        <v>14</v>
      </c>
      <c r="W374" s="1">
        <f t="shared" ref="W374:X374" si="3262">SUM(E374,H374,K374,N374,Q374,T374)</f>
        <v>427</v>
      </c>
      <c r="X374" s="1">
        <f t="shared" si="3262"/>
        <v>495</v>
      </c>
      <c r="Y374" s="1">
        <f t="shared" si="2301"/>
        <v>922</v>
      </c>
      <c r="Z374" s="1">
        <f t="shared" ref="Z374:AA374" si="3263">W374-T374</f>
        <v>420</v>
      </c>
      <c r="AA374" s="1">
        <f t="shared" si="3263"/>
        <v>488</v>
      </c>
      <c r="AB374" s="1">
        <f t="shared" si="2303"/>
        <v>908</v>
      </c>
      <c r="AC374" s="1">
        <f t="shared" ref="AC374:AD374" si="3264">SUM(E374,H374,K374,N374)</f>
        <v>402</v>
      </c>
      <c r="AD374" s="1">
        <f t="shared" si="3264"/>
        <v>450</v>
      </c>
      <c r="AE374" s="1">
        <f t="shared" si="2305"/>
        <v>852</v>
      </c>
      <c r="AF374" s="2">
        <f t="shared" ref="AF374:AH374" si="3265">AC374/Z374</f>
        <v>0.95714285714285718</v>
      </c>
      <c r="AG374" s="2">
        <f t="shared" si="3265"/>
        <v>0.92213114754098358</v>
      </c>
      <c r="AH374" s="2">
        <f t="shared" si="3265"/>
        <v>0.93832599118942728</v>
      </c>
      <c r="AI374" s="1">
        <f t="shared" ref="AI374:AJ374" si="3266">SUM(E374,H374,K374)</f>
        <v>361</v>
      </c>
      <c r="AJ374" s="1">
        <f t="shared" si="3266"/>
        <v>402</v>
      </c>
      <c r="AK374" s="1">
        <f t="shared" si="2308"/>
        <v>763</v>
      </c>
      <c r="AL374" s="2">
        <f t="shared" ref="AL374:AN374" si="3267">AI374/Z374</f>
        <v>0.85952380952380958</v>
      </c>
      <c r="AM374" s="2">
        <f t="shared" si="3267"/>
        <v>0.82377049180327866</v>
      </c>
      <c r="AN374" s="2">
        <f t="shared" si="3267"/>
        <v>0.8403083700440529</v>
      </c>
      <c r="AO374" s="2">
        <f t="shared" ref="AO374:AQ374" si="3268">E374/Z374</f>
        <v>3.0952380952380953E-2</v>
      </c>
      <c r="AP374" s="2">
        <f t="shared" si="3268"/>
        <v>2.2540983606557378E-2</v>
      </c>
      <c r="AQ374" s="2">
        <f t="shared" si="3268"/>
        <v>2.643171806167401E-2</v>
      </c>
      <c r="AR374" s="2">
        <f t="shared" si="2311"/>
        <v>9.0476190476190474E-2</v>
      </c>
      <c r="AS374" s="2">
        <f t="shared" ref="AS374:AT374" si="3269">R374/AA374</f>
        <v>7.7868852459016397E-2</v>
      </c>
      <c r="AT374" s="2">
        <f t="shared" si="3269"/>
        <v>6.1674008810572688E-2</v>
      </c>
      <c r="AU374" s="2">
        <f t="shared" si="2475"/>
        <v>1.6393442622950821E-2</v>
      </c>
      <c r="AV374" s="2">
        <f t="shared" si="2475"/>
        <v>1.4141414141414142E-2</v>
      </c>
      <c r="AW374" s="2">
        <f t="shared" si="3109"/>
        <v>1.5184381778741865E-2</v>
      </c>
    </row>
    <row r="375" spans="1:49" ht="13" x14ac:dyDescent="0.15">
      <c r="A375" s="1">
        <v>2023</v>
      </c>
      <c r="B375" s="1" t="s">
        <v>74</v>
      </c>
      <c r="C375" s="1" t="s">
        <v>75</v>
      </c>
      <c r="D375" s="1" t="s">
        <v>203</v>
      </c>
      <c r="E375" s="1">
        <v>12</v>
      </c>
      <c r="F375" s="1">
        <v>17</v>
      </c>
      <c r="G375" s="1">
        <v>29</v>
      </c>
      <c r="H375" s="1">
        <v>285</v>
      </c>
      <c r="I375" s="1">
        <v>201</v>
      </c>
      <c r="J375" s="1">
        <v>486</v>
      </c>
      <c r="K375" s="1">
        <v>99</v>
      </c>
      <c r="L375" s="1">
        <v>121</v>
      </c>
      <c r="M375" s="1">
        <v>220</v>
      </c>
      <c r="N375" s="1">
        <v>32</v>
      </c>
      <c r="O375" s="1">
        <v>30</v>
      </c>
      <c r="P375" s="1">
        <v>62</v>
      </c>
      <c r="Q375" s="1">
        <v>27</v>
      </c>
      <c r="R375" s="1">
        <v>48</v>
      </c>
      <c r="S375" s="1">
        <v>75</v>
      </c>
      <c r="T375" s="1">
        <v>9</v>
      </c>
      <c r="U375" s="1">
        <v>5</v>
      </c>
      <c r="V375" s="1">
        <v>14</v>
      </c>
      <c r="W375" s="1">
        <f t="shared" ref="W375:X375" si="3270">SUM(E375,H375,K375,N375,Q375,T375)</f>
        <v>464</v>
      </c>
      <c r="X375" s="1">
        <f t="shared" si="3270"/>
        <v>422</v>
      </c>
      <c r="Y375" s="1">
        <f t="shared" si="2301"/>
        <v>886</v>
      </c>
      <c r="Z375" s="1">
        <f t="shared" ref="Z375:AA375" si="3271">W375-T375</f>
        <v>455</v>
      </c>
      <c r="AA375" s="1">
        <f t="shared" si="3271"/>
        <v>417</v>
      </c>
      <c r="AB375" s="1">
        <f t="shared" si="2303"/>
        <v>872</v>
      </c>
      <c r="AC375" s="1">
        <f t="shared" ref="AC375:AD375" si="3272">SUM(E375,H375,K375,N375)</f>
        <v>428</v>
      </c>
      <c r="AD375" s="1">
        <f t="shared" si="3272"/>
        <v>369</v>
      </c>
      <c r="AE375" s="1">
        <f t="shared" si="2305"/>
        <v>797</v>
      </c>
      <c r="AF375" s="2">
        <f t="shared" ref="AF375:AH375" si="3273">AC375/Z375</f>
        <v>0.94065934065934065</v>
      </c>
      <c r="AG375" s="2">
        <f t="shared" si="3273"/>
        <v>0.8848920863309353</v>
      </c>
      <c r="AH375" s="2">
        <f t="shared" si="3273"/>
        <v>0.91399082568807344</v>
      </c>
      <c r="AI375" s="1">
        <f t="shared" ref="AI375:AJ375" si="3274">SUM(E375,H375,K375)</f>
        <v>396</v>
      </c>
      <c r="AJ375" s="1">
        <f t="shared" si="3274"/>
        <v>339</v>
      </c>
      <c r="AK375" s="1">
        <f t="shared" si="2308"/>
        <v>735</v>
      </c>
      <c r="AL375" s="2">
        <f t="shared" ref="AL375:AN375" si="3275">AI375/Z375</f>
        <v>0.87032967032967035</v>
      </c>
      <c r="AM375" s="2">
        <f t="shared" si="3275"/>
        <v>0.81294964028776984</v>
      </c>
      <c r="AN375" s="2">
        <f t="shared" si="3275"/>
        <v>0.8428899082568807</v>
      </c>
      <c r="AO375" s="2">
        <f t="shared" ref="AO375:AQ375" si="3276">E375/Z375</f>
        <v>2.6373626373626374E-2</v>
      </c>
      <c r="AP375" s="2">
        <f t="shared" si="3276"/>
        <v>4.0767386091127102E-2</v>
      </c>
      <c r="AQ375" s="2">
        <f t="shared" si="3276"/>
        <v>3.3256880733944956E-2</v>
      </c>
      <c r="AR375" s="2">
        <f t="shared" si="2311"/>
        <v>0.10549450549450549</v>
      </c>
      <c r="AS375" s="2">
        <f t="shared" ref="AS375:AT375" si="3277">R375/AA375</f>
        <v>0.11510791366906475</v>
      </c>
      <c r="AT375" s="2">
        <f t="shared" si="3277"/>
        <v>8.6009174311926603E-2</v>
      </c>
      <c r="AU375" s="2">
        <f t="shared" si="2475"/>
        <v>1.9396551724137932E-2</v>
      </c>
      <c r="AV375" s="2">
        <f t="shared" ref="AV375:AW438" si="3278">U375/X375</f>
        <v>1.1848341232227487E-2</v>
      </c>
      <c r="AW375" s="2">
        <f t="shared" si="3109"/>
        <v>1.580135440180587E-2</v>
      </c>
    </row>
    <row r="376" spans="1:49" ht="13" x14ac:dyDescent="0.15">
      <c r="A376" s="1">
        <v>2022</v>
      </c>
      <c r="B376" s="1" t="s">
        <v>49</v>
      </c>
      <c r="C376" s="1" t="s">
        <v>93</v>
      </c>
      <c r="D376" s="1" t="s">
        <v>180</v>
      </c>
      <c r="E376" s="1">
        <v>326</v>
      </c>
      <c r="F376" s="1">
        <v>367</v>
      </c>
      <c r="G376" s="1">
        <v>693</v>
      </c>
      <c r="H376" s="1">
        <v>1323</v>
      </c>
      <c r="I376" s="1">
        <v>1555</v>
      </c>
      <c r="J376" s="1">
        <v>2878</v>
      </c>
      <c r="K376" s="1">
        <v>318</v>
      </c>
      <c r="L376" s="1">
        <v>460</v>
      </c>
      <c r="M376" s="1">
        <v>778</v>
      </c>
      <c r="N376" s="1">
        <v>196</v>
      </c>
      <c r="O376" s="1">
        <v>232</v>
      </c>
      <c r="P376" s="1">
        <v>428</v>
      </c>
      <c r="Q376" s="1">
        <v>81</v>
      </c>
      <c r="R376" s="1">
        <v>130</v>
      </c>
      <c r="S376" s="1">
        <v>211</v>
      </c>
      <c r="T376" s="1">
        <v>82</v>
      </c>
      <c r="U376" s="1">
        <v>102</v>
      </c>
      <c r="V376" s="1">
        <v>184</v>
      </c>
      <c r="W376" s="1">
        <f t="shared" ref="W376:X376" si="3279">SUM(E376,H376,K376,N376,Q376,T376)</f>
        <v>2326</v>
      </c>
      <c r="X376" s="1">
        <f t="shared" si="3279"/>
        <v>2846</v>
      </c>
      <c r="Y376" s="1">
        <f t="shared" si="2301"/>
        <v>5172</v>
      </c>
      <c r="Z376" s="1">
        <f t="shared" ref="Z376:AA376" si="3280">W376-T376</f>
        <v>2244</v>
      </c>
      <c r="AA376" s="1">
        <f t="shared" si="3280"/>
        <v>2744</v>
      </c>
      <c r="AB376" s="1">
        <f t="shared" si="2303"/>
        <v>4988</v>
      </c>
      <c r="AC376" s="1">
        <f t="shared" ref="AC376:AD376" si="3281">SUM(E376,H376,K376,N376)</f>
        <v>2163</v>
      </c>
      <c r="AD376" s="1">
        <f t="shared" si="3281"/>
        <v>2614</v>
      </c>
      <c r="AE376" s="1">
        <f t="shared" si="2305"/>
        <v>4777</v>
      </c>
      <c r="AF376" s="2">
        <f t="shared" ref="AF376:AH376" si="3282">AC376/Z376</f>
        <v>0.96390374331550799</v>
      </c>
      <c r="AG376" s="2">
        <f t="shared" si="3282"/>
        <v>0.95262390670553931</v>
      </c>
      <c r="AH376" s="2">
        <f t="shared" si="3282"/>
        <v>0.95769847634322369</v>
      </c>
      <c r="AI376" s="1">
        <f t="shared" ref="AI376:AJ376" si="3283">SUM(E376,H376,K376)</f>
        <v>1967</v>
      </c>
      <c r="AJ376" s="1">
        <f t="shared" si="3283"/>
        <v>2382</v>
      </c>
      <c r="AK376" s="1">
        <f t="shared" si="2308"/>
        <v>4349</v>
      </c>
      <c r="AL376" s="2">
        <f t="shared" ref="AL376:AN376" si="3284">AI376/Z376</f>
        <v>0.87655971479500894</v>
      </c>
      <c r="AM376" s="2">
        <f t="shared" si="3284"/>
        <v>0.86807580174927113</v>
      </c>
      <c r="AN376" s="2">
        <f t="shared" si="3284"/>
        <v>0.8718925421010425</v>
      </c>
      <c r="AO376" s="2">
        <f t="shared" ref="AO376:AQ376" si="3285">E376/Z376</f>
        <v>0.14527629233511585</v>
      </c>
      <c r="AP376" s="2">
        <f t="shared" si="3285"/>
        <v>0.13374635568513119</v>
      </c>
      <c r="AQ376" s="2">
        <f t="shared" si="3285"/>
        <v>0.13893344025661589</v>
      </c>
      <c r="AR376" s="2">
        <f t="shared" si="2311"/>
        <v>5.7932263814616754E-2</v>
      </c>
      <c r="AS376" s="2">
        <f t="shared" ref="AS376:AT376" si="3286">R376/AA376</f>
        <v>4.7376093294460644E-2</v>
      </c>
      <c r="AT376" s="2">
        <f t="shared" si="3286"/>
        <v>4.2301523656776266E-2</v>
      </c>
      <c r="AU376" s="2">
        <f t="shared" si="2475"/>
        <v>3.5253654342218402E-2</v>
      </c>
      <c r="AV376" s="2">
        <f t="shared" si="3278"/>
        <v>3.5839775122979624E-2</v>
      </c>
      <c r="AW376" s="2">
        <f t="shared" si="3109"/>
        <v>3.5576179427687551E-2</v>
      </c>
    </row>
    <row r="377" spans="1:49" ht="13" x14ac:dyDescent="0.15">
      <c r="A377" s="1">
        <v>2022</v>
      </c>
      <c r="B377" s="1" t="s">
        <v>49</v>
      </c>
      <c r="C377" s="1" t="s">
        <v>93</v>
      </c>
      <c r="D377" s="1" t="s">
        <v>181</v>
      </c>
      <c r="E377" s="1">
        <v>208</v>
      </c>
      <c r="F377" s="1">
        <v>195</v>
      </c>
      <c r="G377" s="1">
        <v>403</v>
      </c>
      <c r="H377" s="1">
        <v>782</v>
      </c>
      <c r="I377" s="1">
        <v>996</v>
      </c>
      <c r="J377" s="1">
        <v>1778</v>
      </c>
      <c r="K377" s="1">
        <v>354</v>
      </c>
      <c r="L377" s="1">
        <v>570</v>
      </c>
      <c r="M377" s="1">
        <v>924</v>
      </c>
      <c r="N377" s="1">
        <v>227</v>
      </c>
      <c r="O377" s="1">
        <v>345</v>
      </c>
      <c r="P377" s="1">
        <v>572</v>
      </c>
      <c r="Q377" s="1">
        <v>266</v>
      </c>
      <c r="R377" s="1">
        <v>417</v>
      </c>
      <c r="S377" s="1">
        <v>683</v>
      </c>
      <c r="T377" s="1">
        <v>118</v>
      </c>
      <c r="U377" s="1">
        <v>128</v>
      </c>
      <c r="V377" s="1">
        <v>246</v>
      </c>
      <c r="W377" s="1">
        <f t="shared" ref="W377:X377" si="3287">SUM(E377,H377,K377,N377,Q377,T377)</f>
        <v>1955</v>
      </c>
      <c r="X377" s="1">
        <f t="shared" si="3287"/>
        <v>2651</v>
      </c>
      <c r="Y377" s="1">
        <f t="shared" si="2301"/>
        <v>4606</v>
      </c>
      <c r="Z377" s="1">
        <f t="shared" ref="Z377:AA377" si="3288">W377-T377</f>
        <v>1837</v>
      </c>
      <c r="AA377" s="1">
        <f t="shared" si="3288"/>
        <v>2523</v>
      </c>
      <c r="AB377" s="1">
        <f t="shared" si="2303"/>
        <v>4360</v>
      </c>
      <c r="AC377" s="1">
        <f t="shared" ref="AC377:AD377" si="3289">SUM(E377,H377,K377,N377)</f>
        <v>1571</v>
      </c>
      <c r="AD377" s="1">
        <f t="shared" si="3289"/>
        <v>2106</v>
      </c>
      <c r="AE377" s="1">
        <f t="shared" si="2305"/>
        <v>3677</v>
      </c>
      <c r="AF377" s="2">
        <f t="shared" ref="AF377:AH377" si="3290">AC377/Z377</f>
        <v>0.8551986935220468</v>
      </c>
      <c r="AG377" s="2">
        <f t="shared" si="3290"/>
        <v>0.83472057074910821</v>
      </c>
      <c r="AH377" s="2">
        <f t="shared" si="3290"/>
        <v>0.84334862385321097</v>
      </c>
      <c r="AI377" s="1">
        <f t="shared" ref="AI377:AJ377" si="3291">SUM(E377,H377,K377)</f>
        <v>1344</v>
      </c>
      <c r="AJ377" s="1">
        <f t="shared" si="3291"/>
        <v>1761</v>
      </c>
      <c r="AK377" s="1">
        <f t="shared" si="2308"/>
        <v>3105</v>
      </c>
      <c r="AL377" s="2">
        <f t="shared" ref="AL377:AN377" si="3292">AI377/Z377</f>
        <v>0.73162765378334238</v>
      </c>
      <c r="AM377" s="2">
        <f t="shared" si="3292"/>
        <v>0.69797859690844233</v>
      </c>
      <c r="AN377" s="2">
        <f t="shared" si="3292"/>
        <v>0.71215596330275233</v>
      </c>
      <c r="AO377" s="2">
        <f t="shared" ref="AO377:AQ377" si="3293">E377/Z377</f>
        <v>0.11322808927599347</v>
      </c>
      <c r="AP377" s="2">
        <f t="shared" si="3293"/>
        <v>7.7288941736028544E-2</v>
      </c>
      <c r="AQ377" s="2">
        <f t="shared" si="3293"/>
        <v>9.2431192660550457E-2</v>
      </c>
      <c r="AR377" s="2">
        <f t="shared" si="2311"/>
        <v>0.22700054436581382</v>
      </c>
      <c r="AS377" s="2">
        <f t="shared" ref="AS377:AT377" si="3294">R377/AA377</f>
        <v>0.16527942925089179</v>
      </c>
      <c r="AT377" s="2">
        <f t="shared" si="3294"/>
        <v>0.15665137614678898</v>
      </c>
      <c r="AU377" s="2">
        <f t="shared" si="2475"/>
        <v>6.0358056265984658E-2</v>
      </c>
      <c r="AV377" s="2">
        <f t="shared" si="3278"/>
        <v>4.8283666540927951E-2</v>
      </c>
      <c r="AW377" s="2">
        <f t="shared" si="3109"/>
        <v>5.3408597481545812E-2</v>
      </c>
    </row>
    <row r="378" spans="1:49" ht="13" x14ac:dyDescent="0.15">
      <c r="A378" s="1">
        <v>2022</v>
      </c>
      <c r="B378" s="1" t="s">
        <v>49</v>
      </c>
      <c r="C378" s="1" t="s">
        <v>89</v>
      </c>
      <c r="D378" s="1" t="s">
        <v>182</v>
      </c>
      <c r="E378" s="1">
        <v>167</v>
      </c>
      <c r="F378" s="1">
        <v>87</v>
      </c>
      <c r="G378" s="1">
        <v>254</v>
      </c>
      <c r="H378" s="1">
        <v>892</v>
      </c>
      <c r="I378" s="1">
        <v>675</v>
      </c>
      <c r="J378" s="1">
        <v>1567</v>
      </c>
      <c r="K378" s="1">
        <v>463</v>
      </c>
      <c r="L378" s="1">
        <v>431</v>
      </c>
      <c r="M378" s="1">
        <v>894</v>
      </c>
      <c r="N378" s="1">
        <v>318</v>
      </c>
      <c r="O378" s="1">
        <v>271</v>
      </c>
      <c r="P378" s="1">
        <v>589</v>
      </c>
      <c r="Q378" s="1">
        <v>427</v>
      </c>
      <c r="R378" s="1">
        <v>464</v>
      </c>
      <c r="S378" s="1">
        <v>891</v>
      </c>
      <c r="T378" s="1">
        <v>32</v>
      </c>
      <c r="U378" s="1">
        <v>29</v>
      </c>
      <c r="V378" s="1">
        <v>61</v>
      </c>
      <c r="W378" s="1">
        <f t="shared" ref="W378:X378" si="3295">SUM(E378,H378,K378,N378,Q378,T378)</f>
        <v>2299</v>
      </c>
      <c r="X378" s="1">
        <f t="shared" si="3295"/>
        <v>1957</v>
      </c>
      <c r="Y378" s="1">
        <f t="shared" si="2301"/>
        <v>4256</v>
      </c>
      <c r="Z378" s="1">
        <f t="shared" ref="Z378:AA378" si="3296">W378-T378</f>
        <v>2267</v>
      </c>
      <c r="AA378" s="1">
        <f t="shared" si="3296"/>
        <v>1928</v>
      </c>
      <c r="AB378" s="1">
        <f t="shared" si="2303"/>
        <v>4195</v>
      </c>
      <c r="AC378" s="1">
        <f t="shared" ref="AC378:AD378" si="3297">SUM(E378,H378,K378,N378)</f>
        <v>1840</v>
      </c>
      <c r="AD378" s="1">
        <f t="shared" si="3297"/>
        <v>1464</v>
      </c>
      <c r="AE378" s="1">
        <f t="shared" si="2305"/>
        <v>3304</v>
      </c>
      <c r="AF378" s="2">
        <f t="shared" ref="AF378:AH378" si="3298">AC378/Z378</f>
        <v>0.81164534627260698</v>
      </c>
      <c r="AG378" s="2">
        <f t="shared" si="3298"/>
        <v>0.75933609958506221</v>
      </c>
      <c r="AH378" s="2">
        <f t="shared" si="3298"/>
        <v>0.78760429082240768</v>
      </c>
      <c r="AI378" s="1">
        <f t="shared" ref="AI378:AJ378" si="3299">SUM(E378,H378,K378)</f>
        <v>1522</v>
      </c>
      <c r="AJ378" s="1">
        <f t="shared" si="3299"/>
        <v>1193</v>
      </c>
      <c r="AK378" s="1">
        <f t="shared" si="2308"/>
        <v>2715</v>
      </c>
      <c r="AL378" s="2">
        <f t="shared" ref="AL378:AN378" si="3300">AI378/Z378</f>
        <v>0.67137185707984115</v>
      </c>
      <c r="AM378" s="2">
        <f t="shared" si="3300"/>
        <v>0.61877593360995853</v>
      </c>
      <c r="AN378" s="2">
        <f t="shared" si="3300"/>
        <v>0.64719904648390947</v>
      </c>
      <c r="AO378" s="2">
        <f t="shared" ref="AO378:AQ378" si="3301">E378/Z378</f>
        <v>7.3665637406263779E-2</v>
      </c>
      <c r="AP378" s="2">
        <f t="shared" si="3301"/>
        <v>4.5124481327800829E-2</v>
      </c>
      <c r="AQ378" s="2">
        <f t="shared" si="3301"/>
        <v>6.0548271752085818E-2</v>
      </c>
      <c r="AR378" s="2">
        <f t="shared" si="2311"/>
        <v>0.20467578297309219</v>
      </c>
      <c r="AS378" s="2">
        <f t="shared" ref="AS378:AT378" si="3302">R378/AA378</f>
        <v>0.24066390041493776</v>
      </c>
      <c r="AT378" s="2">
        <f t="shared" si="3302"/>
        <v>0.21239570917759237</v>
      </c>
      <c r="AU378" s="2">
        <f t="shared" si="2475"/>
        <v>1.3919095258808177E-2</v>
      </c>
      <c r="AV378" s="2">
        <f t="shared" si="3278"/>
        <v>1.4818599897802759E-2</v>
      </c>
      <c r="AW378" s="2">
        <f t="shared" si="3109"/>
        <v>1.4332706766917292E-2</v>
      </c>
    </row>
    <row r="379" spans="1:49" ht="13" x14ac:dyDescent="0.15">
      <c r="A379" s="1">
        <v>2022</v>
      </c>
      <c r="B379" s="1" t="s">
        <v>49</v>
      </c>
      <c r="C379" s="1" t="s">
        <v>62</v>
      </c>
      <c r="D379" s="1" t="s">
        <v>183</v>
      </c>
      <c r="E379" s="1">
        <v>83</v>
      </c>
      <c r="F379" s="1">
        <v>60</v>
      </c>
      <c r="G379" s="1">
        <v>143</v>
      </c>
      <c r="H379" s="1">
        <v>709</v>
      </c>
      <c r="I379" s="1">
        <v>631</v>
      </c>
      <c r="J379" s="1">
        <v>1340</v>
      </c>
      <c r="K379" s="1">
        <v>559</v>
      </c>
      <c r="L379" s="1">
        <v>575</v>
      </c>
      <c r="M379" s="1">
        <v>1134</v>
      </c>
      <c r="N379" s="1">
        <v>358</v>
      </c>
      <c r="O379" s="1">
        <v>453</v>
      </c>
      <c r="P379" s="1">
        <v>811</v>
      </c>
      <c r="Q379" s="1">
        <v>779</v>
      </c>
      <c r="R379" s="1">
        <v>852</v>
      </c>
      <c r="S379" s="1">
        <v>1631</v>
      </c>
      <c r="T379" s="1">
        <v>81</v>
      </c>
      <c r="U379" s="1">
        <v>134</v>
      </c>
      <c r="V379" s="1">
        <v>215</v>
      </c>
      <c r="W379" s="1">
        <f t="shared" ref="W379:X379" si="3303">SUM(E379,H379,K379,N379,Q379,T379)</f>
        <v>2569</v>
      </c>
      <c r="X379" s="1">
        <f t="shared" si="3303"/>
        <v>2705</v>
      </c>
      <c r="Y379" s="1">
        <f t="shared" si="2301"/>
        <v>5274</v>
      </c>
      <c r="Z379" s="1">
        <f t="shared" ref="Z379:AA379" si="3304">W379-T379</f>
        <v>2488</v>
      </c>
      <c r="AA379" s="1">
        <f t="shared" si="3304"/>
        <v>2571</v>
      </c>
      <c r="AB379" s="1">
        <f t="shared" si="2303"/>
        <v>5059</v>
      </c>
      <c r="AC379" s="1">
        <f t="shared" ref="AC379:AD379" si="3305">SUM(E379,H379,K379,N379)</f>
        <v>1709</v>
      </c>
      <c r="AD379" s="1">
        <f t="shared" si="3305"/>
        <v>1719</v>
      </c>
      <c r="AE379" s="1">
        <f t="shared" si="2305"/>
        <v>3428</v>
      </c>
      <c r="AF379" s="2">
        <f t="shared" ref="AF379:AH379" si="3306">AC379/Z379</f>
        <v>0.68689710610932475</v>
      </c>
      <c r="AG379" s="2">
        <f t="shared" si="3306"/>
        <v>0.66861143523920652</v>
      </c>
      <c r="AH379" s="2">
        <f t="shared" si="3306"/>
        <v>0.67760426961850173</v>
      </c>
      <c r="AI379" s="1">
        <f t="shared" ref="AI379:AJ379" si="3307">SUM(E379,H379,K379)</f>
        <v>1351</v>
      </c>
      <c r="AJ379" s="1">
        <f t="shared" si="3307"/>
        <v>1266</v>
      </c>
      <c r="AK379" s="1">
        <f t="shared" si="2308"/>
        <v>2617</v>
      </c>
      <c r="AL379" s="2">
        <f t="shared" ref="AL379:AN379" si="3308">AI379/Z379</f>
        <v>0.54300643086816724</v>
      </c>
      <c r="AM379" s="2">
        <f t="shared" si="3308"/>
        <v>0.49241540256709454</v>
      </c>
      <c r="AN379" s="2">
        <f t="shared" si="3308"/>
        <v>0.51729590828226923</v>
      </c>
      <c r="AO379" s="2">
        <f t="shared" ref="AO379:AQ379" si="3309">E379/Z379</f>
        <v>3.3360128617363344E-2</v>
      </c>
      <c r="AP379" s="2">
        <f t="shared" si="3309"/>
        <v>2.3337222870478413E-2</v>
      </c>
      <c r="AQ379" s="2">
        <f t="shared" si="3309"/>
        <v>2.8266455821308559E-2</v>
      </c>
      <c r="AR379" s="2">
        <f t="shared" si="2311"/>
        <v>0.342443729903537</v>
      </c>
      <c r="AS379" s="2">
        <f t="shared" ref="AS379:AT379" si="3310">R379/AA379</f>
        <v>0.33138856476079348</v>
      </c>
      <c r="AT379" s="2">
        <f t="shared" si="3310"/>
        <v>0.32239573038149832</v>
      </c>
      <c r="AU379" s="2">
        <f t="shared" si="2475"/>
        <v>3.1529778123783575E-2</v>
      </c>
      <c r="AV379" s="2">
        <f t="shared" si="3278"/>
        <v>4.9537892791127539E-2</v>
      </c>
      <c r="AW379" s="2">
        <f t="shared" si="3109"/>
        <v>4.0766021994690933E-2</v>
      </c>
    </row>
    <row r="380" spans="1:49" ht="13" x14ac:dyDescent="0.15">
      <c r="A380" s="1">
        <v>2022</v>
      </c>
      <c r="B380" s="1" t="s">
        <v>49</v>
      </c>
      <c r="C380" s="1" t="s">
        <v>89</v>
      </c>
      <c r="D380" s="1" t="s">
        <v>184</v>
      </c>
      <c r="E380" s="1">
        <v>214</v>
      </c>
      <c r="F380" s="1">
        <v>193</v>
      </c>
      <c r="G380" s="1">
        <v>407</v>
      </c>
      <c r="H380" s="1">
        <v>1304</v>
      </c>
      <c r="I380" s="1">
        <v>1381</v>
      </c>
      <c r="J380" s="1">
        <v>2685</v>
      </c>
      <c r="K380" s="1">
        <v>618</v>
      </c>
      <c r="L380" s="1">
        <v>670</v>
      </c>
      <c r="M380" s="1">
        <v>1288</v>
      </c>
      <c r="N380" s="1">
        <v>476</v>
      </c>
      <c r="O380" s="1">
        <v>488</v>
      </c>
      <c r="P380" s="1">
        <v>964</v>
      </c>
      <c r="Q380" s="1">
        <v>432</v>
      </c>
      <c r="R380" s="1">
        <v>419</v>
      </c>
      <c r="S380" s="1">
        <v>851</v>
      </c>
      <c r="T380" s="1">
        <v>35</v>
      </c>
      <c r="U380" s="1">
        <v>59</v>
      </c>
      <c r="V380" s="1">
        <v>94</v>
      </c>
      <c r="W380" s="1">
        <f t="shared" ref="W380:X380" si="3311">SUM(E380,H380,K380,N380,Q380,T380)</f>
        <v>3079</v>
      </c>
      <c r="X380" s="1">
        <f t="shared" si="3311"/>
        <v>3210</v>
      </c>
      <c r="Y380" s="1">
        <f t="shared" si="2301"/>
        <v>6289</v>
      </c>
      <c r="Z380" s="1">
        <f t="shared" ref="Z380:AA380" si="3312">W380-T380</f>
        <v>3044</v>
      </c>
      <c r="AA380" s="1">
        <f t="shared" si="3312"/>
        <v>3151</v>
      </c>
      <c r="AB380" s="1">
        <f t="shared" si="2303"/>
        <v>6195</v>
      </c>
      <c r="AC380" s="1">
        <f t="shared" ref="AC380:AD380" si="3313">SUM(E380,H380,K380,N380)</f>
        <v>2612</v>
      </c>
      <c r="AD380" s="1">
        <f t="shared" si="3313"/>
        <v>2732</v>
      </c>
      <c r="AE380" s="1">
        <f t="shared" si="2305"/>
        <v>5344</v>
      </c>
      <c r="AF380" s="2">
        <f t="shared" ref="AF380:AH380" si="3314">AC380/Z380</f>
        <v>0.85808147174770044</v>
      </c>
      <c r="AG380" s="2">
        <f t="shared" si="3314"/>
        <v>0.8670263408441764</v>
      </c>
      <c r="AH380" s="2">
        <f t="shared" si="3314"/>
        <v>0.86263115415657787</v>
      </c>
      <c r="AI380" s="1">
        <f t="shared" ref="AI380:AJ380" si="3315">SUM(E380,H380,K380)</f>
        <v>2136</v>
      </c>
      <c r="AJ380" s="1">
        <f t="shared" si="3315"/>
        <v>2244</v>
      </c>
      <c r="AK380" s="1">
        <f t="shared" si="2308"/>
        <v>4380</v>
      </c>
      <c r="AL380" s="2">
        <f t="shared" ref="AL380:AN380" si="3316">AI380/Z380</f>
        <v>0.70170827858081475</v>
      </c>
      <c r="AM380" s="2">
        <f t="shared" si="3316"/>
        <v>0.71215487146937484</v>
      </c>
      <c r="AN380" s="2">
        <f t="shared" si="3316"/>
        <v>0.70702179176755453</v>
      </c>
      <c r="AO380" s="2">
        <f t="shared" ref="AO380:AQ380" si="3317">E380/Z380</f>
        <v>7.0302233902759526E-2</v>
      </c>
      <c r="AP380" s="2">
        <f t="shared" si="3317"/>
        <v>6.1250396699460488E-2</v>
      </c>
      <c r="AQ380" s="2">
        <f t="shared" si="3317"/>
        <v>6.5698143664245354E-2</v>
      </c>
      <c r="AR380" s="2">
        <f t="shared" si="2311"/>
        <v>0.1376478318002628</v>
      </c>
      <c r="AS380" s="2">
        <f t="shared" ref="AS380:AT380" si="3318">R380/AA380</f>
        <v>0.13297365915582354</v>
      </c>
      <c r="AT380" s="2">
        <f t="shared" si="3318"/>
        <v>0.13736884584342213</v>
      </c>
      <c r="AU380" s="2">
        <f t="shared" si="2475"/>
        <v>1.136732705423839E-2</v>
      </c>
      <c r="AV380" s="2">
        <f t="shared" si="3278"/>
        <v>1.8380062305295951E-2</v>
      </c>
      <c r="AW380" s="2">
        <f t="shared" si="3109"/>
        <v>1.4946732389887104E-2</v>
      </c>
    </row>
    <row r="381" spans="1:49" ht="13" x14ac:dyDescent="0.15">
      <c r="A381" s="1">
        <v>2022</v>
      </c>
      <c r="B381" s="1" t="s">
        <v>74</v>
      </c>
      <c r="C381" s="1" t="s">
        <v>75</v>
      </c>
      <c r="D381" s="1" t="s">
        <v>203</v>
      </c>
      <c r="E381" s="1">
        <v>36</v>
      </c>
      <c r="F381" s="1">
        <v>35</v>
      </c>
      <c r="G381" s="1">
        <v>71</v>
      </c>
      <c r="H381" s="1">
        <v>256</v>
      </c>
      <c r="I381" s="1">
        <v>212</v>
      </c>
      <c r="J381" s="1">
        <v>468</v>
      </c>
      <c r="K381" s="1">
        <v>94</v>
      </c>
      <c r="L381" s="1">
        <v>96</v>
      </c>
      <c r="M381" s="1">
        <v>190</v>
      </c>
      <c r="N381" s="1">
        <v>44</v>
      </c>
      <c r="O381" s="1">
        <v>43</v>
      </c>
      <c r="P381" s="1">
        <v>87</v>
      </c>
      <c r="Q381" s="1">
        <v>23</v>
      </c>
      <c r="R381" s="1">
        <v>27</v>
      </c>
      <c r="S381" s="1">
        <v>50</v>
      </c>
      <c r="T381" s="1">
        <v>11</v>
      </c>
      <c r="U381" s="1">
        <v>7</v>
      </c>
      <c r="V381" s="1">
        <v>18</v>
      </c>
      <c r="W381" s="1">
        <f t="shared" ref="W381:X381" si="3319">SUM(E381,H381,K381,N381,Q381,T381)</f>
        <v>464</v>
      </c>
      <c r="X381" s="1">
        <f t="shared" si="3319"/>
        <v>420</v>
      </c>
      <c r="Y381" s="1">
        <f t="shared" si="2301"/>
        <v>884</v>
      </c>
      <c r="Z381" s="1">
        <f t="shared" ref="Z381:AA381" si="3320">W381-T381</f>
        <v>453</v>
      </c>
      <c r="AA381" s="1">
        <f t="shared" si="3320"/>
        <v>413</v>
      </c>
      <c r="AB381" s="1">
        <f t="shared" si="2303"/>
        <v>866</v>
      </c>
      <c r="AC381" s="1">
        <f t="shared" ref="AC381:AD381" si="3321">SUM(E381,H381,K381,N381)</f>
        <v>430</v>
      </c>
      <c r="AD381" s="1">
        <f t="shared" si="3321"/>
        <v>386</v>
      </c>
      <c r="AE381" s="1">
        <f t="shared" si="2305"/>
        <v>816</v>
      </c>
      <c r="AF381" s="2">
        <f t="shared" ref="AF381:AH381" si="3322">AC381/Z381</f>
        <v>0.94922737306843263</v>
      </c>
      <c r="AG381" s="2">
        <f t="shared" si="3322"/>
        <v>0.93462469733656173</v>
      </c>
      <c r="AH381" s="2">
        <f t="shared" si="3322"/>
        <v>0.94226327944572752</v>
      </c>
      <c r="AI381" s="1">
        <f t="shared" ref="AI381:AJ381" si="3323">SUM(E381,H381,K381)</f>
        <v>386</v>
      </c>
      <c r="AJ381" s="1">
        <f t="shared" si="3323"/>
        <v>343</v>
      </c>
      <c r="AK381" s="1">
        <f t="shared" si="2308"/>
        <v>729</v>
      </c>
      <c r="AL381" s="2">
        <f t="shared" ref="AL381:AN381" si="3324">AI381/Z381</f>
        <v>0.85209713024282563</v>
      </c>
      <c r="AM381" s="2">
        <f t="shared" si="3324"/>
        <v>0.83050847457627119</v>
      </c>
      <c r="AN381" s="2">
        <f t="shared" si="3324"/>
        <v>0.84180138568129326</v>
      </c>
      <c r="AO381" s="2">
        <f t="shared" ref="AO381:AQ381" si="3325">E381/Z381</f>
        <v>7.9470198675496692E-2</v>
      </c>
      <c r="AP381" s="2">
        <f t="shared" si="3325"/>
        <v>8.4745762711864403E-2</v>
      </c>
      <c r="AQ381" s="2">
        <f t="shared" si="3325"/>
        <v>8.198614318706697E-2</v>
      </c>
      <c r="AR381" s="2">
        <f t="shared" si="2311"/>
        <v>5.9602649006622516E-2</v>
      </c>
      <c r="AS381" s="2">
        <f t="shared" ref="AS381:AT381" si="3326">R381/AA381</f>
        <v>6.5375302663438259E-2</v>
      </c>
      <c r="AT381" s="2">
        <f t="shared" si="3326"/>
        <v>5.7736720554272515E-2</v>
      </c>
      <c r="AU381" s="2">
        <f t="shared" si="2475"/>
        <v>2.3706896551724137E-2</v>
      </c>
      <c r="AV381" s="2">
        <f t="shared" si="3278"/>
        <v>1.6666666666666666E-2</v>
      </c>
      <c r="AW381" s="2">
        <f t="shared" si="3109"/>
        <v>2.0361990950226245E-2</v>
      </c>
    </row>
    <row r="382" spans="1:49" ht="13" x14ac:dyDescent="0.15">
      <c r="A382" s="1">
        <v>2022</v>
      </c>
      <c r="B382" s="1" t="s">
        <v>49</v>
      </c>
      <c r="C382" s="1" t="s">
        <v>67</v>
      </c>
      <c r="D382" s="1" t="s">
        <v>185</v>
      </c>
      <c r="E382" s="1">
        <v>73</v>
      </c>
      <c r="F382" s="1">
        <v>18</v>
      </c>
      <c r="G382" s="1">
        <v>91</v>
      </c>
      <c r="H382" s="1">
        <v>1026</v>
      </c>
      <c r="I382" s="1">
        <v>482</v>
      </c>
      <c r="J382" s="1">
        <v>1508</v>
      </c>
      <c r="K382" s="1">
        <v>634</v>
      </c>
      <c r="L382" s="1">
        <v>411</v>
      </c>
      <c r="M382" s="1">
        <v>1045</v>
      </c>
      <c r="N382" s="1">
        <v>297</v>
      </c>
      <c r="O382" s="1">
        <v>204</v>
      </c>
      <c r="P382" s="1">
        <v>501</v>
      </c>
      <c r="Q382" s="1">
        <v>199</v>
      </c>
      <c r="R382" s="1">
        <v>131</v>
      </c>
      <c r="S382" s="1">
        <v>330</v>
      </c>
      <c r="T382" s="1">
        <v>56</v>
      </c>
      <c r="U382" s="1">
        <v>34</v>
      </c>
      <c r="V382" s="1">
        <v>90</v>
      </c>
      <c r="W382" s="1">
        <f t="shared" ref="W382:X382" si="3327">SUM(E382,H382,K382,N382,Q382,T382)</f>
        <v>2285</v>
      </c>
      <c r="X382" s="1">
        <f t="shared" si="3327"/>
        <v>1280</v>
      </c>
      <c r="Y382" s="1">
        <f t="shared" si="2301"/>
        <v>3565</v>
      </c>
      <c r="Z382" s="1">
        <f t="shared" ref="Z382:AA382" si="3328">W382-T382</f>
        <v>2229</v>
      </c>
      <c r="AA382" s="1">
        <f t="shared" si="3328"/>
        <v>1246</v>
      </c>
      <c r="AB382" s="1">
        <f t="shared" si="2303"/>
        <v>3475</v>
      </c>
      <c r="AC382" s="1">
        <f t="shared" ref="AC382:AD382" si="3329">SUM(E382,H382,K382,N382)</f>
        <v>2030</v>
      </c>
      <c r="AD382" s="1">
        <f t="shared" si="3329"/>
        <v>1115</v>
      </c>
      <c r="AE382" s="1">
        <f t="shared" si="2305"/>
        <v>3145</v>
      </c>
      <c r="AF382" s="2">
        <f t="shared" ref="AF382:AH382" si="3330">AC382/Z382</f>
        <v>0.91072229699416773</v>
      </c>
      <c r="AG382" s="2">
        <f t="shared" si="3330"/>
        <v>0.89486356340288919</v>
      </c>
      <c r="AH382" s="2">
        <f t="shared" si="3330"/>
        <v>0.9050359712230216</v>
      </c>
      <c r="AI382" s="1">
        <f t="shared" ref="AI382:AJ382" si="3331">SUM(E382,H382,K382)</f>
        <v>1733</v>
      </c>
      <c r="AJ382" s="1">
        <f t="shared" si="3331"/>
        <v>911</v>
      </c>
      <c r="AK382" s="1">
        <f t="shared" si="2308"/>
        <v>2644</v>
      </c>
      <c r="AL382" s="2">
        <f t="shared" ref="AL382:AN382" si="3332">AI382/Z382</f>
        <v>0.77747868999551373</v>
      </c>
      <c r="AM382" s="2">
        <f t="shared" si="3332"/>
        <v>0.73113964686998389</v>
      </c>
      <c r="AN382" s="2">
        <f t="shared" si="3332"/>
        <v>0.760863309352518</v>
      </c>
      <c r="AO382" s="2">
        <f t="shared" ref="AO382:AQ382" si="3333">E382/Z382</f>
        <v>3.275011215791835E-2</v>
      </c>
      <c r="AP382" s="2">
        <f t="shared" si="3333"/>
        <v>1.4446227929373997E-2</v>
      </c>
      <c r="AQ382" s="2">
        <f t="shared" si="3333"/>
        <v>2.6187050359712229E-2</v>
      </c>
      <c r="AR382" s="2">
        <f t="shared" si="2311"/>
        <v>5.8770749214894571E-2</v>
      </c>
      <c r="AS382" s="2">
        <f t="shared" ref="AS382:AT382" si="3334">R382/AA382</f>
        <v>0.10513643659711075</v>
      </c>
      <c r="AT382" s="2">
        <f t="shared" si="3334"/>
        <v>9.4964028776978418E-2</v>
      </c>
      <c r="AU382" s="2">
        <f t="shared" si="2475"/>
        <v>2.450765864332604E-2</v>
      </c>
      <c r="AV382" s="2">
        <f t="shared" si="3278"/>
        <v>2.6562499999999999E-2</v>
      </c>
      <c r="AW382" s="2">
        <f t="shared" si="3109"/>
        <v>2.5245441795231416E-2</v>
      </c>
    </row>
    <row r="383" spans="1:49" ht="13" x14ac:dyDescent="0.15">
      <c r="A383" s="1">
        <v>2022</v>
      </c>
      <c r="B383" s="1" t="s">
        <v>49</v>
      </c>
      <c r="C383" s="1" t="s">
        <v>59</v>
      </c>
      <c r="D383" s="1" t="s">
        <v>186</v>
      </c>
      <c r="E383" s="1">
        <v>101</v>
      </c>
      <c r="F383" s="1">
        <v>49</v>
      </c>
      <c r="G383" s="1">
        <v>150</v>
      </c>
      <c r="H383" s="1">
        <v>715</v>
      </c>
      <c r="I383" s="1">
        <v>799</v>
      </c>
      <c r="J383" s="1">
        <v>1514</v>
      </c>
      <c r="K383" s="1">
        <v>446</v>
      </c>
      <c r="L383" s="1">
        <v>563</v>
      </c>
      <c r="M383" s="1">
        <v>1009</v>
      </c>
      <c r="N383" s="1">
        <v>287</v>
      </c>
      <c r="O383" s="1">
        <v>384</v>
      </c>
      <c r="P383" s="1">
        <v>671</v>
      </c>
      <c r="Q383" s="1">
        <v>458</v>
      </c>
      <c r="R383" s="1">
        <v>473</v>
      </c>
      <c r="S383" s="1">
        <v>931</v>
      </c>
      <c r="T383" s="1">
        <v>11</v>
      </c>
      <c r="U383" s="1">
        <v>24</v>
      </c>
      <c r="V383" s="1">
        <v>35</v>
      </c>
      <c r="W383" s="1">
        <f t="shared" ref="W383:X383" si="3335">SUM(E383,H383,K383,N383,Q383,T383)</f>
        <v>2018</v>
      </c>
      <c r="X383" s="1">
        <f t="shared" si="3335"/>
        <v>2292</v>
      </c>
      <c r="Y383" s="1">
        <f t="shared" si="2301"/>
        <v>4310</v>
      </c>
      <c r="Z383" s="1">
        <f t="shared" ref="Z383:AA383" si="3336">W383-T383</f>
        <v>2007</v>
      </c>
      <c r="AA383" s="1">
        <f t="shared" si="3336"/>
        <v>2268</v>
      </c>
      <c r="AB383" s="1">
        <f t="shared" si="2303"/>
        <v>4275</v>
      </c>
      <c r="AC383" s="1">
        <f t="shared" ref="AC383:AD383" si="3337">SUM(E383,H383,K383,N383)</f>
        <v>1549</v>
      </c>
      <c r="AD383" s="1">
        <f t="shared" si="3337"/>
        <v>1795</v>
      </c>
      <c r="AE383" s="1">
        <f t="shared" si="2305"/>
        <v>3344</v>
      </c>
      <c r="AF383" s="2">
        <f t="shared" ref="AF383:AH383" si="3338">AC383/Z383</f>
        <v>0.77179870453413058</v>
      </c>
      <c r="AG383" s="2">
        <f t="shared" si="3338"/>
        <v>0.7914462081128748</v>
      </c>
      <c r="AH383" s="2">
        <f t="shared" si="3338"/>
        <v>0.78222222222222226</v>
      </c>
      <c r="AI383" s="1">
        <f t="shared" ref="AI383:AJ383" si="3339">SUM(E383,H383,K383)</f>
        <v>1262</v>
      </c>
      <c r="AJ383" s="1">
        <f t="shared" si="3339"/>
        <v>1411</v>
      </c>
      <c r="AK383" s="1">
        <f t="shared" si="2308"/>
        <v>2673</v>
      </c>
      <c r="AL383" s="2">
        <f t="shared" ref="AL383:AN383" si="3340">AI383/Z383</f>
        <v>0.62879920279023416</v>
      </c>
      <c r="AM383" s="2">
        <f t="shared" si="3340"/>
        <v>0.6221340388007055</v>
      </c>
      <c r="AN383" s="2">
        <f t="shared" si="3340"/>
        <v>0.62526315789473685</v>
      </c>
      <c r="AO383" s="2">
        <f t="shared" ref="AO383:AQ383" si="3341">E383/Z383</f>
        <v>5.0323866467364226E-2</v>
      </c>
      <c r="AP383" s="2">
        <f t="shared" si="3341"/>
        <v>2.1604938271604937E-2</v>
      </c>
      <c r="AQ383" s="2">
        <f t="shared" si="3341"/>
        <v>3.5087719298245612E-2</v>
      </c>
      <c r="AR383" s="2">
        <f t="shared" si="2311"/>
        <v>0.2356751370204285</v>
      </c>
      <c r="AS383" s="2">
        <f t="shared" ref="AS383:AT383" si="3342">R383/AA383</f>
        <v>0.20855379188712522</v>
      </c>
      <c r="AT383" s="2">
        <f t="shared" si="3342"/>
        <v>0.21777777777777776</v>
      </c>
      <c r="AU383" s="2">
        <f t="shared" si="2475"/>
        <v>5.4509415262636272E-3</v>
      </c>
      <c r="AV383" s="2">
        <f t="shared" si="3278"/>
        <v>1.0471204188481676E-2</v>
      </c>
      <c r="AW383" s="2">
        <f t="shared" si="3109"/>
        <v>8.1206496519721574E-3</v>
      </c>
    </row>
    <row r="384" spans="1:49" ht="13" x14ac:dyDescent="0.15">
      <c r="A384" s="1">
        <v>2022</v>
      </c>
      <c r="B384" s="1" t="s">
        <v>49</v>
      </c>
      <c r="C384" s="1" t="s">
        <v>101</v>
      </c>
      <c r="D384" s="1" t="s">
        <v>187</v>
      </c>
      <c r="E384" s="1">
        <v>51</v>
      </c>
      <c r="F384" s="1">
        <v>32</v>
      </c>
      <c r="G384" s="1">
        <v>83</v>
      </c>
      <c r="H384" s="1">
        <v>389</v>
      </c>
      <c r="I384" s="1">
        <v>410</v>
      </c>
      <c r="J384" s="1">
        <v>799</v>
      </c>
      <c r="K384" s="1">
        <v>94</v>
      </c>
      <c r="L384" s="1">
        <v>114</v>
      </c>
      <c r="M384" s="1">
        <v>208</v>
      </c>
      <c r="N384" s="1">
        <v>56</v>
      </c>
      <c r="O384" s="1">
        <v>62</v>
      </c>
      <c r="P384" s="1">
        <v>118</v>
      </c>
      <c r="Q384" s="1">
        <v>16</v>
      </c>
      <c r="R384" s="1">
        <v>19</v>
      </c>
      <c r="S384" s="1">
        <v>35</v>
      </c>
      <c r="T384" s="1">
        <v>45</v>
      </c>
      <c r="U384" s="1">
        <v>29</v>
      </c>
      <c r="V384" s="1">
        <v>74</v>
      </c>
      <c r="W384" s="1">
        <f t="shared" ref="W384:X384" si="3343">SUM(E384,H384,K384,N384,Q384,T384)</f>
        <v>651</v>
      </c>
      <c r="X384" s="1">
        <f t="shared" si="3343"/>
        <v>666</v>
      </c>
      <c r="Y384" s="1">
        <f t="shared" si="2301"/>
        <v>1317</v>
      </c>
      <c r="Z384" s="1">
        <f t="shared" ref="Z384:AA384" si="3344">W384-T384</f>
        <v>606</v>
      </c>
      <c r="AA384" s="1">
        <f t="shared" si="3344"/>
        <v>637</v>
      </c>
      <c r="AB384" s="1">
        <f t="shared" si="2303"/>
        <v>1243</v>
      </c>
      <c r="AC384" s="1">
        <f t="shared" ref="AC384:AD384" si="3345">SUM(E384,H384,K384,N384)</f>
        <v>590</v>
      </c>
      <c r="AD384" s="1">
        <f t="shared" si="3345"/>
        <v>618</v>
      </c>
      <c r="AE384" s="1">
        <f t="shared" si="2305"/>
        <v>1208</v>
      </c>
      <c r="AF384" s="2">
        <f t="shared" ref="AF384:AH384" si="3346">AC384/Z384</f>
        <v>0.97359735973597361</v>
      </c>
      <c r="AG384" s="2">
        <f t="shared" si="3346"/>
        <v>0.97017268445839877</v>
      </c>
      <c r="AH384" s="2">
        <f t="shared" si="3346"/>
        <v>0.97184231697506029</v>
      </c>
      <c r="AI384" s="1">
        <f t="shared" ref="AI384:AJ384" si="3347">SUM(E384,H384,K384)</f>
        <v>534</v>
      </c>
      <c r="AJ384" s="1">
        <f t="shared" si="3347"/>
        <v>556</v>
      </c>
      <c r="AK384" s="1">
        <f t="shared" si="2308"/>
        <v>1090</v>
      </c>
      <c r="AL384" s="2">
        <f t="shared" ref="AL384:AN384" si="3348">AI384/Z384</f>
        <v>0.88118811881188119</v>
      </c>
      <c r="AM384" s="2">
        <f t="shared" si="3348"/>
        <v>0.87284144427001575</v>
      </c>
      <c r="AN384" s="2">
        <f t="shared" si="3348"/>
        <v>0.87691069991954951</v>
      </c>
      <c r="AO384" s="2">
        <f t="shared" ref="AO384:AQ384" si="3349">E384/Z384</f>
        <v>8.4158415841584164E-2</v>
      </c>
      <c r="AP384" s="2">
        <f t="shared" si="3349"/>
        <v>5.0235478806907381E-2</v>
      </c>
      <c r="AQ384" s="2">
        <f t="shared" si="3349"/>
        <v>6.6773934030571205E-2</v>
      </c>
      <c r="AR384" s="2">
        <f t="shared" si="2311"/>
        <v>3.1353135313531351E-2</v>
      </c>
      <c r="AS384" s="2">
        <f t="shared" ref="AS384:AT384" si="3350">R384/AA384</f>
        <v>2.9827315541601257E-2</v>
      </c>
      <c r="AT384" s="2">
        <f t="shared" si="3350"/>
        <v>2.8157683024939661E-2</v>
      </c>
      <c r="AU384" s="2">
        <f t="shared" si="2475"/>
        <v>6.9124423963133647E-2</v>
      </c>
      <c r="AV384" s="2">
        <f t="shared" si="3278"/>
        <v>4.3543543543543541E-2</v>
      </c>
      <c r="AW384" s="2">
        <f t="shared" si="3109"/>
        <v>5.6188306757782837E-2</v>
      </c>
    </row>
    <row r="385" spans="1:49" ht="13" x14ac:dyDescent="0.15">
      <c r="A385" s="1">
        <v>2022</v>
      </c>
      <c r="B385" s="1" t="s">
        <v>117</v>
      </c>
      <c r="C385" s="1" t="s">
        <v>54</v>
      </c>
      <c r="D385" s="1" t="s">
        <v>188</v>
      </c>
      <c r="E385" s="1">
        <v>1219</v>
      </c>
      <c r="F385" s="1">
        <v>1054</v>
      </c>
      <c r="G385" s="1">
        <v>2273</v>
      </c>
      <c r="H385" s="1">
        <v>2537</v>
      </c>
      <c r="I385" s="1">
        <v>3298</v>
      </c>
      <c r="J385" s="1">
        <v>5835</v>
      </c>
      <c r="K385" s="1">
        <v>812</v>
      </c>
      <c r="L385" s="1">
        <v>1122</v>
      </c>
      <c r="M385" s="1">
        <v>1934</v>
      </c>
      <c r="N385" s="1">
        <v>396</v>
      </c>
      <c r="O385" s="1">
        <v>542</v>
      </c>
      <c r="P385" s="1">
        <v>938</v>
      </c>
      <c r="Q385" s="1">
        <v>299</v>
      </c>
      <c r="R385" s="1">
        <v>420</v>
      </c>
      <c r="S385" s="1">
        <v>719</v>
      </c>
      <c r="T385" s="1">
        <v>84</v>
      </c>
      <c r="U385" s="1">
        <v>116</v>
      </c>
      <c r="V385" s="1">
        <v>200</v>
      </c>
      <c r="W385" s="1">
        <f t="shared" ref="W385:X385" si="3351">SUM(E385,H385,K385,N385,Q385,T385)</f>
        <v>5347</v>
      </c>
      <c r="X385" s="1">
        <f t="shared" si="3351"/>
        <v>6552</v>
      </c>
      <c r="Y385" s="1">
        <f t="shared" si="2301"/>
        <v>11899</v>
      </c>
      <c r="Z385" s="1">
        <f t="shared" ref="Z385:AA385" si="3352">W385-T385</f>
        <v>5263</v>
      </c>
      <c r="AA385" s="1">
        <f t="shared" si="3352"/>
        <v>6436</v>
      </c>
      <c r="AB385" s="1">
        <f t="shared" si="2303"/>
        <v>11699</v>
      </c>
      <c r="AC385" s="1">
        <f t="shared" ref="AC385:AD385" si="3353">SUM(E385,H385,K385,N385)</f>
        <v>4964</v>
      </c>
      <c r="AD385" s="1">
        <f t="shared" si="3353"/>
        <v>6016</v>
      </c>
      <c r="AE385" s="1">
        <f t="shared" si="2305"/>
        <v>10980</v>
      </c>
      <c r="AF385" s="2">
        <f t="shared" ref="AF385:AH385" si="3354">AC385/Z385</f>
        <v>0.94318829564886941</v>
      </c>
      <c r="AG385" s="2">
        <f t="shared" si="3354"/>
        <v>0.93474207582349289</v>
      </c>
      <c r="AH385" s="2">
        <f t="shared" si="3354"/>
        <v>0.93854175570561582</v>
      </c>
      <c r="AI385" s="1">
        <f t="shared" ref="AI385:AJ385" si="3355">SUM(E385,H385,K385)</f>
        <v>4568</v>
      </c>
      <c r="AJ385" s="1">
        <f t="shared" si="3355"/>
        <v>5474</v>
      </c>
      <c r="AK385" s="1">
        <f t="shared" si="2308"/>
        <v>10042</v>
      </c>
      <c r="AL385" s="2">
        <f t="shared" ref="AL385:AN385" si="3356">AI385/Z385</f>
        <v>0.86794603838115147</v>
      </c>
      <c r="AM385" s="2">
        <f t="shared" si="3356"/>
        <v>0.85052827843380985</v>
      </c>
      <c r="AN385" s="2">
        <f t="shared" si="3356"/>
        <v>0.85836396273185744</v>
      </c>
      <c r="AO385" s="2">
        <f t="shared" ref="AO385:AQ385" si="3357">E385/Z385</f>
        <v>0.23161694850845527</v>
      </c>
      <c r="AP385" s="2">
        <f t="shared" si="3357"/>
        <v>0.16376631448104412</v>
      </c>
      <c r="AQ385" s="2">
        <f t="shared" si="3357"/>
        <v>0.19429011026583468</v>
      </c>
      <c r="AR385" s="2">
        <f t="shared" si="2311"/>
        <v>7.9802394071822158E-2</v>
      </c>
      <c r="AS385" s="2">
        <f t="shared" ref="AS385:AT385" si="3358">R385/AA385</f>
        <v>6.5257924176507151E-2</v>
      </c>
      <c r="AT385" s="2">
        <f t="shared" si="3358"/>
        <v>6.1458244294384137E-2</v>
      </c>
      <c r="AU385" s="2">
        <f t="shared" si="2475"/>
        <v>1.5709743781559753E-2</v>
      </c>
      <c r="AV385" s="2">
        <f t="shared" si="3278"/>
        <v>1.7704517704517704E-2</v>
      </c>
      <c r="AW385" s="2">
        <f t="shared" si="3109"/>
        <v>1.6808135137406505E-2</v>
      </c>
    </row>
    <row r="386" spans="1:49" ht="13" x14ac:dyDescent="0.15">
      <c r="A386" s="1">
        <v>2022</v>
      </c>
      <c r="B386" s="1" t="s">
        <v>49</v>
      </c>
      <c r="C386" s="1" t="s">
        <v>78</v>
      </c>
      <c r="D386" s="1" t="s">
        <v>189</v>
      </c>
      <c r="E386" s="1">
        <v>29</v>
      </c>
      <c r="F386" s="1">
        <v>18</v>
      </c>
      <c r="G386" s="1">
        <v>47</v>
      </c>
      <c r="H386" s="1">
        <v>551</v>
      </c>
      <c r="I386" s="1">
        <v>315</v>
      </c>
      <c r="J386" s="1">
        <v>866</v>
      </c>
      <c r="K386" s="1">
        <v>369</v>
      </c>
      <c r="L386" s="1">
        <v>326</v>
      </c>
      <c r="M386" s="1">
        <v>695</v>
      </c>
      <c r="N386" s="1">
        <v>231</v>
      </c>
      <c r="O386" s="1">
        <v>193</v>
      </c>
      <c r="P386" s="1">
        <v>424</v>
      </c>
      <c r="Q386" s="1">
        <v>255</v>
      </c>
      <c r="R386" s="1">
        <v>297</v>
      </c>
      <c r="S386" s="1">
        <v>552</v>
      </c>
      <c r="T386" s="1">
        <v>40</v>
      </c>
      <c r="U386" s="1">
        <v>45</v>
      </c>
      <c r="V386" s="1">
        <v>85</v>
      </c>
      <c r="W386" s="1">
        <f t="shared" ref="W386:X386" si="3359">SUM(E386,H386,K386,N386,Q386,T386)</f>
        <v>1475</v>
      </c>
      <c r="X386" s="1">
        <f t="shared" si="3359"/>
        <v>1194</v>
      </c>
      <c r="Y386" s="1">
        <f t="shared" si="2301"/>
        <v>2669</v>
      </c>
      <c r="Z386" s="1">
        <f t="shared" ref="Z386:AA386" si="3360">W386-T386</f>
        <v>1435</v>
      </c>
      <c r="AA386" s="1">
        <f t="shared" si="3360"/>
        <v>1149</v>
      </c>
      <c r="AB386" s="1">
        <f t="shared" si="2303"/>
        <v>2584</v>
      </c>
      <c r="AC386" s="1">
        <f t="shared" ref="AC386:AD386" si="3361">SUM(E386,H386,K386,N386)</f>
        <v>1180</v>
      </c>
      <c r="AD386" s="1">
        <f t="shared" si="3361"/>
        <v>852</v>
      </c>
      <c r="AE386" s="1">
        <f t="shared" si="2305"/>
        <v>2032</v>
      </c>
      <c r="AF386" s="2">
        <f t="shared" ref="AF386:AH386" si="3362">AC386/Z386</f>
        <v>0.82229965156794427</v>
      </c>
      <c r="AG386" s="2">
        <f t="shared" si="3362"/>
        <v>0.74151436031331597</v>
      </c>
      <c r="AH386" s="2">
        <f t="shared" si="3362"/>
        <v>0.78637770897832815</v>
      </c>
      <c r="AI386" s="1">
        <f t="shared" ref="AI386:AJ386" si="3363">SUM(E386,H386,K386)</f>
        <v>949</v>
      </c>
      <c r="AJ386" s="1">
        <f t="shared" si="3363"/>
        <v>659</v>
      </c>
      <c r="AK386" s="1">
        <f t="shared" si="2308"/>
        <v>1608</v>
      </c>
      <c r="AL386" s="2">
        <f t="shared" ref="AL386:AN386" si="3364">AI386/Z386</f>
        <v>0.66132404181184667</v>
      </c>
      <c r="AM386" s="2">
        <f t="shared" si="3364"/>
        <v>0.57354221061792865</v>
      </c>
      <c r="AN386" s="2">
        <f t="shared" si="3364"/>
        <v>0.62229102167182659</v>
      </c>
      <c r="AO386" s="2">
        <f t="shared" ref="AO386:AQ386" si="3365">E386/Z386</f>
        <v>2.0209059233449476E-2</v>
      </c>
      <c r="AP386" s="2">
        <f t="shared" si="3365"/>
        <v>1.5665796344647518E-2</v>
      </c>
      <c r="AQ386" s="2">
        <f t="shared" si="3365"/>
        <v>1.8188854489164085E-2</v>
      </c>
      <c r="AR386" s="2">
        <f t="shared" si="2311"/>
        <v>0.20696864111498259</v>
      </c>
      <c r="AS386" s="2">
        <f t="shared" ref="AS386:AT386" si="3366">R386/AA386</f>
        <v>0.25848563968668409</v>
      </c>
      <c r="AT386" s="2">
        <f t="shared" si="3366"/>
        <v>0.21362229102167182</v>
      </c>
      <c r="AU386" s="2">
        <f t="shared" si="2475"/>
        <v>2.7118644067796609E-2</v>
      </c>
      <c r="AV386" s="2">
        <f t="shared" si="3278"/>
        <v>3.7688442211055273E-2</v>
      </c>
      <c r="AW386" s="2">
        <f t="shared" si="3109"/>
        <v>3.1847133757961783E-2</v>
      </c>
    </row>
    <row r="387" spans="1:49" ht="13" x14ac:dyDescent="0.15">
      <c r="A387" s="1">
        <v>2022</v>
      </c>
      <c r="B387" s="1" t="s">
        <v>66</v>
      </c>
      <c r="C387" s="1" t="s">
        <v>67</v>
      </c>
      <c r="D387" s="1" t="s">
        <v>190</v>
      </c>
      <c r="E387" s="1">
        <v>12</v>
      </c>
      <c r="F387" s="1">
        <v>1</v>
      </c>
      <c r="G387" s="1">
        <v>13</v>
      </c>
      <c r="H387" s="1">
        <v>669</v>
      </c>
      <c r="I387" s="1">
        <v>348</v>
      </c>
      <c r="J387" s="1">
        <v>1017</v>
      </c>
      <c r="K387" s="1">
        <v>379</v>
      </c>
      <c r="L387" s="1">
        <v>335</v>
      </c>
      <c r="M387" s="1">
        <v>714</v>
      </c>
      <c r="N387" s="1">
        <v>178</v>
      </c>
      <c r="O387" s="1">
        <v>161</v>
      </c>
      <c r="P387" s="1">
        <v>339</v>
      </c>
      <c r="Q387" s="1">
        <v>106</v>
      </c>
      <c r="R387" s="1">
        <v>132</v>
      </c>
      <c r="S387" s="1">
        <v>238</v>
      </c>
      <c r="T387" s="1">
        <v>6</v>
      </c>
      <c r="U387" s="1">
        <v>2</v>
      </c>
      <c r="V387" s="1">
        <v>8</v>
      </c>
      <c r="W387" s="1">
        <f t="shared" ref="W387:X387" si="3367">SUM(E387,H387,K387,N387,Q387,T387)</f>
        <v>1350</v>
      </c>
      <c r="X387" s="1">
        <f t="shared" si="3367"/>
        <v>979</v>
      </c>
      <c r="Y387" s="1">
        <f t="shared" si="2301"/>
        <v>2329</v>
      </c>
      <c r="Z387" s="1">
        <f t="shared" ref="Z387:AA387" si="3368">W387-T387</f>
        <v>1344</v>
      </c>
      <c r="AA387" s="1">
        <f t="shared" si="3368"/>
        <v>977</v>
      </c>
      <c r="AB387" s="1">
        <f t="shared" si="2303"/>
        <v>2321</v>
      </c>
      <c r="AC387" s="1">
        <f t="shared" ref="AC387:AD387" si="3369">SUM(E387,H387,K387,N387)</f>
        <v>1238</v>
      </c>
      <c r="AD387" s="1">
        <f t="shared" si="3369"/>
        <v>845</v>
      </c>
      <c r="AE387" s="1">
        <f t="shared" si="2305"/>
        <v>2083</v>
      </c>
      <c r="AF387" s="2">
        <f t="shared" ref="AF387:AH387" si="3370">AC387/Z387</f>
        <v>0.92113095238095233</v>
      </c>
      <c r="AG387" s="2">
        <f t="shared" si="3370"/>
        <v>0.86489252814738993</v>
      </c>
      <c r="AH387" s="2">
        <f t="shared" si="3370"/>
        <v>0.89745799224472211</v>
      </c>
      <c r="AI387" s="1">
        <f t="shared" ref="AI387:AJ387" si="3371">SUM(E387,H387,K387)</f>
        <v>1060</v>
      </c>
      <c r="AJ387" s="1">
        <f t="shared" si="3371"/>
        <v>684</v>
      </c>
      <c r="AK387" s="1">
        <f t="shared" si="2308"/>
        <v>1744</v>
      </c>
      <c r="AL387" s="2">
        <f t="shared" ref="AL387:AN387" si="3372">AI387/Z387</f>
        <v>0.78869047619047616</v>
      </c>
      <c r="AM387" s="2">
        <f t="shared" si="3372"/>
        <v>0.70010235414534283</v>
      </c>
      <c r="AN387" s="2">
        <f t="shared" si="3372"/>
        <v>0.75140025850926329</v>
      </c>
      <c r="AO387" s="2">
        <f t="shared" ref="AO387:AQ387" si="3373">E387/Z387</f>
        <v>8.9285714285714281E-3</v>
      </c>
      <c r="AP387" s="2">
        <f t="shared" si="3373"/>
        <v>1.0235414534288639E-3</v>
      </c>
      <c r="AQ387" s="2">
        <f t="shared" si="3373"/>
        <v>5.6010340370529947E-3</v>
      </c>
      <c r="AR387" s="2">
        <f t="shared" si="2311"/>
        <v>9.8214285714285712E-2</v>
      </c>
      <c r="AS387" s="2">
        <f t="shared" ref="AS387:AT387" si="3374">R387/AA387</f>
        <v>0.13510747185261002</v>
      </c>
      <c r="AT387" s="2">
        <f t="shared" si="3374"/>
        <v>0.1025420077552779</v>
      </c>
      <c r="AU387" s="2">
        <f t="shared" si="2475"/>
        <v>4.4444444444444444E-3</v>
      </c>
      <c r="AV387" s="2">
        <f t="shared" si="3278"/>
        <v>2.0429009193054137E-3</v>
      </c>
      <c r="AW387" s="2">
        <f t="shared" si="3109"/>
        <v>3.4349506225848005E-3</v>
      </c>
    </row>
    <row r="388" spans="1:49" ht="13" x14ac:dyDescent="0.15">
      <c r="A388" s="1">
        <v>2022</v>
      </c>
      <c r="B388" s="1" t="s">
        <v>49</v>
      </c>
      <c r="C388" s="1" t="s">
        <v>78</v>
      </c>
      <c r="D388" s="1" t="s">
        <v>191</v>
      </c>
      <c r="E388" s="1">
        <v>94</v>
      </c>
      <c r="F388" s="1">
        <v>52</v>
      </c>
      <c r="G388" s="1">
        <v>146</v>
      </c>
      <c r="H388" s="1">
        <v>814</v>
      </c>
      <c r="I388" s="1">
        <v>589</v>
      </c>
      <c r="J388" s="1">
        <v>1403</v>
      </c>
      <c r="K388" s="1">
        <v>374</v>
      </c>
      <c r="L388" s="1">
        <v>366</v>
      </c>
      <c r="M388" s="1">
        <v>740</v>
      </c>
      <c r="N388" s="1">
        <v>273</v>
      </c>
      <c r="O388" s="1">
        <v>274</v>
      </c>
      <c r="P388" s="1">
        <v>547</v>
      </c>
      <c r="Q388" s="1">
        <v>258</v>
      </c>
      <c r="R388" s="1">
        <v>289</v>
      </c>
      <c r="S388" s="1">
        <v>547</v>
      </c>
      <c r="T388" s="1">
        <v>34</v>
      </c>
      <c r="U388" s="1">
        <v>41</v>
      </c>
      <c r="V388" s="1">
        <v>75</v>
      </c>
      <c r="W388" s="1">
        <f t="shared" ref="W388:X388" si="3375">SUM(E388,H388,K388,N388,Q388,T388)</f>
        <v>1847</v>
      </c>
      <c r="X388" s="1">
        <f t="shared" si="3375"/>
        <v>1611</v>
      </c>
      <c r="Y388" s="1">
        <f t="shared" si="2301"/>
        <v>3458</v>
      </c>
      <c r="Z388" s="1">
        <f t="shared" ref="Z388:AA388" si="3376">W388-T388</f>
        <v>1813</v>
      </c>
      <c r="AA388" s="1">
        <f t="shared" si="3376"/>
        <v>1570</v>
      </c>
      <c r="AB388" s="1">
        <f t="shared" si="2303"/>
        <v>3383</v>
      </c>
      <c r="AC388" s="1">
        <f t="shared" ref="AC388:AD388" si="3377">SUM(E388,H388,K388,N388)</f>
        <v>1555</v>
      </c>
      <c r="AD388" s="1">
        <f t="shared" si="3377"/>
        <v>1281</v>
      </c>
      <c r="AE388" s="1">
        <f t="shared" si="2305"/>
        <v>2836</v>
      </c>
      <c r="AF388" s="2">
        <f t="shared" ref="AF388:AH388" si="3378">AC388/Z388</f>
        <v>0.85769442912300053</v>
      </c>
      <c r="AG388" s="2">
        <f t="shared" si="3378"/>
        <v>0.81592356687898093</v>
      </c>
      <c r="AH388" s="2">
        <f t="shared" si="3378"/>
        <v>0.83830919302394324</v>
      </c>
      <c r="AI388" s="1">
        <f t="shared" ref="AI388:AJ388" si="3379">SUM(E388,H388,K388)</f>
        <v>1282</v>
      </c>
      <c r="AJ388" s="1">
        <f t="shared" si="3379"/>
        <v>1007</v>
      </c>
      <c r="AK388" s="1">
        <f t="shared" si="2308"/>
        <v>2289</v>
      </c>
      <c r="AL388" s="2">
        <f t="shared" ref="AL388:AN388" si="3380">AI388/Z388</f>
        <v>0.70711527854384992</v>
      </c>
      <c r="AM388" s="2">
        <f t="shared" si="3380"/>
        <v>0.64140127388535029</v>
      </c>
      <c r="AN388" s="2">
        <f t="shared" si="3380"/>
        <v>0.67661838604788649</v>
      </c>
      <c r="AO388" s="2">
        <f t="shared" ref="AO388:AQ388" si="3381">E388/Z388</f>
        <v>5.1847766133480418E-2</v>
      </c>
      <c r="AP388" s="2">
        <f t="shared" si="3381"/>
        <v>3.3121019108280254E-2</v>
      </c>
      <c r="AQ388" s="2">
        <f t="shared" si="3381"/>
        <v>4.3156961276973098E-2</v>
      </c>
      <c r="AR388" s="2">
        <f t="shared" si="2311"/>
        <v>0.15940430226144511</v>
      </c>
      <c r="AS388" s="2">
        <f t="shared" ref="AS388:AT388" si="3382">R388/AA388</f>
        <v>0.1840764331210191</v>
      </c>
      <c r="AT388" s="2">
        <f t="shared" si="3382"/>
        <v>0.16169080697605676</v>
      </c>
      <c r="AU388" s="2">
        <f t="shared" si="2475"/>
        <v>1.8408229561451002E-2</v>
      </c>
      <c r="AV388" s="2">
        <f t="shared" si="3278"/>
        <v>2.5450031036623216E-2</v>
      </c>
      <c r="AW388" s="2">
        <f t="shared" si="3109"/>
        <v>2.1688837478311164E-2</v>
      </c>
    </row>
    <row r="389" spans="1:49" ht="13" x14ac:dyDescent="0.15">
      <c r="A389" s="1">
        <v>2022</v>
      </c>
      <c r="B389" s="1" t="s">
        <v>49</v>
      </c>
      <c r="C389" s="1" t="s">
        <v>80</v>
      </c>
      <c r="D389" s="1" t="s">
        <v>192</v>
      </c>
      <c r="E389" s="1">
        <v>38</v>
      </c>
      <c r="F389" s="1">
        <v>9</v>
      </c>
      <c r="G389" s="1">
        <v>47</v>
      </c>
      <c r="H389" s="1">
        <v>406</v>
      </c>
      <c r="I389" s="1">
        <v>258</v>
      </c>
      <c r="J389" s="1">
        <v>664</v>
      </c>
      <c r="K389" s="1">
        <v>221</v>
      </c>
      <c r="L389" s="1">
        <v>171</v>
      </c>
      <c r="M389" s="1">
        <v>392</v>
      </c>
      <c r="N389" s="1">
        <v>155</v>
      </c>
      <c r="O389" s="1">
        <v>142</v>
      </c>
      <c r="P389" s="1">
        <v>297</v>
      </c>
      <c r="Q389" s="1">
        <v>261</v>
      </c>
      <c r="R389" s="1">
        <v>267</v>
      </c>
      <c r="S389" s="1">
        <v>528</v>
      </c>
      <c r="T389" s="1">
        <v>31</v>
      </c>
      <c r="U389" s="1">
        <v>28</v>
      </c>
      <c r="V389" s="1">
        <v>59</v>
      </c>
      <c r="W389" s="1">
        <f t="shared" ref="W389:X389" si="3383">SUM(E389,H389,K389,N389,Q389,T389)</f>
        <v>1112</v>
      </c>
      <c r="X389" s="1">
        <f t="shared" si="3383"/>
        <v>875</v>
      </c>
      <c r="Y389" s="1">
        <f t="shared" si="2301"/>
        <v>1987</v>
      </c>
      <c r="Z389" s="1">
        <f t="shared" ref="Z389:AA389" si="3384">W389-T389</f>
        <v>1081</v>
      </c>
      <c r="AA389" s="1">
        <f t="shared" si="3384"/>
        <v>847</v>
      </c>
      <c r="AB389" s="1">
        <f t="shared" si="2303"/>
        <v>1928</v>
      </c>
      <c r="AC389" s="1">
        <f t="shared" ref="AC389:AD389" si="3385">SUM(E389,H389,K389,N389)</f>
        <v>820</v>
      </c>
      <c r="AD389" s="1">
        <f t="shared" si="3385"/>
        <v>580</v>
      </c>
      <c r="AE389" s="1">
        <f t="shared" si="2305"/>
        <v>1400</v>
      </c>
      <c r="AF389" s="2">
        <f t="shared" ref="AF389:AH389" si="3386">AC389/Z389</f>
        <v>0.75855689176688257</v>
      </c>
      <c r="AG389" s="2">
        <f t="shared" si="3386"/>
        <v>0.68476977567886654</v>
      </c>
      <c r="AH389" s="2">
        <f t="shared" si="3386"/>
        <v>0.72614107883817425</v>
      </c>
      <c r="AI389" s="1">
        <f t="shared" ref="AI389:AJ389" si="3387">SUM(E389,H389,K389)</f>
        <v>665</v>
      </c>
      <c r="AJ389" s="1">
        <f t="shared" si="3387"/>
        <v>438</v>
      </c>
      <c r="AK389" s="1">
        <f t="shared" si="2308"/>
        <v>1103</v>
      </c>
      <c r="AL389" s="2">
        <f t="shared" ref="AL389:AN389" si="3388">AI389/Z389</f>
        <v>0.61517113783533761</v>
      </c>
      <c r="AM389" s="2">
        <f t="shared" si="3388"/>
        <v>0.51711924439197166</v>
      </c>
      <c r="AN389" s="2">
        <f t="shared" si="3388"/>
        <v>0.57209543568464727</v>
      </c>
      <c r="AO389" s="2">
        <f t="shared" ref="AO389:AQ389" si="3389">E389/Z389</f>
        <v>3.515263644773358E-2</v>
      </c>
      <c r="AP389" s="2">
        <f t="shared" si="3389"/>
        <v>1.0625737898465172E-2</v>
      </c>
      <c r="AQ389" s="2">
        <f t="shared" si="3389"/>
        <v>2.4377593360995851E-2</v>
      </c>
      <c r="AR389" s="2">
        <f t="shared" si="2311"/>
        <v>0.24699352451433856</v>
      </c>
      <c r="AS389" s="2">
        <f t="shared" ref="AS389:AT389" si="3390">R389/AA389</f>
        <v>0.3152302243211334</v>
      </c>
      <c r="AT389" s="2">
        <f t="shared" si="3390"/>
        <v>0.27385892116182575</v>
      </c>
      <c r="AU389" s="2">
        <f t="shared" si="2475"/>
        <v>2.7877697841726619E-2</v>
      </c>
      <c r="AV389" s="2">
        <f t="shared" si="3278"/>
        <v>3.2000000000000001E-2</v>
      </c>
      <c r="AW389" s="2">
        <f t="shared" si="3109"/>
        <v>2.9693004529441368E-2</v>
      </c>
    </row>
    <row r="390" spans="1:49" ht="13" x14ac:dyDescent="0.15">
      <c r="A390" s="1">
        <v>2022</v>
      </c>
      <c r="B390" s="1" t="s">
        <v>49</v>
      </c>
      <c r="C390" s="1" t="s">
        <v>80</v>
      </c>
      <c r="D390" s="1" t="s">
        <v>193</v>
      </c>
      <c r="E390" s="1">
        <v>121</v>
      </c>
      <c r="F390" s="1">
        <v>69</v>
      </c>
      <c r="G390" s="1">
        <v>190</v>
      </c>
      <c r="H390" s="1">
        <v>1161</v>
      </c>
      <c r="I390" s="1">
        <v>702</v>
      </c>
      <c r="J390" s="1">
        <v>1863</v>
      </c>
      <c r="K390" s="1">
        <v>829</v>
      </c>
      <c r="L390" s="1">
        <v>716</v>
      </c>
      <c r="M390" s="1">
        <v>1545</v>
      </c>
      <c r="N390" s="1">
        <v>620</v>
      </c>
      <c r="O390" s="1">
        <v>532</v>
      </c>
      <c r="P390" s="1">
        <v>1152</v>
      </c>
      <c r="Q390" s="1">
        <v>1096</v>
      </c>
      <c r="R390" s="1">
        <v>995</v>
      </c>
      <c r="S390" s="1">
        <v>2091</v>
      </c>
      <c r="T390" s="1">
        <v>77</v>
      </c>
      <c r="U390" s="1">
        <v>96</v>
      </c>
      <c r="V390" s="1">
        <v>173</v>
      </c>
      <c r="W390" s="1">
        <f t="shared" ref="W390:X390" si="3391">SUM(E390,H390,K390,N390,Q390,T390)</f>
        <v>3904</v>
      </c>
      <c r="X390" s="1">
        <f t="shared" si="3391"/>
        <v>3110</v>
      </c>
      <c r="Y390" s="1">
        <f t="shared" si="2301"/>
        <v>7014</v>
      </c>
      <c r="Z390" s="1">
        <f t="shared" ref="Z390:AA390" si="3392">W390-T390</f>
        <v>3827</v>
      </c>
      <c r="AA390" s="1">
        <f t="shared" si="3392"/>
        <v>3014</v>
      </c>
      <c r="AB390" s="1">
        <f t="shared" si="2303"/>
        <v>6841</v>
      </c>
      <c r="AC390" s="1">
        <f t="shared" ref="AC390:AD390" si="3393">SUM(E390,H390,K390,N390)</f>
        <v>2731</v>
      </c>
      <c r="AD390" s="1">
        <f t="shared" si="3393"/>
        <v>2019</v>
      </c>
      <c r="AE390" s="1">
        <f t="shared" si="2305"/>
        <v>4750</v>
      </c>
      <c r="AF390" s="2">
        <f t="shared" ref="AF390:AH390" si="3394">AC390/Z390</f>
        <v>0.71361379670760383</v>
      </c>
      <c r="AG390" s="2">
        <f t="shared" si="3394"/>
        <v>0.66987392169873927</v>
      </c>
      <c r="AH390" s="2">
        <f t="shared" si="3394"/>
        <v>0.69434293231983624</v>
      </c>
      <c r="AI390" s="1">
        <f t="shared" ref="AI390:AJ390" si="3395">SUM(E390,H390,K390)</f>
        <v>2111</v>
      </c>
      <c r="AJ390" s="1">
        <f t="shared" si="3395"/>
        <v>1487</v>
      </c>
      <c r="AK390" s="1">
        <f t="shared" si="2308"/>
        <v>3598</v>
      </c>
      <c r="AL390" s="2">
        <f t="shared" ref="AL390:AN390" si="3396">AI390/Z390</f>
        <v>0.55160700287431408</v>
      </c>
      <c r="AM390" s="2">
        <f t="shared" si="3396"/>
        <v>0.493364299933643</v>
      </c>
      <c r="AN390" s="2">
        <f t="shared" si="3396"/>
        <v>0.52594649904984647</v>
      </c>
      <c r="AO390" s="2">
        <f t="shared" ref="AO390:AQ390" si="3397">E390/Z390</f>
        <v>3.1617454925529136E-2</v>
      </c>
      <c r="AP390" s="2">
        <f t="shared" si="3397"/>
        <v>2.2893165228931651E-2</v>
      </c>
      <c r="AQ390" s="2">
        <f t="shared" si="3397"/>
        <v>2.7773717292793453E-2</v>
      </c>
      <c r="AR390" s="2">
        <f t="shared" si="2311"/>
        <v>0.25999477397439247</v>
      </c>
      <c r="AS390" s="2">
        <f t="shared" ref="AS390:AT390" si="3398">R390/AA390</f>
        <v>0.33012607830126078</v>
      </c>
      <c r="AT390" s="2">
        <f t="shared" si="3398"/>
        <v>0.30565706768016371</v>
      </c>
      <c r="AU390" s="2">
        <f t="shared" si="2475"/>
        <v>1.9723360655737706E-2</v>
      </c>
      <c r="AV390" s="2">
        <f t="shared" si="3278"/>
        <v>3.0868167202572346E-2</v>
      </c>
      <c r="AW390" s="2">
        <f t="shared" si="3109"/>
        <v>2.4664955802680355E-2</v>
      </c>
    </row>
    <row r="391" spans="1:49" ht="13" x14ac:dyDescent="0.15">
      <c r="A391" s="1">
        <v>2022</v>
      </c>
      <c r="B391" s="1" t="s">
        <v>49</v>
      </c>
      <c r="C391" s="1" t="s">
        <v>78</v>
      </c>
      <c r="D391" s="1" t="s">
        <v>194</v>
      </c>
      <c r="E391" s="1">
        <v>64</v>
      </c>
      <c r="F391" s="1">
        <v>30</v>
      </c>
      <c r="G391" s="1">
        <v>94</v>
      </c>
      <c r="H391" s="1">
        <v>816</v>
      </c>
      <c r="I391" s="1">
        <v>461</v>
      </c>
      <c r="J391" s="1">
        <v>1277</v>
      </c>
      <c r="K391" s="1">
        <v>590</v>
      </c>
      <c r="L391" s="1">
        <v>429</v>
      </c>
      <c r="M391" s="1">
        <v>1019</v>
      </c>
      <c r="N391" s="1">
        <v>420</v>
      </c>
      <c r="O391" s="1">
        <v>327</v>
      </c>
      <c r="P391" s="1">
        <v>747</v>
      </c>
      <c r="Q391" s="1">
        <v>601</v>
      </c>
      <c r="R391" s="1">
        <v>636</v>
      </c>
      <c r="S391" s="1">
        <v>1237</v>
      </c>
      <c r="T391" s="1">
        <v>58</v>
      </c>
      <c r="U391" s="1">
        <v>49</v>
      </c>
      <c r="V391" s="1">
        <v>107</v>
      </c>
      <c r="W391" s="1">
        <f t="shared" ref="W391:X391" si="3399">SUM(E391,H391,K391,N391,Q391,T391)</f>
        <v>2549</v>
      </c>
      <c r="X391" s="1">
        <f t="shared" si="3399"/>
        <v>1932</v>
      </c>
      <c r="Y391" s="1">
        <f t="shared" si="2301"/>
        <v>4481</v>
      </c>
      <c r="Z391" s="1">
        <f t="shared" ref="Z391:AA391" si="3400">W391-T391</f>
        <v>2491</v>
      </c>
      <c r="AA391" s="1">
        <f t="shared" si="3400"/>
        <v>1883</v>
      </c>
      <c r="AB391" s="1">
        <f t="shared" si="2303"/>
        <v>4374</v>
      </c>
      <c r="AC391" s="1">
        <f t="shared" ref="AC391:AD391" si="3401">SUM(E391,H391,K391,N391)</f>
        <v>1890</v>
      </c>
      <c r="AD391" s="1">
        <f t="shared" si="3401"/>
        <v>1247</v>
      </c>
      <c r="AE391" s="1">
        <f t="shared" si="2305"/>
        <v>3137</v>
      </c>
      <c r="AF391" s="2">
        <f t="shared" ref="AF391:AH391" si="3402">AC391/Z391</f>
        <v>0.75873143315937375</v>
      </c>
      <c r="AG391" s="2">
        <f t="shared" si="3402"/>
        <v>0.66224110462028674</v>
      </c>
      <c r="AH391" s="2">
        <f t="shared" si="3402"/>
        <v>0.71719250114311839</v>
      </c>
      <c r="AI391" s="1">
        <f t="shared" ref="AI391:AJ391" si="3403">SUM(E391,H391,K391)</f>
        <v>1470</v>
      </c>
      <c r="AJ391" s="1">
        <f t="shared" si="3403"/>
        <v>920</v>
      </c>
      <c r="AK391" s="1">
        <f t="shared" si="2308"/>
        <v>2390</v>
      </c>
      <c r="AL391" s="2">
        <f t="shared" ref="AL391:AN391" si="3404">AI391/Z391</f>
        <v>0.59012444801284625</v>
      </c>
      <c r="AM391" s="2">
        <f t="shared" si="3404"/>
        <v>0.48858204992033988</v>
      </c>
      <c r="AN391" s="2">
        <f t="shared" si="3404"/>
        <v>0.54641060813900322</v>
      </c>
      <c r="AO391" s="2">
        <f t="shared" ref="AO391:AQ391" si="3405">E391/Z391</f>
        <v>2.5692492974708953E-2</v>
      </c>
      <c r="AP391" s="2">
        <f t="shared" si="3405"/>
        <v>1.5932023366967606E-2</v>
      </c>
      <c r="AQ391" s="2">
        <f t="shared" si="3405"/>
        <v>2.1490626428898034E-2</v>
      </c>
      <c r="AR391" s="2">
        <f t="shared" si="2311"/>
        <v>0.25531914893617019</v>
      </c>
      <c r="AS391" s="2">
        <f t="shared" ref="AS391:AT391" si="3406">R391/AA391</f>
        <v>0.33775889537971321</v>
      </c>
      <c r="AT391" s="2">
        <f t="shared" si="3406"/>
        <v>0.28280749885688156</v>
      </c>
      <c r="AU391" s="2">
        <f t="shared" si="2475"/>
        <v>2.2754021184778345E-2</v>
      </c>
      <c r="AV391" s="2">
        <f t="shared" si="3278"/>
        <v>2.5362318840579712E-2</v>
      </c>
      <c r="AW391" s="2">
        <f t="shared" si="3109"/>
        <v>2.3878598527114485E-2</v>
      </c>
    </row>
    <row r="392" spans="1:49" ht="13" x14ac:dyDescent="0.15">
      <c r="A392" s="1">
        <v>2022</v>
      </c>
      <c r="B392" s="1" t="s">
        <v>49</v>
      </c>
      <c r="C392" s="1" t="s">
        <v>67</v>
      </c>
      <c r="D392" s="1" t="s">
        <v>195</v>
      </c>
      <c r="E392" s="1">
        <v>58</v>
      </c>
      <c r="F392" s="1">
        <v>17</v>
      </c>
      <c r="G392" s="1">
        <v>75</v>
      </c>
      <c r="H392" s="1">
        <v>631</v>
      </c>
      <c r="I392" s="1">
        <v>285</v>
      </c>
      <c r="J392" s="1">
        <v>916</v>
      </c>
      <c r="K392" s="1">
        <v>350</v>
      </c>
      <c r="L392" s="1">
        <v>263</v>
      </c>
      <c r="M392" s="1">
        <v>613</v>
      </c>
      <c r="N392" s="1">
        <v>236</v>
      </c>
      <c r="O392" s="1">
        <v>139</v>
      </c>
      <c r="P392" s="1">
        <v>375</v>
      </c>
      <c r="Q392" s="1">
        <v>171</v>
      </c>
      <c r="R392" s="1">
        <v>126</v>
      </c>
      <c r="S392" s="1">
        <v>297</v>
      </c>
      <c r="T392" s="1">
        <v>47</v>
      </c>
      <c r="U392" s="1">
        <v>38</v>
      </c>
      <c r="V392" s="1">
        <v>85</v>
      </c>
      <c r="W392" s="1">
        <f t="shared" ref="W392:X392" si="3407">SUM(E392,H392,K392,N392,Q392,T392)</f>
        <v>1493</v>
      </c>
      <c r="X392" s="1">
        <f t="shared" si="3407"/>
        <v>868</v>
      </c>
      <c r="Y392" s="1">
        <f t="shared" si="2301"/>
        <v>2361</v>
      </c>
      <c r="Z392" s="1">
        <f t="shared" ref="Z392:AA392" si="3408">W392-T392</f>
        <v>1446</v>
      </c>
      <c r="AA392" s="1">
        <f t="shared" si="3408"/>
        <v>830</v>
      </c>
      <c r="AB392" s="1">
        <f t="shared" si="2303"/>
        <v>2276</v>
      </c>
      <c r="AC392" s="1">
        <f t="shared" ref="AC392:AD392" si="3409">SUM(E392,H392,K392,N392)</f>
        <v>1275</v>
      </c>
      <c r="AD392" s="1">
        <f t="shared" si="3409"/>
        <v>704</v>
      </c>
      <c r="AE392" s="1">
        <f t="shared" si="2305"/>
        <v>1979</v>
      </c>
      <c r="AF392" s="2">
        <f t="shared" ref="AF392:AH392" si="3410">AC392/Z392</f>
        <v>0.88174273858921159</v>
      </c>
      <c r="AG392" s="2">
        <f t="shared" si="3410"/>
        <v>0.84819277108433733</v>
      </c>
      <c r="AH392" s="2">
        <f t="shared" si="3410"/>
        <v>0.86950790861159932</v>
      </c>
      <c r="AI392" s="1">
        <f t="shared" ref="AI392:AJ392" si="3411">SUM(E392,H392,K392)</f>
        <v>1039</v>
      </c>
      <c r="AJ392" s="1">
        <f t="shared" si="3411"/>
        <v>565</v>
      </c>
      <c r="AK392" s="1">
        <f t="shared" si="2308"/>
        <v>1604</v>
      </c>
      <c r="AL392" s="2">
        <f t="shared" ref="AL392:AN392" si="3412">AI392/Z392</f>
        <v>0.71853388658367912</v>
      </c>
      <c r="AM392" s="2">
        <f t="shared" si="3412"/>
        <v>0.68072289156626509</v>
      </c>
      <c r="AN392" s="2">
        <f t="shared" si="3412"/>
        <v>0.70474516695957823</v>
      </c>
      <c r="AO392" s="2">
        <f t="shared" ref="AO392:AQ392" si="3413">E392/Z392</f>
        <v>4.0110650069156296E-2</v>
      </c>
      <c r="AP392" s="2">
        <f t="shared" si="3413"/>
        <v>2.0481927710843374E-2</v>
      </c>
      <c r="AQ392" s="2">
        <f t="shared" si="3413"/>
        <v>3.2952548330404216E-2</v>
      </c>
      <c r="AR392" s="2">
        <f t="shared" si="2311"/>
        <v>8.7136929460580909E-2</v>
      </c>
      <c r="AS392" s="2">
        <f t="shared" ref="AS392:AT392" si="3414">R392/AA392</f>
        <v>0.15180722891566265</v>
      </c>
      <c r="AT392" s="2">
        <f t="shared" si="3414"/>
        <v>0.1304920913884007</v>
      </c>
      <c r="AU392" s="2">
        <f t="shared" si="2475"/>
        <v>3.148024112525117E-2</v>
      </c>
      <c r="AV392" s="2">
        <f t="shared" si="3278"/>
        <v>4.377880184331797E-2</v>
      </c>
      <c r="AW392" s="2">
        <f t="shared" si="3109"/>
        <v>3.6001694197373993E-2</v>
      </c>
    </row>
    <row r="393" spans="1:49" ht="13" x14ac:dyDescent="0.15">
      <c r="A393" s="1">
        <v>2022</v>
      </c>
      <c r="B393" s="1" t="s">
        <v>49</v>
      </c>
      <c r="C393" s="1" t="s">
        <v>70</v>
      </c>
      <c r="D393" s="1" t="s">
        <v>196</v>
      </c>
      <c r="E393" s="1">
        <v>85</v>
      </c>
      <c r="F393" s="1">
        <v>44</v>
      </c>
      <c r="G393" s="1">
        <v>129</v>
      </c>
      <c r="H393" s="1">
        <v>1064</v>
      </c>
      <c r="I393" s="1">
        <v>828</v>
      </c>
      <c r="J393" s="1">
        <v>1892</v>
      </c>
      <c r="K393" s="1">
        <v>941</v>
      </c>
      <c r="L393" s="1">
        <v>877</v>
      </c>
      <c r="M393" s="1">
        <v>1818</v>
      </c>
      <c r="N393" s="1">
        <v>618</v>
      </c>
      <c r="O393" s="1">
        <v>632</v>
      </c>
      <c r="P393" s="1">
        <v>1250</v>
      </c>
      <c r="Q393" s="1">
        <v>978</v>
      </c>
      <c r="R393" s="1">
        <v>1107</v>
      </c>
      <c r="S393" s="1">
        <v>2085</v>
      </c>
      <c r="T393" s="1">
        <v>107</v>
      </c>
      <c r="U393" s="1">
        <v>104</v>
      </c>
      <c r="V393" s="1">
        <v>211</v>
      </c>
      <c r="W393" s="1">
        <f t="shared" ref="W393:X393" si="3415">SUM(E393,H393,K393,N393,Q393,T393)</f>
        <v>3793</v>
      </c>
      <c r="X393" s="1">
        <f t="shared" si="3415"/>
        <v>3592</v>
      </c>
      <c r="Y393" s="1">
        <f t="shared" si="2301"/>
        <v>7385</v>
      </c>
      <c r="Z393" s="1">
        <f t="shared" ref="Z393:AA393" si="3416">W393-T393</f>
        <v>3686</v>
      </c>
      <c r="AA393" s="1">
        <f t="shared" si="3416"/>
        <v>3488</v>
      </c>
      <c r="AB393" s="1">
        <f t="shared" si="2303"/>
        <v>7174</v>
      </c>
      <c r="AC393" s="1">
        <f t="shared" ref="AC393:AD393" si="3417">SUM(E393,H393,K393,N393)</f>
        <v>2708</v>
      </c>
      <c r="AD393" s="1">
        <f t="shared" si="3417"/>
        <v>2381</v>
      </c>
      <c r="AE393" s="1">
        <f t="shared" si="2305"/>
        <v>5089</v>
      </c>
      <c r="AF393" s="2">
        <f t="shared" ref="AF393:AH393" si="3418">AC393/Z393</f>
        <v>0.73467173087357573</v>
      </c>
      <c r="AG393" s="2">
        <f t="shared" si="3418"/>
        <v>0.68262614678899081</v>
      </c>
      <c r="AH393" s="2">
        <f t="shared" si="3418"/>
        <v>0.70936715918594928</v>
      </c>
      <c r="AI393" s="1">
        <f t="shared" ref="AI393:AJ393" si="3419">SUM(E393,H393,K393)</f>
        <v>2090</v>
      </c>
      <c r="AJ393" s="1">
        <f t="shared" si="3419"/>
        <v>1749</v>
      </c>
      <c r="AK393" s="1">
        <f t="shared" si="2308"/>
        <v>3839</v>
      </c>
      <c r="AL393" s="2">
        <f t="shared" ref="AL393:AN393" si="3420">AI393/Z393</f>
        <v>0.5670103092783505</v>
      </c>
      <c r="AM393" s="2">
        <f t="shared" si="3420"/>
        <v>0.50143348623853212</v>
      </c>
      <c r="AN393" s="2">
        <f t="shared" si="3420"/>
        <v>0.53512684694730972</v>
      </c>
      <c r="AO393" s="2">
        <f t="shared" ref="AO393:AQ393" si="3421">E393/Z393</f>
        <v>2.3060227889310905E-2</v>
      </c>
      <c r="AP393" s="2">
        <f t="shared" si="3421"/>
        <v>1.261467889908257E-2</v>
      </c>
      <c r="AQ393" s="2">
        <f t="shared" si="3421"/>
        <v>1.79816002230276E-2</v>
      </c>
      <c r="AR393" s="2">
        <f t="shared" si="2311"/>
        <v>0.30032555615843731</v>
      </c>
      <c r="AS393" s="2">
        <f t="shared" ref="AS393:AT393" si="3422">R393/AA393</f>
        <v>0.31737385321100919</v>
      </c>
      <c r="AT393" s="2">
        <f t="shared" si="3422"/>
        <v>0.29063284081405072</v>
      </c>
      <c r="AU393" s="2">
        <f t="shared" si="2475"/>
        <v>2.8209860268916424E-2</v>
      </c>
      <c r="AV393" s="2">
        <f t="shared" si="3278"/>
        <v>2.8953229398663696E-2</v>
      </c>
      <c r="AW393" s="2">
        <f t="shared" si="3109"/>
        <v>2.8571428571428571E-2</v>
      </c>
    </row>
    <row r="394" spans="1:49" ht="13" x14ac:dyDescent="0.15">
      <c r="A394" s="1">
        <v>2022</v>
      </c>
      <c r="B394" s="1" t="s">
        <v>49</v>
      </c>
      <c r="C394" s="1" t="s">
        <v>50</v>
      </c>
      <c r="D394" s="1" t="s">
        <v>51</v>
      </c>
      <c r="E394" s="1">
        <v>392</v>
      </c>
      <c r="F394" s="1">
        <v>327</v>
      </c>
      <c r="G394" s="1">
        <v>719</v>
      </c>
      <c r="H394" s="1">
        <v>1034</v>
      </c>
      <c r="I394" s="1">
        <v>1459</v>
      </c>
      <c r="J394" s="1">
        <v>2493</v>
      </c>
      <c r="K394" s="1">
        <v>288</v>
      </c>
      <c r="L394" s="1">
        <v>439</v>
      </c>
      <c r="M394" s="1">
        <v>727</v>
      </c>
      <c r="N394" s="1">
        <v>165</v>
      </c>
      <c r="O394" s="1">
        <v>226</v>
      </c>
      <c r="P394" s="1">
        <v>391</v>
      </c>
      <c r="Q394" s="1">
        <v>101</v>
      </c>
      <c r="R394" s="1">
        <v>160</v>
      </c>
      <c r="S394" s="1">
        <v>261</v>
      </c>
      <c r="T394" s="1">
        <v>83</v>
      </c>
      <c r="U394" s="1">
        <v>142</v>
      </c>
      <c r="V394" s="1">
        <v>225</v>
      </c>
      <c r="W394" s="1">
        <f t="shared" ref="W394:X394" si="3423">SUM(E394,H394,K394,N394,Q394,T394)</f>
        <v>2063</v>
      </c>
      <c r="X394" s="1">
        <f t="shared" si="3423"/>
        <v>2753</v>
      </c>
      <c r="Y394" s="1">
        <f t="shared" si="2301"/>
        <v>4816</v>
      </c>
      <c r="Z394" s="1">
        <f t="shared" ref="Z394:AA394" si="3424">W394-T394</f>
        <v>1980</v>
      </c>
      <c r="AA394" s="1">
        <f t="shared" si="3424"/>
        <v>2611</v>
      </c>
      <c r="AB394" s="1">
        <f t="shared" si="2303"/>
        <v>4591</v>
      </c>
      <c r="AC394" s="1">
        <f t="shared" ref="AC394:AD394" si="3425">SUM(E394,H394,K394,N394)</f>
        <v>1879</v>
      </c>
      <c r="AD394" s="1">
        <f t="shared" si="3425"/>
        <v>2451</v>
      </c>
      <c r="AE394" s="1">
        <f t="shared" si="2305"/>
        <v>4330</v>
      </c>
      <c r="AF394" s="2">
        <f t="shared" ref="AF394:AH394" si="3426">AC394/Z394</f>
        <v>0.94898989898989894</v>
      </c>
      <c r="AG394" s="2">
        <f t="shared" si="3426"/>
        <v>0.93872079662964381</v>
      </c>
      <c r="AH394" s="2">
        <f t="shared" si="3426"/>
        <v>0.94314964060117623</v>
      </c>
      <c r="AI394" s="1">
        <f t="shared" ref="AI394:AJ394" si="3427">SUM(E394,H394,K394)</f>
        <v>1714</v>
      </c>
      <c r="AJ394" s="1">
        <f t="shared" si="3427"/>
        <v>2225</v>
      </c>
      <c r="AK394" s="1">
        <f t="shared" si="2308"/>
        <v>3939</v>
      </c>
      <c r="AL394" s="2">
        <f t="shared" ref="AL394:AN394" si="3428">AI394/Z394</f>
        <v>0.86565656565656568</v>
      </c>
      <c r="AM394" s="2">
        <f t="shared" si="3428"/>
        <v>0.85216392186901568</v>
      </c>
      <c r="AN394" s="2">
        <f t="shared" si="3428"/>
        <v>0.85798301023742107</v>
      </c>
      <c r="AO394" s="2">
        <f t="shared" ref="AO394:AQ394" si="3429">E394/Z394</f>
        <v>0.19797979797979798</v>
      </c>
      <c r="AP394" s="2">
        <f t="shared" si="3429"/>
        <v>0.12523937188816545</v>
      </c>
      <c r="AQ394" s="2">
        <f t="shared" si="3429"/>
        <v>0.15661076018296669</v>
      </c>
      <c r="AR394" s="2">
        <f t="shared" si="2311"/>
        <v>8.0808080808080815E-2</v>
      </c>
      <c r="AS394" s="2">
        <f t="shared" ref="AS394:AT394" si="3430">R394/AA394</f>
        <v>6.1279203370356188E-2</v>
      </c>
      <c r="AT394" s="2">
        <f t="shared" si="3430"/>
        <v>5.6850359398823783E-2</v>
      </c>
      <c r="AU394" s="2">
        <f t="shared" si="2475"/>
        <v>4.0232670867668442E-2</v>
      </c>
      <c r="AV394" s="2">
        <f t="shared" si="3278"/>
        <v>5.1580094442426443E-2</v>
      </c>
      <c r="AW394" s="2">
        <f t="shared" si="3109"/>
        <v>4.6719269102990034E-2</v>
      </c>
    </row>
    <row r="395" spans="1:49" ht="13" x14ac:dyDescent="0.15">
      <c r="A395" s="1">
        <v>2022</v>
      </c>
      <c r="B395" s="1" t="s">
        <v>49</v>
      </c>
      <c r="C395" s="1" t="s">
        <v>52</v>
      </c>
      <c r="D395" s="1" t="s">
        <v>53</v>
      </c>
      <c r="E395" s="1">
        <v>160</v>
      </c>
      <c r="F395" s="1">
        <v>132</v>
      </c>
      <c r="G395" s="1">
        <v>292</v>
      </c>
      <c r="H395" s="1">
        <v>648</v>
      </c>
      <c r="I395" s="1">
        <v>862</v>
      </c>
      <c r="J395" s="1">
        <v>1510</v>
      </c>
      <c r="K395" s="1">
        <v>377</v>
      </c>
      <c r="L395" s="1">
        <v>578</v>
      </c>
      <c r="M395" s="1">
        <v>955</v>
      </c>
      <c r="N395" s="1">
        <v>174</v>
      </c>
      <c r="O395" s="1">
        <v>319</v>
      </c>
      <c r="P395" s="1">
        <v>493</v>
      </c>
      <c r="Q395" s="1">
        <v>162</v>
      </c>
      <c r="R395" s="1">
        <v>324</v>
      </c>
      <c r="S395" s="1">
        <v>486</v>
      </c>
      <c r="T395" s="1">
        <v>83</v>
      </c>
      <c r="U395" s="1">
        <v>199</v>
      </c>
      <c r="V395" s="1">
        <v>282</v>
      </c>
      <c r="W395" s="1">
        <f t="shared" ref="W395:X395" si="3431">SUM(E395,H395,K395,N395,Q395,T395)</f>
        <v>1604</v>
      </c>
      <c r="X395" s="1">
        <f t="shared" si="3431"/>
        <v>2414</v>
      </c>
      <c r="Y395" s="1">
        <f t="shared" si="2301"/>
        <v>4018</v>
      </c>
      <c r="Z395" s="1">
        <f t="shared" ref="Z395:AA395" si="3432">W395-T395</f>
        <v>1521</v>
      </c>
      <c r="AA395" s="1">
        <f t="shared" si="3432"/>
        <v>2215</v>
      </c>
      <c r="AB395" s="1">
        <f t="shared" si="2303"/>
        <v>3736</v>
      </c>
      <c r="AC395" s="1">
        <f t="shared" ref="AC395:AD395" si="3433">SUM(E395,H395,K395,N395)</f>
        <v>1359</v>
      </c>
      <c r="AD395" s="1">
        <f t="shared" si="3433"/>
        <v>1891</v>
      </c>
      <c r="AE395" s="1">
        <f t="shared" si="2305"/>
        <v>3250</v>
      </c>
      <c r="AF395" s="2">
        <f t="shared" ref="AF395:AH395" si="3434">AC395/Z395</f>
        <v>0.89349112426035504</v>
      </c>
      <c r="AG395" s="2">
        <f t="shared" si="3434"/>
        <v>0.85372460496614</v>
      </c>
      <c r="AH395" s="2">
        <f t="shared" si="3434"/>
        <v>0.86991434689507496</v>
      </c>
      <c r="AI395" s="1">
        <f t="shared" ref="AI395:AJ395" si="3435">SUM(E395,H395,K395)</f>
        <v>1185</v>
      </c>
      <c r="AJ395" s="1">
        <f t="shared" si="3435"/>
        <v>1572</v>
      </c>
      <c r="AK395" s="1">
        <f t="shared" si="2308"/>
        <v>2757</v>
      </c>
      <c r="AL395" s="2">
        <f t="shared" ref="AL395:AN395" si="3436">AI395/Z395</f>
        <v>0.77909270216962523</v>
      </c>
      <c r="AM395" s="2">
        <f t="shared" si="3436"/>
        <v>0.70970654627539509</v>
      </c>
      <c r="AN395" s="2">
        <f t="shared" si="3436"/>
        <v>0.73795503211991431</v>
      </c>
      <c r="AO395" s="2">
        <f t="shared" ref="AO395:AQ395" si="3437">E395/Z395</f>
        <v>0.10519395134779751</v>
      </c>
      <c r="AP395" s="2">
        <f t="shared" si="3437"/>
        <v>5.9593679458239276E-2</v>
      </c>
      <c r="AQ395" s="2">
        <f t="shared" si="3437"/>
        <v>7.8158458244111342E-2</v>
      </c>
      <c r="AR395" s="2">
        <f t="shared" si="2311"/>
        <v>0.21301775147928995</v>
      </c>
      <c r="AS395" s="2">
        <f t="shared" ref="AS395:AT395" si="3438">R395/AA395</f>
        <v>0.14627539503386006</v>
      </c>
      <c r="AT395" s="2">
        <f t="shared" si="3438"/>
        <v>0.13008565310492506</v>
      </c>
      <c r="AU395" s="2">
        <f t="shared" si="2475"/>
        <v>5.1745635910224436E-2</v>
      </c>
      <c r="AV395" s="2">
        <f t="shared" si="3278"/>
        <v>8.2435791217895613E-2</v>
      </c>
      <c r="AW395" s="2">
        <f t="shared" si="3109"/>
        <v>7.0184171229467393E-2</v>
      </c>
    </row>
    <row r="396" spans="1:49" ht="13" x14ac:dyDescent="0.15">
      <c r="A396" s="1">
        <v>2022</v>
      </c>
      <c r="B396" s="1" t="s">
        <v>49</v>
      </c>
      <c r="C396" s="1" t="s">
        <v>54</v>
      </c>
      <c r="D396" s="1" t="s">
        <v>55</v>
      </c>
      <c r="E396" s="1">
        <v>372</v>
      </c>
      <c r="F396" s="1">
        <v>367</v>
      </c>
      <c r="G396" s="1">
        <v>739</v>
      </c>
      <c r="H396" s="1">
        <v>784</v>
      </c>
      <c r="I396" s="1">
        <v>878</v>
      </c>
      <c r="J396" s="1">
        <v>1662</v>
      </c>
      <c r="K396" s="1">
        <v>141</v>
      </c>
      <c r="L396" s="1">
        <v>153</v>
      </c>
      <c r="M396" s="1">
        <v>294</v>
      </c>
      <c r="N396" s="1">
        <v>61</v>
      </c>
      <c r="O396" s="1">
        <v>82</v>
      </c>
      <c r="P396" s="1">
        <v>143</v>
      </c>
      <c r="Q396" s="1">
        <v>31</v>
      </c>
      <c r="R396" s="1">
        <v>39</v>
      </c>
      <c r="S396" s="1">
        <v>70</v>
      </c>
      <c r="T396" s="1">
        <v>12</v>
      </c>
      <c r="U396" s="1">
        <v>38</v>
      </c>
      <c r="V396" s="1">
        <v>50</v>
      </c>
      <c r="W396" s="1">
        <f t="shared" ref="W396:X396" si="3439">SUM(E396,H396,K396,N396,Q396,T396)</f>
        <v>1401</v>
      </c>
      <c r="X396" s="1">
        <f t="shared" si="3439"/>
        <v>1557</v>
      </c>
      <c r="Y396" s="1">
        <f t="shared" si="2301"/>
        <v>2958</v>
      </c>
      <c r="Z396" s="1">
        <f t="shared" ref="Z396:AA396" si="3440">W396-T396</f>
        <v>1389</v>
      </c>
      <c r="AA396" s="1">
        <f t="shared" si="3440"/>
        <v>1519</v>
      </c>
      <c r="AB396" s="1">
        <f t="shared" si="2303"/>
        <v>2908</v>
      </c>
      <c r="AC396" s="1">
        <f t="shared" ref="AC396:AD396" si="3441">SUM(E396,H396,K396,N396)</f>
        <v>1358</v>
      </c>
      <c r="AD396" s="1">
        <f t="shared" si="3441"/>
        <v>1480</v>
      </c>
      <c r="AE396" s="1">
        <f t="shared" si="2305"/>
        <v>2838</v>
      </c>
      <c r="AF396" s="2">
        <f t="shared" ref="AF396:AH396" si="3442">AC396/Z396</f>
        <v>0.97768178545716344</v>
      </c>
      <c r="AG396" s="2">
        <f t="shared" si="3442"/>
        <v>0.97432521395655036</v>
      </c>
      <c r="AH396" s="2">
        <f t="shared" si="3442"/>
        <v>0.97592847317744158</v>
      </c>
      <c r="AI396" s="1">
        <f t="shared" ref="AI396:AJ396" si="3443">SUM(E396,H396,K396)</f>
        <v>1297</v>
      </c>
      <c r="AJ396" s="1">
        <f t="shared" si="3443"/>
        <v>1398</v>
      </c>
      <c r="AK396" s="1">
        <f t="shared" si="2308"/>
        <v>2695</v>
      </c>
      <c r="AL396" s="2">
        <f t="shared" ref="AL396:AN396" si="3444">AI396/Z396</f>
        <v>0.93376529877609793</v>
      </c>
      <c r="AM396" s="2">
        <f t="shared" si="3444"/>
        <v>0.92034233048057934</v>
      </c>
      <c r="AN396" s="2">
        <f t="shared" si="3444"/>
        <v>0.92675378266850073</v>
      </c>
      <c r="AO396" s="2">
        <f t="shared" ref="AO396:AQ396" si="3445">E396/Z396</f>
        <v>0.2678185745140389</v>
      </c>
      <c r="AP396" s="2">
        <f t="shared" si="3445"/>
        <v>0.24160631994733378</v>
      </c>
      <c r="AQ396" s="2">
        <f t="shared" si="3445"/>
        <v>0.25412654745529573</v>
      </c>
      <c r="AR396" s="2">
        <f t="shared" si="2311"/>
        <v>2.8077753779697623E-2</v>
      </c>
      <c r="AS396" s="2">
        <f t="shared" ref="AS396:AT396" si="3446">R396/AA396</f>
        <v>2.5674786043449638E-2</v>
      </c>
      <c r="AT396" s="2">
        <f t="shared" si="3446"/>
        <v>2.4071526822558458E-2</v>
      </c>
      <c r="AU396" s="2">
        <f t="shared" si="2475"/>
        <v>8.5653104925053538E-3</v>
      </c>
      <c r="AV396" s="2">
        <f t="shared" si="3278"/>
        <v>2.4405908798972382E-2</v>
      </c>
      <c r="AW396" s="2">
        <f t="shared" si="3109"/>
        <v>1.6903313049357674E-2</v>
      </c>
    </row>
    <row r="397" spans="1:49" ht="13" x14ac:dyDescent="0.15">
      <c r="A397" s="1">
        <v>2022</v>
      </c>
      <c r="B397" s="1" t="s">
        <v>49</v>
      </c>
      <c r="C397" s="1" t="s">
        <v>52</v>
      </c>
      <c r="D397" s="1" t="s">
        <v>56</v>
      </c>
      <c r="E397" s="1">
        <v>124</v>
      </c>
      <c r="F397" s="1">
        <v>129</v>
      </c>
      <c r="G397" s="1">
        <v>253</v>
      </c>
      <c r="H397" s="1">
        <v>569</v>
      </c>
      <c r="I397" s="1">
        <v>743</v>
      </c>
      <c r="J397" s="1">
        <v>1312</v>
      </c>
      <c r="K397" s="1">
        <v>193</v>
      </c>
      <c r="L397" s="1">
        <v>304</v>
      </c>
      <c r="M397" s="1">
        <v>497</v>
      </c>
      <c r="N397" s="1">
        <v>90</v>
      </c>
      <c r="O397" s="1">
        <v>139</v>
      </c>
      <c r="P397" s="1">
        <v>229</v>
      </c>
      <c r="Q397" s="1">
        <v>79</v>
      </c>
      <c r="R397" s="1">
        <v>140</v>
      </c>
      <c r="S397" s="1">
        <v>219</v>
      </c>
      <c r="T397" s="1">
        <v>29</v>
      </c>
      <c r="U397" s="1">
        <v>22</v>
      </c>
      <c r="V397" s="1">
        <v>51</v>
      </c>
      <c r="W397" s="1">
        <f t="shared" ref="W397:X397" si="3447">SUM(E397,H397,K397,N397,Q397,T397)</f>
        <v>1084</v>
      </c>
      <c r="X397" s="1">
        <f t="shared" si="3447"/>
        <v>1477</v>
      </c>
      <c r="Y397" s="1">
        <f t="shared" si="2301"/>
        <v>2561</v>
      </c>
      <c r="Z397" s="1">
        <f t="shared" ref="Z397:AA397" si="3448">W397-T397</f>
        <v>1055</v>
      </c>
      <c r="AA397" s="1">
        <f t="shared" si="3448"/>
        <v>1455</v>
      </c>
      <c r="AB397" s="1">
        <f t="shared" si="2303"/>
        <v>2510</v>
      </c>
      <c r="AC397" s="1">
        <f t="shared" ref="AC397:AD397" si="3449">SUM(E397,H397,K397,N397)</f>
        <v>976</v>
      </c>
      <c r="AD397" s="1">
        <f t="shared" si="3449"/>
        <v>1315</v>
      </c>
      <c r="AE397" s="1">
        <f t="shared" si="2305"/>
        <v>2291</v>
      </c>
      <c r="AF397" s="2">
        <f t="shared" ref="AF397:AH397" si="3450">AC397/Z397</f>
        <v>0.92511848341232228</v>
      </c>
      <c r="AG397" s="2">
        <f t="shared" si="3450"/>
        <v>0.90378006872852235</v>
      </c>
      <c r="AH397" s="2">
        <f t="shared" si="3450"/>
        <v>0.91274900398406378</v>
      </c>
      <c r="AI397" s="1">
        <f t="shared" ref="AI397:AJ397" si="3451">SUM(E397,H397,K397)</f>
        <v>886</v>
      </c>
      <c r="AJ397" s="1">
        <f t="shared" si="3451"/>
        <v>1176</v>
      </c>
      <c r="AK397" s="1">
        <f t="shared" si="2308"/>
        <v>2062</v>
      </c>
      <c r="AL397" s="2">
        <f t="shared" ref="AL397:AN397" si="3452">AI397/Z397</f>
        <v>0.83981042654028437</v>
      </c>
      <c r="AM397" s="2">
        <f t="shared" si="3452"/>
        <v>0.80824742268041239</v>
      </c>
      <c r="AN397" s="2">
        <f t="shared" si="3452"/>
        <v>0.82151394422310753</v>
      </c>
      <c r="AO397" s="2">
        <f t="shared" ref="AO397:AQ397" si="3453">E397/Z397</f>
        <v>0.11753554502369669</v>
      </c>
      <c r="AP397" s="2">
        <f t="shared" si="3453"/>
        <v>8.8659793814432994E-2</v>
      </c>
      <c r="AQ397" s="2">
        <f t="shared" si="3453"/>
        <v>0.10079681274900398</v>
      </c>
      <c r="AR397" s="2">
        <f t="shared" si="2311"/>
        <v>0.13270142180094788</v>
      </c>
      <c r="AS397" s="2">
        <f t="shared" ref="AS397:AT397" si="3454">R397/AA397</f>
        <v>9.6219931271477668E-2</v>
      </c>
      <c r="AT397" s="2">
        <f t="shared" si="3454"/>
        <v>8.725099601593625E-2</v>
      </c>
      <c r="AU397" s="2">
        <f t="shared" si="2475"/>
        <v>2.6752767527675275E-2</v>
      </c>
      <c r="AV397" s="2">
        <f t="shared" si="3278"/>
        <v>1.4895057549085985E-2</v>
      </c>
      <c r="AW397" s="2">
        <f t="shared" si="3109"/>
        <v>1.9914096056228035E-2</v>
      </c>
    </row>
    <row r="398" spans="1:49" ht="13" x14ac:dyDescent="0.15">
      <c r="A398" s="1">
        <v>2022</v>
      </c>
      <c r="B398" s="1" t="s">
        <v>49</v>
      </c>
      <c r="C398" s="1" t="s">
        <v>52</v>
      </c>
      <c r="D398" s="1" t="s">
        <v>57</v>
      </c>
      <c r="E398" s="1">
        <v>861</v>
      </c>
      <c r="F398" s="1">
        <v>731</v>
      </c>
      <c r="G398" s="1">
        <v>1592</v>
      </c>
      <c r="H398" s="1">
        <v>1777</v>
      </c>
      <c r="I398" s="1">
        <v>2155</v>
      </c>
      <c r="J398" s="1">
        <v>3932</v>
      </c>
      <c r="K398" s="1">
        <v>604</v>
      </c>
      <c r="L398" s="1">
        <v>868</v>
      </c>
      <c r="M398" s="1">
        <v>1472</v>
      </c>
      <c r="N398" s="1">
        <v>217</v>
      </c>
      <c r="O398" s="1">
        <v>362</v>
      </c>
      <c r="P398" s="1">
        <v>579</v>
      </c>
      <c r="Q398" s="1">
        <v>94</v>
      </c>
      <c r="R398" s="1">
        <v>211</v>
      </c>
      <c r="S398" s="1">
        <v>305</v>
      </c>
      <c r="T398" s="1">
        <v>83</v>
      </c>
      <c r="U398" s="1">
        <v>111</v>
      </c>
      <c r="V398" s="1">
        <v>194</v>
      </c>
      <c r="W398" s="1">
        <f t="shared" ref="W398:X398" si="3455">SUM(E398,H398,K398,N398,Q398,T398)</f>
        <v>3636</v>
      </c>
      <c r="X398" s="1">
        <f t="shared" si="3455"/>
        <v>4438</v>
      </c>
      <c r="Y398" s="1">
        <f t="shared" si="2301"/>
        <v>8074</v>
      </c>
      <c r="Z398" s="1">
        <f t="shared" ref="Z398:AA398" si="3456">W398-T398</f>
        <v>3553</v>
      </c>
      <c r="AA398" s="1">
        <f t="shared" si="3456"/>
        <v>4327</v>
      </c>
      <c r="AB398" s="1">
        <f t="shared" si="2303"/>
        <v>7880</v>
      </c>
      <c r="AC398" s="1">
        <f t="shared" ref="AC398:AD398" si="3457">SUM(E398,H398,K398,N398)</f>
        <v>3459</v>
      </c>
      <c r="AD398" s="1">
        <f t="shared" si="3457"/>
        <v>4116</v>
      </c>
      <c r="AE398" s="1">
        <f t="shared" si="2305"/>
        <v>7575</v>
      </c>
      <c r="AF398" s="2">
        <f t="shared" ref="AF398:AH398" si="3458">AC398/Z398</f>
        <v>0.97354348437939764</v>
      </c>
      <c r="AG398" s="2">
        <f t="shared" si="3458"/>
        <v>0.95123642246360063</v>
      </c>
      <c r="AH398" s="2">
        <f t="shared" si="3458"/>
        <v>0.96129441624365486</v>
      </c>
      <c r="AI398" s="1">
        <f t="shared" ref="AI398:AJ398" si="3459">SUM(E398,H398,K398)</f>
        <v>3242</v>
      </c>
      <c r="AJ398" s="1">
        <f t="shared" si="3459"/>
        <v>3754</v>
      </c>
      <c r="AK398" s="1">
        <f t="shared" si="2308"/>
        <v>6996</v>
      </c>
      <c r="AL398" s="2">
        <f t="shared" ref="AL398:AN398" si="3460">AI398/Z398</f>
        <v>0.91246833661694338</v>
      </c>
      <c r="AM398" s="2">
        <f t="shared" si="3460"/>
        <v>0.86757568754333259</v>
      </c>
      <c r="AN398" s="2">
        <f t="shared" si="3460"/>
        <v>0.88781725888324869</v>
      </c>
      <c r="AO398" s="2">
        <f t="shared" ref="AO398:AQ398" si="3461">E398/Z398</f>
        <v>0.2423304249929637</v>
      </c>
      <c r="AP398" s="2">
        <f t="shared" si="3461"/>
        <v>0.16893921885833141</v>
      </c>
      <c r="AQ398" s="2">
        <f t="shared" si="3461"/>
        <v>0.20203045685279189</v>
      </c>
      <c r="AR398" s="2">
        <f t="shared" si="2311"/>
        <v>5.9386433999437098E-2</v>
      </c>
      <c r="AS398" s="2">
        <f t="shared" ref="AS398:AT398" si="3462">R398/AA398</f>
        <v>4.8763577536399351E-2</v>
      </c>
      <c r="AT398" s="2">
        <f t="shared" si="3462"/>
        <v>3.8705583756345176E-2</v>
      </c>
      <c r="AU398" s="2">
        <f t="shared" si="2475"/>
        <v>2.2827282728272828E-2</v>
      </c>
      <c r="AV398" s="2">
        <f t="shared" si="3278"/>
        <v>2.5011266336187471E-2</v>
      </c>
      <c r="AW398" s="2">
        <f t="shared" si="3109"/>
        <v>2.4027743373792421E-2</v>
      </c>
    </row>
    <row r="399" spans="1:49" ht="13" x14ac:dyDescent="0.15">
      <c r="A399" s="1">
        <v>2022</v>
      </c>
      <c r="B399" s="1" t="s">
        <v>49</v>
      </c>
      <c r="C399" s="1" t="s">
        <v>54</v>
      </c>
      <c r="D399" s="1" t="s">
        <v>58</v>
      </c>
      <c r="E399" s="1">
        <v>420</v>
      </c>
      <c r="F399" s="1">
        <v>373</v>
      </c>
      <c r="G399" s="1">
        <v>793</v>
      </c>
      <c r="H399" s="1">
        <v>779</v>
      </c>
      <c r="I399" s="1">
        <v>993</v>
      </c>
      <c r="J399" s="1">
        <v>1772</v>
      </c>
      <c r="K399" s="1">
        <v>94</v>
      </c>
      <c r="L399" s="1">
        <v>218</v>
      </c>
      <c r="M399" s="1">
        <v>312</v>
      </c>
      <c r="N399" s="1">
        <v>49</v>
      </c>
      <c r="O399" s="1">
        <v>83</v>
      </c>
      <c r="P399" s="1">
        <v>132</v>
      </c>
      <c r="Q399" s="1">
        <v>23</v>
      </c>
      <c r="R399" s="1">
        <v>29</v>
      </c>
      <c r="S399" s="1">
        <v>52</v>
      </c>
      <c r="T399" s="1">
        <v>28</v>
      </c>
      <c r="U399" s="1">
        <v>34</v>
      </c>
      <c r="V399" s="1">
        <v>62</v>
      </c>
      <c r="W399" s="1">
        <f t="shared" ref="W399:X399" si="3463">SUM(E399,H399,K399,N399,Q399,T399)</f>
        <v>1393</v>
      </c>
      <c r="X399" s="1">
        <f t="shared" si="3463"/>
        <v>1730</v>
      </c>
      <c r="Y399" s="1">
        <f t="shared" si="2301"/>
        <v>3123</v>
      </c>
      <c r="Z399" s="1">
        <f t="shared" ref="Z399:AA399" si="3464">W399-T399</f>
        <v>1365</v>
      </c>
      <c r="AA399" s="1">
        <f t="shared" si="3464"/>
        <v>1696</v>
      </c>
      <c r="AB399" s="1">
        <f t="shared" si="2303"/>
        <v>3061</v>
      </c>
      <c r="AC399" s="1">
        <f t="shared" ref="AC399:AD399" si="3465">SUM(E399,H399,K399,N399)</f>
        <v>1342</v>
      </c>
      <c r="AD399" s="1">
        <f t="shared" si="3465"/>
        <v>1667</v>
      </c>
      <c r="AE399" s="1">
        <f t="shared" si="2305"/>
        <v>3009</v>
      </c>
      <c r="AF399" s="2">
        <f t="shared" ref="AF399:AH399" si="3466">AC399/Z399</f>
        <v>0.9831501831501831</v>
      </c>
      <c r="AG399" s="2">
        <f t="shared" si="3466"/>
        <v>0.98290094339622647</v>
      </c>
      <c r="AH399" s="2">
        <f t="shared" si="3466"/>
        <v>0.98301208755308722</v>
      </c>
      <c r="AI399" s="1">
        <f t="shared" ref="AI399:AJ399" si="3467">SUM(E399,H399,K399)</f>
        <v>1293</v>
      </c>
      <c r="AJ399" s="1">
        <f t="shared" si="3467"/>
        <v>1584</v>
      </c>
      <c r="AK399" s="1">
        <f t="shared" si="2308"/>
        <v>2877</v>
      </c>
      <c r="AL399" s="2">
        <f t="shared" ref="AL399:AN399" si="3468">AI399/Z399</f>
        <v>0.94725274725274722</v>
      </c>
      <c r="AM399" s="2">
        <f t="shared" si="3468"/>
        <v>0.93396226415094341</v>
      </c>
      <c r="AN399" s="2">
        <f t="shared" si="3468"/>
        <v>0.93988892518784706</v>
      </c>
      <c r="AO399" s="2">
        <f t="shared" ref="AO399:AQ399" si="3469">E399/Z399</f>
        <v>0.30769230769230771</v>
      </c>
      <c r="AP399" s="2">
        <f t="shared" si="3469"/>
        <v>0.21992924528301888</v>
      </c>
      <c r="AQ399" s="2">
        <f t="shared" si="3469"/>
        <v>0.25906566481541982</v>
      </c>
      <c r="AR399" s="2">
        <f t="shared" si="2311"/>
        <v>2.1245421245421246E-2</v>
      </c>
      <c r="AS399" s="2">
        <f t="shared" ref="AS399:AT399" si="3470">R399/AA399</f>
        <v>1.7099056603773585E-2</v>
      </c>
      <c r="AT399" s="2">
        <f t="shared" si="3470"/>
        <v>1.6987912446912775E-2</v>
      </c>
      <c r="AU399" s="2">
        <f t="shared" si="2475"/>
        <v>2.0100502512562814E-2</v>
      </c>
      <c r="AV399" s="2">
        <f t="shared" si="3278"/>
        <v>1.9653179190751446E-2</v>
      </c>
      <c r="AW399" s="2">
        <f t="shared" si="3109"/>
        <v>1.9852705731668269E-2</v>
      </c>
    </row>
    <row r="400" spans="1:49" ht="13" x14ac:dyDescent="0.15">
      <c r="A400" s="1">
        <v>2022</v>
      </c>
      <c r="B400" s="1" t="s">
        <v>49</v>
      </c>
      <c r="C400" s="1" t="s">
        <v>59</v>
      </c>
      <c r="D400" s="1" t="s">
        <v>60</v>
      </c>
      <c r="E400" s="1">
        <v>78</v>
      </c>
      <c r="F400" s="1">
        <v>47</v>
      </c>
      <c r="G400" s="1">
        <v>125</v>
      </c>
      <c r="H400" s="1">
        <v>1071</v>
      </c>
      <c r="I400" s="1">
        <v>952</v>
      </c>
      <c r="J400" s="1">
        <v>2023</v>
      </c>
      <c r="K400" s="1">
        <v>925</v>
      </c>
      <c r="L400" s="1">
        <v>1033</v>
      </c>
      <c r="M400" s="1">
        <v>1958</v>
      </c>
      <c r="N400" s="1">
        <v>531</v>
      </c>
      <c r="O400" s="1">
        <v>654</v>
      </c>
      <c r="P400" s="1">
        <v>1185</v>
      </c>
      <c r="Q400" s="1">
        <v>800</v>
      </c>
      <c r="R400" s="1">
        <v>973</v>
      </c>
      <c r="S400" s="1">
        <v>1773</v>
      </c>
      <c r="T400" s="1">
        <v>20</v>
      </c>
      <c r="U400" s="1">
        <v>48</v>
      </c>
      <c r="V400" s="1">
        <v>68</v>
      </c>
      <c r="W400" s="1">
        <f t="shared" ref="W400:X400" si="3471">SUM(E400,H400,K400,N400,Q400,T400)</f>
        <v>3425</v>
      </c>
      <c r="X400" s="1">
        <f t="shared" si="3471"/>
        <v>3707</v>
      </c>
      <c r="Y400" s="1">
        <f t="shared" si="2301"/>
        <v>7132</v>
      </c>
      <c r="Z400" s="1">
        <f t="shared" ref="Z400:AA400" si="3472">W400-T400</f>
        <v>3405</v>
      </c>
      <c r="AA400" s="1">
        <f t="shared" si="3472"/>
        <v>3659</v>
      </c>
      <c r="AB400" s="1">
        <f t="shared" si="2303"/>
        <v>7064</v>
      </c>
      <c r="AC400" s="1">
        <f t="shared" ref="AC400:AD400" si="3473">SUM(E400,H400,K400,N400)</f>
        <v>2605</v>
      </c>
      <c r="AD400" s="1">
        <f t="shared" si="3473"/>
        <v>2686</v>
      </c>
      <c r="AE400" s="1">
        <f t="shared" si="2305"/>
        <v>5291</v>
      </c>
      <c r="AF400" s="2">
        <f t="shared" ref="AF400:AH400" si="3474">AC400/Z400</f>
        <v>0.76505139500734209</v>
      </c>
      <c r="AG400" s="2">
        <f t="shared" si="3474"/>
        <v>0.73408034982235582</v>
      </c>
      <c r="AH400" s="2">
        <f t="shared" si="3474"/>
        <v>0.74900906002265011</v>
      </c>
      <c r="AI400" s="1">
        <f t="shared" ref="AI400:AJ400" si="3475">SUM(E400,H400,K400)</f>
        <v>2074</v>
      </c>
      <c r="AJ400" s="1">
        <f t="shared" si="3475"/>
        <v>2032</v>
      </c>
      <c r="AK400" s="1">
        <f t="shared" si="2308"/>
        <v>4106</v>
      </c>
      <c r="AL400" s="2">
        <f t="shared" ref="AL400:AN400" si="3476">AI400/Z400</f>
        <v>0.6091042584434655</v>
      </c>
      <c r="AM400" s="2">
        <f t="shared" si="3476"/>
        <v>0.5553429898879475</v>
      </c>
      <c r="AN400" s="2">
        <f t="shared" si="3476"/>
        <v>0.58125707814269534</v>
      </c>
      <c r="AO400" s="2">
        <f t="shared" ref="AO400:AQ400" si="3477">E400/Z400</f>
        <v>2.2907488986784141E-2</v>
      </c>
      <c r="AP400" s="2">
        <f t="shared" si="3477"/>
        <v>1.2845039628313747E-2</v>
      </c>
      <c r="AQ400" s="2">
        <f t="shared" si="3477"/>
        <v>1.7695356738391847E-2</v>
      </c>
      <c r="AR400" s="2">
        <f t="shared" si="2311"/>
        <v>0.2857562408223201</v>
      </c>
      <c r="AS400" s="2">
        <f t="shared" ref="AS400:AT400" si="3478">R400/AA400</f>
        <v>0.26591965017764418</v>
      </c>
      <c r="AT400" s="2">
        <f t="shared" si="3478"/>
        <v>0.25099093997734995</v>
      </c>
      <c r="AU400" s="2">
        <f t="shared" si="2475"/>
        <v>5.8394160583941602E-3</v>
      </c>
      <c r="AV400" s="2">
        <f t="shared" si="3278"/>
        <v>1.2948475856487725E-2</v>
      </c>
      <c r="AW400" s="2">
        <f t="shared" si="3109"/>
        <v>9.534492428491307E-3</v>
      </c>
    </row>
    <row r="401" spans="1:49" ht="13" x14ac:dyDescent="0.15">
      <c r="A401" s="1">
        <v>2022</v>
      </c>
      <c r="B401" s="1" t="s">
        <v>49</v>
      </c>
      <c r="C401" s="1" t="s">
        <v>54</v>
      </c>
      <c r="D401" s="1" t="s">
        <v>61</v>
      </c>
      <c r="E401" s="1">
        <v>1043</v>
      </c>
      <c r="F401" s="1">
        <v>922</v>
      </c>
      <c r="G401" s="1">
        <v>1965</v>
      </c>
      <c r="H401" s="1">
        <v>1455</v>
      </c>
      <c r="I401" s="1">
        <v>1763</v>
      </c>
      <c r="J401" s="1">
        <v>3218</v>
      </c>
      <c r="K401" s="1">
        <v>288</v>
      </c>
      <c r="L401" s="1">
        <v>356</v>
      </c>
      <c r="M401" s="1">
        <v>644</v>
      </c>
      <c r="N401" s="1">
        <v>125</v>
      </c>
      <c r="O401" s="1">
        <v>155</v>
      </c>
      <c r="P401" s="1">
        <v>280</v>
      </c>
      <c r="Q401" s="1">
        <v>93</v>
      </c>
      <c r="R401" s="1">
        <v>91</v>
      </c>
      <c r="S401" s="1">
        <v>184</v>
      </c>
      <c r="T401" s="1">
        <v>46</v>
      </c>
      <c r="U401" s="1">
        <v>51</v>
      </c>
      <c r="V401" s="1">
        <v>97</v>
      </c>
      <c r="W401" s="1">
        <f t="shared" ref="W401:X401" si="3479">SUM(E401,H401,K401,N401,Q401,T401)</f>
        <v>3050</v>
      </c>
      <c r="X401" s="1">
        <f t="shared" si="3479"/>
        <v>3338</v>
      </c>
      <c r="Y401" s="1">
        <f t="shared" si="2301"/>
        <v>6388</v>
      </c>
      <c r="Z401" s="1">
        <f t="shared" ref="Z401:AA401" si="3480">W401-T401</f>
        <v>3004</v>
      </c>
      <c r="AA401" s="1">
        <f t="shared" si="3480"/>
        <v>3287</v>
      </c>
      <c r="AB401" s="1">
        <f t="shared" si="2303"/>
        <v>6291</v>
      </c>
      <c r="AC401" s="1">
        <f t="shared" ref="AC401:AD401" si="3481">SUM(E401,H401,K401,N401)</f>
        <v>2911</v>
      </c>
      <c r="AD401" s="1">
        <f t="shared" si="3481"/>
        <v>3196</v>
      </c>
      <c r="AE401" s="1">
        <f t="shared" si="2305"/>
        <v>6107</v>
      </c>
      <c r="AF401" s="2">
        <f t="shared" ref="AF401:AH401" si="3482">AC401/Z401</f>
        <v>0.96904127829560582</v>
      </c>
      <c r="AG401" s="2">
        <f t="shared" si="3482"/>
        <v>0.97231518101612413</v>
      </c>
      <c r="AH401" s="2">
        <f t="shared" si="3482"/>
        <v>0.97075186774757594</v>
      </c>
      <c r="AI401" s="1">
        <f t="shared" ref="AI401:AJ401" si="3483">SUM(E401,H401,K401)</f>
        <v>2786</v>
      </c>
      <c r="AJ401" s="1">
        <f t="shared" si="3483"/>
        <v>3041</v>
      </c>
      <c r="AK401" s="1">
        <f t="shared" si="2308"/>
        <v>5827</v>
      </c>
      <c r="AL401" s="2">
        <f t="shared" ref="AL401:AN401" si="3484">AI401/Z401</f>
        <v>0.92743009320905456</v>
      </c>
      <c r="AM401" s="2">
        <f t="shared" si="3484"/>
        <v>0.92515972010952241</v>
      </c>
      <c r="AN401" s="2">
        <f t="shared" si="3484"/>
        <v>0.92624384040693053</v>
      </c>
      <c r="AO401" s="2">
        <f t="shared" ref="AO401:AQ401" si="3485">E401/Z401</f>
        <v>0.34720372836218377</v>
      </c>
      <c r="AP401" s="2">
        <f t="shared" si="3485"/>
        <v>0.28049893519926983</v>
      </c>
      <c r="AQ401" s="2">
        <f t="shared" si="3485"/>
        <v>0.31235097758702907</v>
      </c>
      <c r="AR401" s="2">
        <f t="shared" si="2311"/>
        <v>3.0292942743009321E-2</v>
      </c>
      <c r="AS401" s="2">
        <f t="shared" ref="AS401:AT401" si="3486">R401/AA401</f>
        <v>2.7684818983875873E-2</v>
      </c>
      <c r="AT401" s="2">
        <f t="shared" si="3486"/>
        <v>2.9248132252424099E-2</v>
      </c>
      <c r="AU401" s="2">
        <f t="shared" si="2475"/>
        <v>1.5081967213114755E-2</v>
      </c>
      <c r="AV401" s="2">
        <f t="shared" si="3278"/>
        <v>1.5278609946075494E-2</v>
      </c>
      <c r="AW401" s="2">
        <f t="shared" si="3109"/>
        <v>1.5184721352536006E-2</v>
      </c>
    </row>
    <row r="402" spans="1:49" ht="13" x14ac:dyDescent="0.15">
      <c r="A402" s="1">
        <v>2022</v>
      </c>
      <c r="B402" s="1" t="s">
        <v>49</v>
      </c>
      <c r="C402" s="1" t="s">
        <v>62</v>
      </c>
      <c r="D402" s="1" t="s">
        <v>63</v>
      </c>
      <c r="E402" s="1">
        <v>89</v>
      </c>
      <c r="F402" s="1">
        <v>75</v>
      </c>
      <c r="G402" s="1">
        <v>164</v>
      </c>
      <c r="H402" s="1">
        <v>850</v>
      </c>
      <c r="I402" s="1">
        <v>821</v>
      </c>
      <c r="J402" s="1">
        <v>1671</v>
      </c>
      <c r="K402" s="1">
        <v>727</v>
      </c>
      <c r="L402" s="1">
        <v>855</v>
      </c>
      <c r="M402" s="1">
        <v>1582</v>
      </c>
      <c r="N402" s="1">
        <v>458</v>
      </c>
      <c r="O402" s="1">
        <v>614</v>
      </c>
      <c r="P402" s="1">
        <v>1072</v>
      </c>
      <c r="Q402" s="1">
        <v>770</v>
      </c>
      <c r="R402" s="1">
        <v>893</v>
      </c>
      <c r="S402" s="1">
        <v>1663</v>
      </c>
      <c r="T402" s="1">
        <v>84</v>
      </c>
      <c r="U402" s="1">
        <v>114</v>
      </c>
      <c r="V402" s="1">
        <v>198</v>
      </c>
      <c r="W402" s="1">
        <f t="shared" ref="W402:X402" si="3487">SUM(E402,H402,K402,N402,Q402,T402)</f>
        <v>2978</v>
      </c>
      <c r="X402" s="1">
        <f t="shared" si="3487"/>
        <v>3372</v>
      </c>
      <c r="Y402" s="1">
        <f t="shared" si="2301"/>
        <v>6350</v>
      </c>
      <c r="Z402" s="1">
        <f t="shared" ref="Z402:AA402" si="3488">W402-T402</f>
        <v>2894</v>
      </c>
      <c r="AA402" s="1">
        <f t="shared" si="3488"/>
        <v>3258</v>
      </c>
      <c r="AB402" s="1">
        <f t="shared" si="2303"/>
        <v>6152</v>
      </c>
      <c r="AC402" s="1">
        <f t="shared" ref="AC402:AD402" si="3489">SUM(E402,H402,K402,N402)</f>
        <v>2124</v>
      </c>
      <c r="AD402" s="1">
        <f t="shared" si="3489"/>
        <v>2365</v>
      </c>
      <c r="AE402" s="1">
        <f t="shared" si="2305"/>
        <v>4489</v>
      </c>
      <c r="AF402" s="2">
        <f t="shared" ref="AF402:AH402" si="3490">AC402/Z402</f>
        <v>0.73393227366966141</v>
      </c>
      <c r="AG402" s="2">
        <f t="shared" si="3490"/>
        <v>0.72590546347452423</v>
      </c>
      <c r="AH402" s="2">
        <f t="shared" si="3490"/>
        <v>0.72968140442132645</v>
      </c>
      <c r="AI402" s="1">
        <f t="shared" ref="AI402:AJ402" si="3491">SUM(E402,H402,K402)</f>
        <v>1666</v>
      </c>
      <c r="AJ402" s="1">
        <f t="shared" si="3491"/>
        <v>1751</v>
      </c>
      <c r="AK402" s="1">
        <f t="shared" si="2308"/>
        <v>3417</v>
      </c>
      <c r="AL402" s="2">
        <f t="shared" ref="AL402:AN402" si="3492">AI402/Z402</f>
        <v>0.57567380787836908</v>
      </c>
      <c r="AM402" s="2">
        <f t="shared" si="3492"/>
        <v>0.53744628606507061</v>
      </c>
      <c r="AN402" s="2">
        <f t="shared" si="3492"/>
        <v>0.5554291287386216</v>
      </c>
      <c r="AO402" s="2">
        <f t="shared" ref="AO402:AQ402" si="3493">E402/Z402</f>
        <v>3.0753282653766412E-2</v>
      </c>
      <c r="AP402" s="2">
        <f t="shared" si="3493"/>
        <v>2.3020257826887661E-2</v>
      </c>
      <c r="AQ402" s="2">
        <f t="shared" si="3493"/>
        <v>2.6657997399219768E-2</v>
      </c>
      <c r="AR402" s="2">
        <f t="shared" si="2311"/>
        <v>0.30856945404284725</v>
      </c>
      <c r="AS402" s="2">
        <f t="shared" ref="AS402:AT402" si="3494">R402/AA402</f>
        <v>0.27409453652547577</v>
      </c>
      <c r="AT402" s="2">
        <f t="shared" si="3494"/>
        <v>0.2703185955786736</v>
      </c>
      <c r="AU402" s="2">
        <f t="shared" si="2475"/>
        <v>2.8206850235057087E-2</v>
      </c>
      <c r="AV402" s="2">
        <f t="shared" si="3278"/>
        <v>3.3807829181494664E-2</v>
      </c>
      <c r="AW402" s="2">
        <f t="shared" si="3109"/>
        <v>3.1181102362204723E-2</v>
      </c>
    </row>
    <row r="403" spans="1:49" ht="13" x14ac:dyDescent="0.15">
      <c r="A403" s="1">
        <v>2022</v>
      </c>
      <c r="B403" s="1" t="s">
        <v>49</v>
      </c>
      <c r="C403" s="1" t="s">
        <v>59</v>
      </c>
      <c r="D403" s="1" t="s">
        <v>64</v>
      </c>
      <c r="E403" s="1">
        <v>348</v>
      </c>
      <c r="F403" s="1">
        <v>284</v>
      </c>
      <c r="G403" s="1">
        <v>632</v>
      </c>
      <c r="H403" s="1">
        <v>1553</v>
      </c>
      <c r="I403" s="1">
        <v>1580</v>
      </c>
      <c r="J403" s="1">
        <v>3133</v>
      </c>
      <c r="K403" s="1">
        <v>1058</v>
      </c>
      <c r="L403" s="1">
        <v>1248</v>
      </c>
      <c r="M403" s="1">
        <v>2306</v>
      </c>
      <c r="N403" s="1">
        <v>606</v>
      </c>
      <c r="O403" s="1">
        <v>781</v>
      </c>
      <c r="P403" s="1">
        <v>1387</v>
      </c>
      <c r="Q403" s="1">
        <v>761</v>
      </c>
      <c r="R403" s="1">
        <v>950</v>
      </c>
      <c r="S403" s="1">
        <v>1711</v>
      </c>
      <c r="T403" s="1">
        <v>42</v>
      </c>
      <c r="U403" s="1">
        <v>43</v>
      </c>
      <c r="V403" s="1">
        <v>85</v>
      </c>
      <c r="W403" s="1">
        <f t="shared" ref="W403:X403" si="3495">SUM(E403,H403,K403,N403,Q403,T403)</f>
        <v>4368</v>
      </c>
      <c r="X403" s="1">
        <f t="shared" si="3495"/>
        <v>4886</v>
      </c>
      <c r="Y403" s="1">
        <f t="shared" si="2301"/>
        <v>9254</v>
      </c>
      <c r="Z403" s="1">
        <f t="shared" ref="Z403:AA403" si="3496">W403-T403</f>
        <v>4326</v>
      </c>
      <c r="AA403" s="1">
        <f t="shared" si="3496"/>
        <v>4843</v>
      </c>
      <c r="AB403" s="1">
        <f t="shared" si="2303"/>
        <v>9169</v>
      </c>
      <c r="AC403" s="1">
        <f t="shared" ref="AC403:AD403" si="3497">SUM(E403,H403,K403,N403)</f>
        <v>3565</v>
      </c>
      <c r="AD403" s="1">
        <f t="shared" si="3497"/>
        <v>3893</v>
      </c>
      <c r="AE403" s="1">
        <f t="shared" si="2305"/>
        <v>7458</v>
      </c>
      <c r="AF403" s="2">
        <f t="shared" ref="AF403:AH403" si="3498">AC403/Z403</f>
        <v>0.82408691631992603</v>
      </c>
      <c r="AG403" s="2">
        <f t="shared" si="3498"/>
        <v>0.80384059467272351</v>
      </c>
      <c r="AH403" s="2">
        <f t="shared" si="3498"/>
        <v>0.81339295452066751</v>
      </c>
      <c r="AI403" s="1">
        <f t="shared" ref="AI403:AJ403" si="3499">SUM(E403,H403,K403)</f>
        <v>2959</v>
      </c>
      <c r="AJ403" s="1">
        <f t="shared" si="3499"/>
        <v>3112</v>
      </c>
      <c r="AK403" s="1">
        <f t="shared" si="2308"/>
        <v>6071</v>
      </c>
      <c r="AL403" s="2">
        <f t="shared" ref="AL403:AN403" si="3500">AI403/Z403</f>
        <v>0.68400369856680532</v>
      </c>
      <c r="AM403" s="2">
        <f t="shared" si="3500"/>
        <v>0.64257691513524673</v>
      </c>
      <c r="AN403" s="2">
        <f t="shared" si="3500"/>
        <v>0.66212236885156506</v>
      </c>
      <c r="AO403" s="2">
        <f t="shared" ref="AO403:AQ403" si="3501">E403/Z403</f>
        <v>8.0443828016643557E-2</v>
      </c>
      <c r="AP403" s="2">
        <f t="shared" si="3501"/>
        <v>5.8641338013627919E-2</v>
      </c>
      <c r="AQ403" s="2">
        <f t="shared" si="3501"/>
        <v>6.8927909259461226E-2</v>
      </c>
      <c r="AR403" s="2">
        <f t="shared" si="2311"/>
        <v>0.21960240406842349</v>
      </c>
      <c r="AS403" s="2">
        <f t="shared" ref="AS403:AT403" si="3502">R403/AA403</f>
        <v>0.19615940532727649</v>
      </c>
      <c r="AT403" s="2">
        <f t="shared" si="3502"/>
        <v>0.18660704547933255</v>
      </c>
      <c r="AU403" s="2">
        <f t="shared" si="2475"/>
        <v>9.6153846153846159E-3</v>
      </c>
      <c r="AV403" s="2">
        <f t="shared" si="3278"/>
        <v>8.8006549324600898E-3</v>
      </c>
      <c r="AW403" s="2">
        <f t="shared" si="3109"/>
        <v>9.1852172033715148E-3</v>
      </c>
    </row>
    <row r="404" spans="1:49" ht="13" x14ac:dyDescent="0.15">
      <c r="A404" s="1">
        <v>2022</v>
      </c>
      <c r="B404" s="1" t="s">
        <v>49</v>
      </c>
      <c r="C404" s="1" t="s">
        <v>50</v>
      </c>
      <c r="D404" s="1" t="s">
        <v>65</v>
      </c>
      <c r="E404" s="1">
        <v>340</v>
      </c>
      <c r="F404" s="1">
        <v>286</v>
      </c>
      <c r="G404" s="1">
        <v>626</v>
      </c>
      <c r="H404" s="1">
        <v>981</v>
      </c>
      <c r="I404" s="1">
        <v>1237</v>
      </c>
      <c r="J404" s="1">
        <v>2218</v>
      </c>
      <c r="K404" s="1">
        <v>368</v>
      </c>
      <c r="L404" s="1">
        <v>538</v>
      </c>
      <c r="M404" s="1">
        <v>906</v>
      </c>
      <c r="N404" s="1">
        <v>259</v>
      </c>
      <c r="O404" s="1">
        <v>400</v>
      </c>
      <c r="P404" s="1">
        <v>659</v>
      </c>
      <c r="Q404" s="1">
        <v>233</v>
      </c>
      <c r="R404" s="1">
        <v>356</v>
      </c>
      <c r="S404" s="1">
        <v>589</v>
      </c>
      <c r="T404" s="1">
        <v>107</v>
      </c>
      <c r="U404" s="1">
        <v>116</v>
      </c>
      <c r="V404" s="1">
        <v>223</v>
      </c>
      <c r="W404" s="1">
        <f t="shared" ref="W404:X404" si="3503">SUM(E404,H404,K404,N404,Q404,T404)</f>
        <v>2288</v>
      </c>
      <c r="X404" s="1">
        <f t="shared" si="3503"/>
        <v>2933</v>
      </c>
      <c r="Y404" s="1">
        <f t="shared" si="2301"/>
        <v>5221</v>
      </c>
      <c r="Z404" s="1">
        <f t="shared" ref="Z404:AA404" si="3504">W404-T404</f>
        <v>2181</v>
      </c>
      <c r="AA404" s="1">
        <f t="shared" si="3504"/>
        <v>2817</v>
      </c>
      <c r="AB404" s="1">
        <f t="shared" si="2303"/>
        <v>4998</v>
      </c>
      <c r="AC404" s="1">
        <f t="shared" ref="AC404:AD404" si="3505">SUM(E404,H404,K404,N404)</f>
        <v>1948</v>
      </c>
      <c r="AD404" s="1">
        <f t="shared" si="3505"/>
        <v>2461</v>
      </c>
      <c r="AE404" s="1">
        <f t="shared" si="2305"/>
        <v>4409</v>
      </c>
      <c r="AF404" s="2">
        <f t="shared" ref="AF404:AH404" si="3506">AC404/Z404</f>
        <v>0.89316827143512145</v>
      </c>
      <c r="AG404" s="2">
        <f t="shared" si="3506"/>
        <v>0.87362442314518995</v>
      </c>
      <c r="AH404" s="2">
        <f t="shared" si="3506"/>
        <v>0.88215286114445779</v>
      </c>
      <c r="AI404" s="1">
        <f t="shared" ref="AI404:AJ404" si="3507">SUM(E404,H404,K404)</f>
        <v>1689</v>
      </c>
      <c r="AJ404" s="1">
        <f t="shared" si="3507"/>
        <v>2061</v>
      </c>
      <c r="AK404" s="1">
        <f t="shared" si="2308"/>
        <v>3750</v>
      </c>
      <c r="AL404" s="2">
        <f t="shared" ref="AL404:AN404" si="3508">AI404/Z404</f>
        <v>0.77441540577716639</v>
      </c>
      <c r="AM404" s="2">
        <f t="shared" si="3508"/>
        <v>0.73162939297124596</v>
      </c>
      <c r="AN404" s="2">
        <f t="shared" si="3508"/>
        <v>0.75030012004801916</v>
      </c>
      <c r="AO404" s="2">
        <f t="shared" ref="AO404:AQ404" si="3509">E404/Z404</f>
        <v>0.15589179275561668</v>
      </c>
      <c r="AP404" s="2">
        <f t="shared" si="3509"/>
        <v>0.10152644657436989</v>
      </c>
      <c r="AQ404" s="2">
        <f t="shared" si="3509"/>
        <v>0.12525010004001599</v>
      </c>
      <c r="AR404" s="2">
        <f t="shared" si="2311"/>
        <v>0.1632278771205869</v>
      </c>
      <c r="AS404" s="2">
        <f t="shared" ref="AS404:AT404" si="3510">R404/AA404</f>
        <v>0.12637557685481007</v>
      </c>
      <c r="AT404" s="2">
        <f t="shared" si="3510"/>
        <v>0.11784713885554221</v>
      </c>
      <c r="AU404" s="2">
        <f t="shared" si="2475"/>
        <v>4.6765734265734264E-2</v>
      </c>
      <c r="AV404" s="2">
        <f t="shared" si="3278"/>
        <v>3.954994885782475E-2</v>
      </c>
      <c r="AW404" s="2">
        <f t="shared" si="3109"/>
        <v>4.2712124114154378E-2</v>
      </c>
    </row>
    <row r="405" spans="1:49" ht="13" x14ac:dyDescent="0.15">
      <c r="A405" s="1">
        <v>2022</v>
      </c>
      <c r="B405" s="1" t="s">
        <v>66</v>
      </c>
      <c r="C405" s="1" t="s">
        <v>67</v>
      </c>
      <c r="D405" s="1" t="s">
        <v>68</v>
      </c>
      <c r="E405" s="1">
        <v>57</v>
      </c>
      <c r="F405" s="1">
        <v>6</v>
      </c>
      <c r="G405" s="1">
        <v>63</v>
      </c>
      <c r="H405" s="1">
        <v>1306</v>
      </c>
      <c r="I405" s="1">
        <v>482</v>
      </c>
      <c r="J405" s="1">
        <v>1788</v>
      </c>
      <c r="K405" s="1">
        <v>969</v>
      </c>
      <c r="L405" s="1">
        <v>632</v>
      </c>
      <c r="M405" s="1">
        <v>1601</v>
      </c>
      <c r="N405" s="1">
        <v>469</v>
      </c>
      <c r="O405" s="1">
        <v>355</v>
      </c>
      <c r="P405" s="1">
        <v>824</v>
      </c>
      <c r="Q405" s="1">
        <v>520</v>
      </c>
      <c r="R405" s="1">
        <v>464</v>
      </c>
      <c r="S405" s="1">
        <v>984</v>
      </c>
      <c r="T405" s="1">
        <v>152</v>
      </c>
      <c r="U405" s="1">
        <v>94</v>
      </c>
      <c r="V405" s="1">
        <v>246</v>
      </c>
      <c r="W405" s="1">
        <f t="shared" ref="W405:X405" si="3511">SUM(E405,H405,K405,N405,Q405,T405)</f>
        <v>3473</v>
      </c>
      <c r="X405" s="1">
        <f t="shared" si="3511"/>
        <v>2033</v>
      </c>
      <c r="Y405" s="1">
        <f t="shared" si="2301"/>
        <v>5506</v>
      </c>
      <c r="Z405" s="1">
        <f t="shared" ref="Z405:AA405" si="3512">W405-T405</f>
        <v>3321</v>
      </c>
      <c r="AA405" s="1">
        <f t="shared" si="3512"/>
        <v>1939</v>
      </c>
      <c r="AB405" s="1">
        <f t="shared" si="2303"/>
        <v>5260</v>
      </c>
      <c r="AC405" s="1">
        <f t="shared" ref="AC405:AD405" si="3513">SUM(E405,H405,K405,N405)</f>
        <v>2801</v>
      </c>
      <c r="AD405" s="1">
        <f t="shared" si="3513"/>
        <v>1475</v>
      </c>
      <c r="AE405" s="1">
        <f t="shared" si="2305"/>
        <v>4276</v>
      </c>
      <c r="AF405" s="2">
        <f t="shared" ref="AF405:AH405" si="3514">AC405/Z405</f>
        <v>0.8434206564287865</v>
      </c>
      <c r="AG405" s="2">
        <f t="shared" si="3514"/>
        <v>0.76070139247034552</v>
      </c>
      <c r="AH405" s="2">
        <f t="shared" si="3514"/>
        <v>0.81292775665399242</v>
      </c>
      <c r="AI405" s="1">
        <f t="shared" ref="AI405:AJ405" si="3515">SUM(E405,H405,K405)</f>
        <v>2332</v>
      </c>
      <c r="AJ405" s="1">
        <f t="shared" si="3515"/>
        <v>1120</v>
      </c>
      <c r="AK405" s="1">
        <f t="shared" si="2308"/>
        <v>3452</v>
      </c>
      <c r="AL405" s="2">
        <f t="shared" ref="AL405:AN405" si="3516">AI405/Z405</f>
        <v>0.70219813309244206</v>
      </c>
      <c r="AM405" s="2">
        <f t="shared" si="3516"/>
        <v>0.57761732851985559</v>
      </c>
      <c r="AN405" s="2">
        <f t="shared" si="3516"/>
        <v>0.6562737642585551</v>
      </c>
      <c r="AO405" s="2">
        <f t="shared" ref="AO405:AQ405" si="3517">E405/Z405</f>
        <v>1.7163504968383016E-2</v>
      </c>
      <c r="AP405" s="2">
        <f t="shared" si="3517"/>
        <v>3.0943785456420837E-3</v>
      </c>
      <c r="AQ405" s="2">
        <f t="shared" si="3517"/>
        <v>1.1977186311787073E-2</v>
      </c>
      <c r="AR405" s="2">
        <f t="shared" si="2311"/>
        <v>0.1397169527250828</v>
      </c>
      <c r="AS405" s="2">
        <f t="shared" ref="AS405:AT405" si="3518">R405/AA405</f>
        <v>0.23929860752965446</v>
      </c>
      <c r="AT405" s="2">
        <f t="shared" si="3518"/>
        <v>0.18707224334600761</v>
      </c>
      <c r="AU405" s="2">
        <f t="shared" si="2475"/>
        <v>4.3766196372012671E-2</v>
      </c>
      <c r="AV405" s="2">
        <f t="shared" si="3278"/>
        <v>4.6237088047220855E-2</v>
      </c>
      <c r="AW405" s="2">
        <f t="shared" si="3109"/>
        <v>4.46785325099891E-2</v>
      </c>
    </row>
    <row r="406" spans="1:49" ht="13" x14ac:dyDescent="0.15">
      <c r="A406" s="1">
        <v>2022</v>
      </c>
      <c r="B406" s="1" t="s">
        <v>69</v>
      </c>
      <c r="C406" s="1" t="s">
        <v>70</v>
      </c>
      <c r="D406" s="1" t="s">
        <v>71</v>
      </c>
      <c r="E406" s="1">
        <v>495</v>
      </c>
      <c r="F406" s="1">
        <v>276</v>
      </c>
      <c r="G406" s="1">
        <v>771</v>
      </c>
      <c r="H406" s="1">
        <v>1905</v>
      </c>
      <c r="I406" s="1">
        <v>1841</v>
      </c>
      <c r="J406" s="1">
        <v>3746</v>
      </c>
      <c r="K406" s="1">
        <v>1366</v>
      </c>
      <c r="L406" s="1">
        <v>1317</v>
      </c>
      <c r="M406" s="1">
        <v>2683</v>
      </c>
      <c r="N406" s="1">
        <v>987</v>
      </c>
      <c r="O406" s="1">
        <v>1192</v>
      </c>
      <c r="P406" s="1">
        <v>2179</v>
      </c>
      <c r="Q406" s="1">
        <v>1199</v>
      </c>
      <c r="R406" s="1">
        <v>1345</v>
      </c>
      <c r="S406" s="1">
        <v>2544</v>
      </c>
      <c r="T406" s="1">
        <v>95</v>
      </c>
      <c r="U406" s="1">
        <v>147</v>
      </c>
      <c r="V406" s="1">
        <v>242</v>
      </c>
      <c r="W406" s="1">
        <f t="shared" ref="W406:X406" si="3519">SUM(E406,H406,K406,N406,Q406,T406)</f>
        <v>6047</v>
      </c>
      <c r="X406" s="1">
        <f t="shared" si="3519"/>
        <v>6118</v>
      </c>
      <c r="Y406" s="1">
        <f t="shared" si="2301"/>
        <v>12165</v>
      </c>
      <c r="Z406" s="1">
        <f t="shared" ref="Z406:AA406" si="3520">W406-T406</f>
        <v>5952</v>
      </c>
      <c r="AA406" s="1">
        <f t="shared" si="3520"/>
        <v>5971</v>
      </c>
      <c r="AB406" s="1">
        <f t="shared" si="2303"/>
        <v>11923</v>
      </c>
      <c r="AC406" s="1">
        <f t="shared" ref="AC406:AD406" si="3521">SUM(E406,H406,K406,N406)</f>
        <v>4753</v>
      </c>
      <c r="AD406" s="1">
        <f t="shared" si="3521"/>
        <v>4626</v>
      </c>
      <c r="AE406" s="1">
        <f t="shared" si="2305"/>
        <v>9379</v>
      </c>
      <c r="AF406" s="2">
        <f t="shared" ref="AF406:AH406" si="3522">AC406/Z406</f>
        <v>0.79855510752688175</v>
      </c>
      <c r="AG406" s="2">
        <f t="shared" si="3522"/>
        <v>0.77474459889465752</v>
      </c>
      <c r="AH406" s="2">
        <f t="shared" si="3522"/>
        <v>0.78663088148955795</v>
      </c>
      <c r="AI406" s="1">
        <f t="shared" ref="AI406:AJ406" si="3523">SUM(E406,H406,K406)</f>
        <v>3766</v>
      </c>
      <c r="AJ406" s="1">
        <f t="shared" si="3523"/>
        <v>3434</v>
      </c>
      <c r="AK406" s="1">
        <f t="shared" si="2308"/>
        <v>7200</v>
      </c>
      <c r="AL406" s="2">
        <f t="shared" ref="AL406:AN406" si="3524">AI406/Z406</f>
        <v>0.63272849462365588</v>
      </c>
      <c r="AM406" s="2">
        <f t="shared" si="3524"/>
        <v>0.57511304639088934</v>
      </c>
      <c r="AN406" s="2">
        <f t="shared" si="3524"/>
        <v>0.60387486370879817</v>
      </c>
      <c r="AO406" s="2">
        <f t="shared" ref="AO406:AQ406" si="3525">E406/Z406</f>
        <v>8.3165322580645157E-2</v>
      </c>
      <c r="AP406" s="2">
        <f t="shared" si="3525"/>
        <v>4.6223413163624182E-2</v>
      </c>
      <c r="AQ406" s="2">
        <f t="shared" si="3525"/>
        <v>6.4664933322150467E-2</v>
      </c>
      <c r="AR406" s="2">
        <f t="shared" si="2311"/>
        <v>0.22597446236559141</v>
      </c>
      <c r="AS406" s="2">
        <f t="shared" ref="AS406:AT406" si="3526">R406/AA406</f>
        <v>0.22525540110534248</v>
      </c>
      <c r="AT406" s="2">
        <f t="shared" si="3526"/>
        <v>0.21336911851044199</v>
      </c>
      <c r="AU406" s="2">
        <f t="shared" si="2475"/>
        <v>1.5710269555151316E-2</v>
      </c>
      <c r="AV406" s="2">
        <f t="shared" si="3278"/>
        <v>2.4027459954233409E-2</v>
      </c>
      <c r="AW406" s="2">
        <f t="shared" si="3109"/>
        <v>1.9893136046033703E-2</v>
      </c>
    </row>
    <row r="407" spans="1:49" ht="13" x14ac:dyDescent="0.15">
      <c r="A407" s="1">
        <v>2022</v>
      </c>
      <c r="B407" s="1" t="s">
        <v>69</v>
      </c>
      <c r="C407" s="1" t="s">
        <v>50</v>
      </c>
      <c r="D407" s="1" t="s">
        <v>72</v>
      </c>
      <c r="E407" s="1">
        <v>10776</v>
      </c>
      <c r="F407" s="1">
        <v>10812</v>
      </c>
      <c r="G407" s="1">
        <v>21588</v>
      </c>
      <c r="H407" s="1">
        <v>15330</v>
      </c>
      <c r="I407" s="1">
        <v>19384</v>
      </c>
      <c r="J407" s="1">
        <v>34714</v>
      </c>
      <c r="K407" s="1">
        <v>3029</v>
      </c>
      <c r="L407" s="1">
        <v>4079</v>
      </c>
      <c r="M407" s="1">
        <v>7108</v>
      </c>
      <c r="N407" s="1">
        <v>1893</v>
      </c>
      <c r="O407" s="1">
        <v>2666</v>
      </c>
      <c r="P407" s="1">
        <v>4559</v>
      </c>
      <c r="Q407" s="1">
        <v>1187</v>
      </c>
      <c r="R407" s="1">
        <v>1343</v>
      </c>
      <c r="S407" s="1">
        <v>2530</v>
      </c>
      <c r="T407" s="1">
        <v>461</v>
      </c>
      <c r="U407" s="1">
        <v>606</v>
      </c>
      <c r="V407" s="1">
        <v>1067</v>
      </c>
      <c r="W407" s="1">
        <f t="shared" ref="W407:X407" si="3527">SUM(E407,H407,K407,N407,Q407,T407)</f>
        <v>32676</v>
      </c>
      <c r="X407" s="1">
        <f t="shared" si="3527"/>
        <v>38890</v>
      </c>
      <c r="Y407" s="1">
        <f t="shared" si="2301"/>
        <v>71566</v>
      </c>
      <c r="Z407" s="1">
        <f t="shared" ref="Z407:AA407" si="3528">W407-T407</f>
        <v>32215</v>
      </c>
      <c r="AA407" s="1">
        <f t="shared" si="3528"/>
        <v>38284</v>
      </c>
      <c r="AB407" s="1">
        <f t="shared" si="2303"/>
        <v>70499</v>
      </c>
      <c r="AC407" s="1">
        <f t="shared" ref="AC407:AD407" si="3529">SUM(E407,H407,K407,N407)</f>
        <v>31028</v>
      </c>
      <c r="AD407" s="1">
        <f t="shared" si="3529"/>
        <v>36941</v>
      </c>
      <c r="AE407" s="1">
        <f t="shared" si="2305"/>
        <v>67969</v>
      </c>
      <c r="AF407" s="2">
        <f t="shared" ref="AF407:AH407" si="3530">AC407/Z407</f>
        <v>0.96315381033679959</v>
      </c>
      <c r="AG407" s="2">
        <f t="shared" si="3530"/>
        <v>0.96492007104795741</v>
      </c>
      <c r="AH407" s="2">
        <f t="shared" si="3530"/>
        <v>0.96411296614136366</v>
      </c>
      <c r="AI407" s="1">
        <f t="shared" ref="AI407:AJ407" si="3531">SUM(E407,H407,K407)</f>
        <v>29135</v>
      </c>
      <c r="AJ407" s="1">
        <f t="shared" si="3531"/>
        <v>34275</v>
      </c>
      <c r="AK407" s="1">
        <f t="shared" si="2308"/>
        <v>63410</v>
      </c>
      <c r="AL407" s="2">
        <f t="shared" ref="AL407:AN407" si="3532">AI407/Z407</f>
        <v>0.90439236380568055</v>
      </c>
      <c r="AM407" s="2">
        <f t="shared" si="3532"/>
        <v>0.89528262459513108</v>
      </c>
      <c r="AN407" s="2">
        <f t="shared" si="3532"/>
        <v>0.89944538220400294</v>
      </c>
      <c r="AO407" s="2">
        <f t="shared" ref="AO407:AQ407" si="3533">E407/Z407</f>
        <v>0.33450256091882663</v>
      </c>
      <c r="AP407" s="2">
        <f t="shared" si="3533"/>
        <v>0.28241563055062169</v>
      </c>
      <c r="AQ407" s="2">
        <f t="shared" si="3533"/>
        <v>0.30621710946254554</v>
      </c>
      <c r="AR407" s="2">
        <f t="shared" si="2311"/>
        <v>4.1688654353562005E-2</v>
      </c>
      <c r="AS407" s="2">
        <f t="shared" ref="AS407:AT407" si="3534">R407/AA407</f>
        <v>3.5079928952042629E-2</v>
      </c>
      <c r="AT407" s="2">
        <f t="shared" si="3534"/>
        <v>3.5887033858636293E-2</v>
      </c>
      <c r="AU407" s="2">
        <f t="shared" si="2475"/>
        <v>1.4108213979679275E-2</v>
      </c>
      <c r="AV407" s="2">
        <f t="shared" si="3278"/>
        <v>1.5582411931087684E-2</v>
      </c>
      <c r="AW407" s="2">
        <f t="shared" si="3109"/>
        <v>1.4909314478942514E-2</v>
      </c>
    </row>
    <row r="408" spans="1:49" ht="13" x14ac:dyDescent="0.15">
      <c r="A408" s="1">
        <v>2022</v>
      </c>
      <c r="B408" s="1" t="s">
        <v>66</v>
      </c>
      <c r="C408" s="1" t="s">
        <v>67</v>
      </c>
      <c r="D408" s="1" t="s">
        <v>73</v>
      </c>
      <c r="E408" s="1">
        <v>103</v>
      </c>
      <c r="F408" s="1">
        <v>36</v>
      </c>
      <c r="G408" s="1">
        <v>139</v>
      </c>
      <c r="H408" s="1">
        <v>1655</v>
      </c>
      <c r="I408" s="1">
        <v>763</v>
      </c>
      <c r="J408" s="1">
        <v>2418</v>
      </c>
      <c r="K408" s="1">
        <v>1109</v>
      </c>
      <c r="L408" s="1">
        <v>759</v>
      </c>
      <c r="M408" s="1">
        <v>1868</v>
      </c>
      <c r="N408" s="1">
        <v>546</v>
      </c>
      <c r="O408" s="1">
        <v>445</v>
      </c>
      <c r="P408" s="1">
        <v>991</v>
      </c>
      <c r="Q408" s="1">
        <v>493</v>
      </c>
      <c r="R408" s="1">
        <v>471</v>
      </c>
      <c r="S408" s="1">
        <v>964</v>
      </c>
      <c r="T408" s="1">
        <v>135</v>
      </c>
      <c r="U408" s="1">
        <v>119</v>
      </c>
      <c r="V408" s="1">
        <v>254</v>
      </c>
      <c r="W408" s="1">
        <f t="shared" ref="W408:X408" si="3535">SUM(E408,H408,K408,N408,Q408,T408)</f>
        <v>4041</v>
      </c>
      <c r="X408" s="1">
        <f t="shared" si="3535"/>
        <v>2593</v>
      </c>
      <c r="Y408" s="1">
        <f t="shared" si="2301"/>
        <v>6634</v>
      </c>
      <c r="Z408" s="1">
        <f t="shared" ref="Z408:AA408" si="3536">W408-T408</f>
        <v>3906</v>
      </c>
      <c r="AA408" s="1">
        <f t="shared" si="3536"/>
        <v>2474</v>
      </c>
      <c r="AB408" s="1">
        <f t="shared" si="2303"/>
        <v>6380</v>
      </c>
      <c r="AC408" s="1">
        <f t="shared" ref="AC408:AD408" si="3537">SUM(E408,H408,K408,N408)</f>
        <v>3413</v>
      </c>
      <c r="AD408" s="1">
        <f t="shared" si="3537"/>
        <v>2003</v>
      </c>
      <c r="AE408" s="1">
        <f t="shared" si="2305"/>
        <v>5416</v>
      </c>
      <c r="AF408" s="2">
        <f t="shared" ref="AF408:AH408" si="3538">AC408/Z408</f>
        <v>0.87378392217101897</v>
      </c>
      <c r="AG408" s="2">
        <f t="shared" si="3538"/>
        <v>0.80962004850444624</v>
      </c>
      <c r="AH408" s="2">
        <f t="shared" si="3538"/>
        <v>0.84890282131661443</v>
      </c>
      <c r="AI408" s="1">
        <f t="shared" ref="AI408:AJ408" si="3539">SUM(E408,H408,K408)</f>
        <v>2867</v>
      </c>
      <c r="AJ408" s="1">
        <f t="shared" si="3539"/>
        <v>1558</v>
      </c>
      <c r="AK408" s="1">
        <f t="shared" si="2308"/>
        <v>4425</v>
      </c>
      <c r="AL408" s="2">
        <f t="shared" ref="AL408:AN408" si="3540">AI408/Z408</f>
        <v>0.73399897593445984</v>
      </c>
      <c r="AM408" s="2">
        <f t="shared" si="3540"/>
        <v>0.62974939369442196</v>
      </c>
      <c r="AN408" s="2">
        <f t="shared" si="3540"/>
        <v>0.69357366771159878</v>
      </c>
      <c r="AO408" s="2">
        <f t="shared" ref="AO408:AQ408" si="3541">E408/Z408</f>
        <v>2.636968766001024E-2</v>
      </c>
      <c r="AP408" s="2">
        <f t="shared" si="3541"/>
        <v>1.4551333872271624E-2</v>
      </c>
      <c r="AQ408" s="2">
        <f t="shared" si="3541"/>
        <v>2.1786833855799374E-2</v>
      </c>
      <c r="AR408" s="2">
        <f t="shared" si="2311"/>
        <v>0.1205837173579109</v>
      </c>
      <c r="AS408" s="2">
        <f t="shared" ref="AS408:AT408" si="3542">R408/AA408</f>
        <v>0.19037995149555376</v>
      </c>
      <c r="AT408" s="2">
        <f t="shared" si="3542"/>
        <v>0.15109717868338557</v>
      </c>
      <c r="AU408" s="2">
        <f t="shared" si="2475"/>
        <v>3.34075723830735E-2</v>
      </c>
      <c r="AV408" s="2">
        <f t="shared" si="3278"/>
        <v>4.5892788276128034E-2</v>
      </c>
      <c r="AW408" s="2">
        <f t="shared" si="3109"/>
        <v>3.8287609285498944E-2</v>
      </c>
    </row>
    <row r="409" spans="1:49" ht="13" x14ac:dyDescent="0.15">
      <c r="A409" s="1">
        <v>2022</v>
      </c>
      <c r="B409" s="1" t="s">
        <v>49</v>
      </c>
      <c r="C409" s="1" t="s">
        <v>67</v>
      </c>
      <c r="D409" s="1" t="s">
        <v>197</v>
      </c>
      <c r="E409" s="1">
        <v>35</v>
      </c>
      <c r="F409" s="1">
        <v>16</v>
      </c>
      <c r="G409" s="1">
        <v>51</v>
      </c>
      <c r="H409" s="1">
        <v>626</v>
      </c>
      <c r="I409" s="1">
        <v>293</v>
      </c>
      <c r="J409" s="1">
        <v>919</v>
      </c>
      <c r="K409" s="1">
        <v>517</v>
      </c>
      <c r="L409" s="1">
        <v>282</v>
      </c>
      <c r="M409" s="1">
        <v>799</v>
      </c>
      <c r="N409" s="1">
        <v>325</v>
      </c>
      <c r="O409" s="1">
        <v>188</v>
      </c>
      <c r="P409" s="1">
        <v>513</v>
      </c>
      <c r="Q409" s="1">
        <v>311</v>
      </c>
      <c r="R409" s="1">
        <v>208</v>
      </c>
      <c r="S409" s="1">
        <v>519</v>
      </c>
      <c r="T409" s="1">
        <v>105</v>
      </c>
      <c r="U409" s="1">
        <v>49</v>
      </c>
      <c r="V409" s="1">
        <v>154</v>
      </c>
      <c r="W409" s="1">
        <f t="shared" ref="W409:X424" si="3543">SUM(E409,H409,K409,N409,Q409,T409)</f>
        <v>1919</v>
      </c>
      <c r="X409" s="1">
        <f t="shared" si="3543"/>
        <v>1036</v>
      </c>
      <c r="Y409" s="1">
        <f t="shared" si="2301"/>
        <v>2955</v>
      </c>
      <c r="Z409" s="1">
        <f t="shared" ref="Z409:AA424" si="3544">W409-T409</f>
        <v>1814</v>
      </c>
      <c r="AA409" s="1">
        <f t="shared" si="3544"/>
        <v>987</v>
      </c>
      <c r="AB409" s="1">
        <f t="shared" si="2303"/>
        <v>2801</v>
      </c>
      <c r="AC409" s="1">
        <f t="shared" ref="AC409:AD424" si="3545">SUM(E409,H409,K409,N409)</f>
        <v>1503</v>
      </c>
      <c r="AD409" s="1">
        <f t="shared" si="3545"/>
        <v>779</v>
      </c>
      <c r="AE409" s="1">
        <f t="shared" si="2305"/>
        <v>2282</v>
      </c>
      <c r="AF409" s="2">
        <f t="shared" ref="AF409:AH424" si="3546">AC409/Z409</f>
        <v>0.82855567805953689</v>
      </c>
      <c r="AG409" s="2">
        <f t="shared" si="3546"/>
        <v>0.7892603850050659</v>
      </c>
      <c r="AH409" s="2">
        <f t="shared" si="3546"/>
        <v>0.81470903248839699</v>
      </c>
      <c r="AI409" s="1">
        <f t="shared" ref="AI409:AJ424" si="3547">SUM(E409,H409,K409)</f>
        <v>1178</v>
      </c>
      <c r="AJ409" s="1">
        <f t="shared" si="3547"/>
        <v>591</v>
      </c>
      <c r="AK409" s="1">
        <f t="shared" si="2308"/>
        <v>1769</v>
      </c>
      <c r="AL409" s="2">
        <f t="shared" ref="AL409:AN424" si="3548">AI409/Z409</f>
        <v>0.64939360529217205</v>
      </c>
      <c r="AM409" s="2">
        <f t="shared" si="3548"/>
        <v>0.59878419452887544</v>
      </c>
      <c r="AN409" s="2">
        <f t="shared" si="3548"/>
        <v>0.63156015708675473</v>
      </c>
      <c r="AO409" s="2">
        <f t="shared" ref="AO409:AQ424" si="3549">E409/Z409</f>
        <v>1.9294377067254686E-2</v>
      </c>
      <c r="AP409" s="2">
        <f t="shared" si="3549"/>
        <v>1.6210739614994935E-2</v>
      </c>
      <c r="AQ409" s="2">
        <f t="shared" si="3549"/>
        <v>1.820778293466619E-2</v>
      </c>
      <c r="AR409" s="2">
        <f t="shared" si="2311"/>
        <v>0.11466372657111357</v>
      </c>
      <c r="AS409" s="2">
        <f t="shared" ref="AS409:AT424" si="3550">R409/AA409</f>
        <v>0.21073961499493415</v>
      </c>
      <c r="AT409" s="2">
        <f t="shared" si="3550"/>
        <v>0.18529096751160301</v>
      </c>
      <c r="AU409" s="2">
        <f t="shared" si="2475"/>
        <v>5.471599791558103E-2</v>
      </c>
      <c r="AV409" s="2">
        <f t="shared" si="3278"/>
        <v>4.72972972972973E-2</v>
      </c>
      <c r="AW409" s="2">
        <f t="shared" si="3109"/>
        <v>5.2115059221658204E-2</v>
      </c>
    </row>
    <row r="410" spans="1:49" ht="15.75" customHeight="1" x14ac:dyDescent="0.15">
      <c r="A410" s="1">
        <v>2025</v>
      </c>
      <c r="C410" s="3" t="s">
        <v>75</v>
      </c>
      <c r="D410" t="s">
        <v>223</v>
      </c>
      <c r="E410">
        <v>20</v>
      </c>
      <c r="F410">
        <v>7</v>
      </c>
      <c r="G410">
        <v>27</v>
      </c>
      <c r="H410">
        <v>414</v>
      </c>
      <c r="I410">
        <v>260</v>
      </c>
      <c r="J410">
        <v>674</v>
      </c>
      <c r="K410">
        <v>244</v>
      </c>
      <c r="L410">
        <v>210</v>
      </c>
      <c r="M410">
        <v>454</v>
      </c>
      <c r="N410">
        <v>94</v>
      </c>
      <c r="O410">
        <v>84</v>
      </c>
      <c r="P410">
        <v>178</v>
      </c>
      <c r="Q410">
        <v>85</v>
      </c>
      <c r="R410">
        <v>96</v>
      </c>
      <c r="S410">
        <v>181</v>
      </c>
      <c r="T410">
        <v>8</v>
      </c>
      <c r="U410">
        <v>10</v>
      </c>
      <c r="V410">
        <v>18</v>
      </c>
      <c r="W410" s="1">
        <f t="shared" si="3543"/>
        <v>865</v>
      </c>
      <c r="X410" s="1">
        <f t="shared" si="3543"/>
        <v>667</v>
      </c>
      <c r="Y410" s="1">
        <f t="shared" si="2301"/>
        <v>1532</v>
      </c>
      <c r="Z410" s="1">
        <f t="shared" si="3544"/>
        <v>857</v>
      </c>
      <c r="AA410" s="1">
        <f t="shared" si="3544"/>
        <v>657</v>
      </c>
      <c r="AB410" s="1">
        <f t="shared" si="2303"/>
        <v>1514</v>
      </c>
      <c r="AC410" s="1">
        <f t="shared" si="3545"/>
        <v>772</v>
      </c>
      <c r="AD410" s="1">
        <f t="shared" si="3545"/>
        <v>561</v>
      </c>
      <c r="AE410" s="1">
        <f t="shared" si="2305"/>
        <v>1333</v>
      </c>
      <c r="AF410" s="2">
        <f t="shared" si="3546"/>
        <v>0.90081680280046672</v>
      </c>
      <c r="AG410" s="2">
        <f t="shared" si="3546"/>
        <v>0.85388127853881279</v>
      </c>
      <c r="AH410" s="2">
        <f t="shared" si="3546"/>
        <v>0.88044914134742402</v>
      </c>
      <c r="AI410" s="1">
        <f t="shared" si="3547"/>
        <v>678</v>
      </c>
      <c r="AJ410" s="1">
        <f t="shared" si="3547"/>
        <v>477</v>
      </c>
      <c r="AK410" s="1">
        <f t="shared" si="2308"/>
        <v>1155</v>
      </c>
      <c r="AL410" s="2">
        <f t="shared" si="3548"/>
        <v>0.79113185530921826</v>
      </c>
      <c r="AM410" s="2">
        <f t="shared" si="3548"/>
        <v>0.72602739726027399</v>
      </c>
      <c r="AN410" s="2">
        <f t="shared" si="3548"/>
        <v>0.7628797886393659</v>
      </c>
      <c r="AO410" s="2">
        <f t="shared" si="3549"/>
        <v>2.3337222870478413E-2</v>
      </c>
      <c r="AP410" s="2">
        <f t="shared" si="3549"/>
        <v>1.06544901065449E-2</v>
      </c>
      <c r="AQ410" s="2">
        <f t="shared" si="3549"/>
        <v>1.7833553500660501E-2</v>
      </c>
      <c r="AR410" s="2">
        <f t="shared" si="2311"/>
        <v>0.11201866977829639</v>
      </c>
      <c r="AS410" s="2">
        <f t="shared" si="3550"/>
        <v>0.14611872146118721</v>
      </c>
      <c r="AT410" s="2">
        <f t="shared" si="3550"/>
        <v>0.11955085865257596</v>
      </c>
      <c r="AU410" s="2">
        <f t="shared" si="2475"/>
        <v>9.2485549132947983E-3</v>
      </c>
      <c r="AV410" s="2">
        <f t="shared" si="3278"/>
        <v>1.4992503748125937E-2</v>
      </c>
      <c r="AW410" s="2">
        <f t="shared" si="3109"/>
        <v>1.1749347258485639E-2</v>
      </c>
    </row>
    <row r="411" spans="1:49" ht="15.75" customHeight="1" x14ac:dyDescent="0.15">
      <c r="A411" s="1">
        <v>2025</v>
      </c>
      <c r="C411" s="3" t="s">
        <v>67</v>
      </c>
      <c r="D411" t="s">
        <v>224</v>
      </c>
      <c r="E411">
        <v>78</v>
      </c>
      <c r="F411">
        <v>33</v>
      </c>
      <c r="G411">
        <v>111</v>
      </c>
      <c r="H411">
        <v>931</v>
      </c>
      <c r="I411">
        <v>571</v>
      </c>
      <c r="J411">
        <v>1502</v>
      </c>
      <c r="K411">
        <v>1094</v>
      </c>
      <c r="L411">
        <v>813</v>
      </c>
      <c r="M411">
        <v>1907</v>
      </c>
      <c r="N411">
        <v>568</v>
      </c>
      <c r="O411">
        <v>440</v>
      </c>
      <c r="P411">
        <v>1008</v>
      </c>
      <c r="Q411">
        <v>594</v>
      </c>
      <c r="R411">
        <v>703</v>
      </c>
      <c r="S411">
        <v>1297</v>
      </c>
      <c r="T411">
        <v>35</v>
      </c>
      <c r="U411">
        <v>36</v>
      </c>
      <c r="V411">
        <v>71</v>
      </c>
      <c r="W411" s="1">
        <f t="shared" si="3543"/>
        <v>3300</v>
      </c>
      <c r="X411" s="1">
        <f t="shared" si="3543"/>
        <v>2596</v>
      </c>
      <c r="Y411" s="1">
        <f t="shared" ref="Y411:Y474" si="3551">SUM(W411:X411)</f>
        <v>5896</v>
      </c>
      <c r="Z411" s="1">
        <f t="shared" si="3544"/>
        <v>3265</v>
      </c>
      <c r="AA411" s="1">
        <f t="shared" si="3544"/>
        <v>2560</v>
      </c>
      <c r="AB411" s="1">
        <f t="shared" ref="AB411:AB474" si="3552">SUM(Z411:AA411)</f>
        <v>5825</v>
      </c>
      <c r="AC411" s="1">
        <f t="shared" si="3545"/>
        <v>2671</v>
      </c>
      <c r="AD411" s="1">
        <f t="shared" si="3545"/>
        <v>1857</v>
      </c>
      <c r="AE411" s="1">
        <f t="shared" ref="AE411:AE474" si="3553">SUM(AC411:AD411)</f>
        <v>4528</v>
      </c>
      <c r="AF411" s="2">
        <f t="shared" si="3546"/>
        <v>0.81807044410413476</v>
      </c>
      <c r="AG411" s="2">
        <f t="shared" si="3546"/>
        <v>0.72539062499999996</v>
      </c>
      <c r="AH411" s="2">
        <f t="shared" si="3546"/>
        <v>0.77733905579399143</v>
      </c>
      <c r="AI411" s="1">
        <f t="shared" si="3547"/>
        <v>2103</v>
      </c>
      <c r="AJ411" s="1">
        <f t="shared" si="3547"/>
        <v>1417</v>
      </c>
      <c r="AK411" s="1">
        <f t="shared" ref="AK411:AK474" si="3554">SUM(AI411:AJ411)</f>
        <v>3520</v>
      </c>
      <c r="AL411" s="2">
        <f t="shared" si="3548"/>
        <v>0.64410413476263395</v>
      </c>
      <c r="AM411" s="2">
        <f t="shared" si="3548"/>
        <v>0.55351562499999996</v>
      </c>
      <c r="AN411" s="2">
        <f t="shared" si="3548"/>
        <v>0.60429184549356219</v>
      </c>
      <c r="AO411" s="2">
        <f t="shared" si="3549"/>
        <v>2.3889739663093414E-2</v>
      </c>
      <c r="AP411" s="2">
        <f t="shared" si="3549"/>
        <v>1.2890624999999999E-2</v>
      </c>
      <c r="AQ411" s="2">
        <f t="shared" si="3549"/>
        <v>1.9055793991416308E-2</v>
      </c>
      <c r="AR411" s="2">
        <f t="shared" ref="AR411:AR474" si="3555">R411/Z411</f>
        <v>0.21531393568147014</v>
      </c>
      <c r="AS411" s="2">
        <f t="shared" si="3550"/>
        <v>0.27460937499999999</v>
      </c>
      <c r="AT411" s="2">
        <f t="shared" si="3550"/>
        <v>0.22266094420600857</v>
      </c>
      <c r="AU411" s="2">
        <f t="shared" ref="AU411:AW474" si="3556">T411/W411</f>
        <v>1.0606060606060607E-2</v>
      </c>
      <c r="AV411" s="2">
        <f t="shared" si="3278"/>
        <v>1.386748844375963E-2</v>
      </c>
      <c r="AW411" s="2">
        <f t="shared" si="3109"/>
        <v>1.2042062415196744E-2</v>
      </c>
    </row>
    <row r="412" spans="1:49" ht="15.75" customHeight="1" x14ac:dyDescent="0.15">
      <c r="A412" s="1">
        <v>2025</v>
      </c>
      <c r="C412" s="3" t="s">
        <v>78</v>
      </c>
      <c r="D412" t="s">
        <v>225</v>
      </c>
      <c r="E412">
        <v>85</v>
      </c>
      <c r="F412">
        <v>47</v>
      </c>
      <c r="G412">
        <v>132</v>
      </c>
      <c r="H412">
        <v>602</v>
      </c>
      <c r="I412">
        <v>563</v>
      </c>
      <c r="J412">
        <v>1165</v>
      </c>
      <c r="K412">
        <v>602</v>
      </c>
      <c r="L412">
        <v>530</v>
      </c>
      <c r="M412">
        <v>1132</v>
      </c>
      <c r="N412">
        <v>347</v>
      </c>
      <c r="O412">
        <v>364</v>
      </c>
      <c r="P412">
        <v>711</v>
      </c>
      <c r="Q412">
        <v>337</v>
      </c>
      <c r="R412">
        <v>355</v>
      </c>
      <c r="S412">
        <v>692</v>
      </c>
      <c r="T412">
        <v>31</v>
      </c>
      <c r="U412">
        <v>26</v>
      </c>
      <c r="V412">
        <v>57</v>
      </c>
      <c r="W412" s="1">
        <f t="shared" si="3543"/>
        <v>2004</v>
      </c>
      <c r="X412" s="1">
        <f t="shared" si="3543"/>
        <v>1885</v>
      </c>
      <c r="Y412" s="1">
        <f t="shared" si="3551"/>
        <v>3889</v>
      </c>
      <c r="Z412" s="1">
        <f t="shared" si="3544"/>
        <v>1973</v>
      </c>
      <c r="AA412" s="1">
        <f t="shared" si="3544"/>
        <v>1859</v>
      </c>
      <c r="AB412" s="1">
        <f t="shared" si="3552"/>
        <v>3832</v>
      </c>
      <c r="AC412" s="1">
        <f t="shared" si="3545"/>
        <v>1636</v>
      </c>
      <c r="AD412" s="1">
        <f t="shared" si="3545"/>
        <v>1504</v>
      </c>
      <c r="AE412" s="1">
        <f t="shared" si="3553"/>
        <v>3140</v>
      </c>
      <c r="AF412" s="2">
        <f t="shared" si="3546"/>
        <v>0.82919412062848452</v>
      </c>
      <c r="AG412" s="2">
        <f t="shared" si="3546"/>
        <v>0.80903711672942447</v>
      </c>
      <c r="AH412" s="2">
        <f t="shared" si="3546"/>
        <v>0.81941544885177453</v>
      </c>
      <c r="AI412" s="1">
        <f t="shared" si="3547"/>
        <v>1289</v>
      </c>
      <c r="AJ412" s="1">
        <f t="shared" si="3547"/>
        <v>1140</v>
      </c>
      <c r="AK412" s="1">
        <f t="shared" si="3554"/>
        <v>2429</v>
      </c>
      <c r="AL412" s="2">
        <f t="shared" si="3548"/>
        <v>0.65331981753674606</v>
      </c>
      <c r="AM412" s="2">
        <f t="shared" si="3548"/>
        <v>0.61323292092522863</v>
      </c>
      <c r="AN412" s="2">
        <f t="shared" si="3548"/>
        <v>0.63387265135699378</v>
      </c>
      <c r="AO412" s="2">
        <f t="shared" si="3549"/>
        <v>4.3081601621895588E-2</v>
      </c>
      <c r="AP412" s="2">
        <f t="shared" si="3549"/>
        <v>2.5282409897794515E-2</v>
      </c>
      <c r="AQ412" s="2">
        <f t="shared" si="3549"/>
        <v>3.444676409185804E-2</v>
      </c>
      <c r="AR412" s="2">
        <f t="shared" si="3555"/>
        <v>0.17992904206791688</v>
      </c>
      <c r="AS412" s="2">
        <f t="shared" si="3550"/>
        <v>0.19096288327057559</v>
      </c>
      <c r="AT412" s="2">
        <f t="shared" si="3550"/>
        <v>0.18058455114822547</v>
      </c>
      <c r="AU412" s="2">
        <f t="shared" si="3556"/>
        <v>1.5469061876247504E-2</v>
      </c>
      <c r="AV412" s="2">
        <f t="shared" si="3278"/>
        <v>1.3793103448275862E-2</v>
      </c>
      <c r="AW412" s="2">
        <f t="shared" si="3109"/>
        <v>1.4656724093597326E-2</v>
      </c>
    </row>
    <row r="413" spans="1:49" ht="15.75" customHeight="1" x14ac:dyDescent="0.15">
      <c r="A413" s="1">
        <v>2025</v>
      </c>
      <c r="D413" t="s">
        <v>226</v>
      </c>
      <c r="E413">
        <v>89</v>
      </c>
      <c r="F413">
        <v>54</v>
      </c>
      <c r="G413">
        <v>143</v>
      </c>
      <c r="H413">
        <v>838</v>
      </c>
      <c r="I413">
        <v>708</v>
      </c>
      <c r="J413">
        <v>1546</v>
      </c>
      <c r="K413">
        <v>418</v>
      </c>
      <c r="L413">
        <v>381</v>
      </c>
      <c r="M413">
        <v>799</v>
      </c>
      <c r="N413">
        <v>219</v>
      </c>
      <c r="O413">
        <v>253</v>
      </c>
      <c r="P413">
        <v>472</v>
      </c>
      <c r="Q413">
        <v>317</v>
      </c>
      <c r="R413">
        <v>347</v>
      </c>
      <c r="S413">
        <v>664</v>
      </c>
      <c r="T413">
        <v>23</v>
      </c>
      <c r="U413">
        <v>27</v>
      </c>
      <c r="V413">
        <v>50</v>
      </c>
      <c r="W413" s="1">
        <f t="shared" si="3543"/>
        <v>1904</v>
      </c>
      <c r="X413" s="1">
        <f t="shared" si="3543"/>
        <v>1770</v>
      </c>
      <c r="Y413" s="1">
        <f t="shared" si="3551"/>
        <v>3674</v>
      </c>
      <c r="Z413" s="1">
        <f t="shared" si="3544"/>
        <v>1881</v>
      </c>
      <c r="AA413" s="1">
        <f t="shared" si="3544"/>
        <v>1743</v>
      </c>
      <c r="AB413" s="1">
        <f t="shared" si="3552"/>
        <v>3624</v>
      </c>
      <c r="AC413" s="1">
        <f t="shared" si="3545"/>
        <v>1564</v>
      </c>
      <c r="AD413" s="1">
        <f t="shared" si="3545"/>
        <v>1396</v>
      </c>
      <c r="AE413" s="1">
        <f t="shared" si="3553"/>
        <v>2960</v>
      </c>
      <c r="AF413" s="2">
        <f t="shared" si="3546"/>
        <v>0.83147262094630514</v>
      </c>
      <c r="AG413" s="2">
        <f t="shared" si="3546"/>
        <v>0.8009179575444636</v>
      </c>
      <c r="AH413" s="2">
        <f t="shared" si="3546"/>
        <v>0.81677704194260481</v>
      </c>
      <c r="AI413" s="1">
        <f t="shared" si="3547"/>
        <v>1345</v>
      </c>
      <c r="AJ413" s="1">
        <f t="shared" si="3547"/>
        <v>1143</v>
      </c>
      <c r="AK413" s="1">
        <f t="shared" si="3554"/>
        <v>2488</v>
      </c>
      <c r="AL413" s="2">
        <f t="shared" si="3548"/>
        <v>0.71504518872939926</v>
      </c>
      <c r="AM413" s="2">
        <f t="shared" si="3548"/>
        <v>0.65576592082616181</v>
      </c>
      <c r="AN413" s="2">
        <f t="shared" si="3548"/>
        <v>0.68653421633554079</v>
      </c>
      <c r="AO413" s="2">
        <f t="shared" si="3549"/>
        <v>4.731525784157363E-2</v>
      </c>
      <c r="AP413" s="2">
        <f t="shared" si="3549"/>
        <v>3.098106712564544E-2</v>
      </c>
      <c r="AQ413" s="2">
        <f t="shared" si="3549"/>
        <v>3.945916114790287E-2</v>
      </c>
      <c r="AR413" s="2">
        <f t="shared" si="3555"/>
        <v>0.18447634237107921</v>
      </c>
      <c r="AS413" s="2">
        <f t="shared" si="3550"/>
        <v>0.19908204245553643</v>
      </c>
      <c r="AT413" s="2">
        <f t="shared" si="3550"/>
        <v>0.18322295805739514</v>
      </c>
      <c r="AU413" s="2">
        <f t="shared" si="3556"/>
        <v>1.207983193277311E-2</v>
      </c>
      <c r="AV413" s="2">
        <f t="shared" si="3278"/>
        <v>1.5254237288135594E-2</v>
      </c>
      <c r="AW413" s="2">
        <f t="shared" si="3109"/>
        <v>1.3609145345672292E-2</v>
      </c>
    </row>
    <row r="414" spans="1:49" ht="15.75" customHeight="1" x14ac:dyDescent="0.15">
      <c r="A414" s="1">
        <v>2025</v>
      </c>
      <c r="D414" t="s">
        <v>227</v>
      </c>
      <c r="E414">
        <v>36</v>
      </c>
      <c r="F414">
        <v>21</v>
      </c>
      <c r="G414">
        <v>57</v>
      </c>
      <c r="H414">
        <v>432</v>
      </c>
      <c r="I414">
        <v>378</v>
      </c>
      <c r="J414">
        <v>810</v>
      </c>
      <c r="K414">
        <v>356</v>
      </c>
      <c r="L414">
        <v>286</v>
      </c>
      <c r="M414">
        <v>642</v>
      </c>
      <c r="N414">
        <v>160</v>
      </c>
      <c r="O414">
        <v>201</v>
      </c>
      <c r="P414">
        <v>361</v>
      </c>
      <c r="Q414">
        <v>309</v>
      </c>
      <c r="R414">
        <v>299</v>
      </c>
      <c r="S414">
        <v>608</v>
      </c>
      <c r="T414">
        <v>12</v>
      </c>
      <c r="U414">
        <v>27</v>
      </c>
      <c r="V414">
        <v>39</v>
      </c>
      <c r="W414" s="1">
        <f t="shared" si="3543"/>
        <v>1305</v>
      </c>
      <c r="X414" s="1">
        <f t="shared" si="3543"/>
        <v>1212</v>
      </c>
      <c r="Y414" s="1">
        <f t="shared" si="3551"/>
        <v>2517</v>
      </c>
      <c r="Z414" s="1">
        <f t="shared" si="3544"/>
        <v>1293</v>
      </c>
      <c r="AA414" s="1">
        <f t="shared" si="3544"/>
        <v>1185</v>
      </c>
      <c r="AB414" s="1">
        <f t="shared" si="3552"/>
        <v>2478</v>
      </c>
      <c r="AC414" s="1">
        <f t="shared" si="3545"/>
        <v>984</v>
      </c>
      <c r="AD414" s="1">
        <f t="shared" si="3545"/>
        <v>886</v>
      </c>
      <c r="AE414" s="1">
        <f t="shared" si="3553"/>
        <v>1870</v>
      </c>
      <c r="AF414" s="2">
        <f t="shared" si="3546"/>
        <v>0.76102088167053361</v>
      </c>
      <c r="AG414" s="2">
        <f t="shared" si="3546"/>
        <v>0.74767932489451472</v>
      </c>
      <c r="AH414" s="2">
        <f t="shared" si="3546"/>
        <v>0.75464083938660209</v>
      </c>
      <c r="AI414" s="1">
        <f t="shared" si="3547"/>
        <v>824</v>
      </c>
      <c r="AJ414" s="1">
        <f t="shared" si="3547"/>
        <v>685</v>
      </c>
      <c r="AK414" s="1">
        <f t="shared" si="3554"/>
        <v>1509</v>
      </c>
      <c r="AL414" s="2">
        <f t="shared" si="3548"/>
        <v>0.63727764887857696</v>
      </c>
      <c r="AM414" s="2">
        <f t="shared" si="3548"/>
        <v>0.57805907172995785</v>
      </c>
      <c r="AN414" s="2">
        <f t="shared" si="3548"/>
        <v>0.60895883777239712</v>
      </c>
      <c r="AO414" s="2">
        <f t="shared" si="3549"/>
        <v>2.7842227378190254E-2</v>
      </c>
      <c r="AP414" s="2">
        <f t="shared" si="3549"/>
        <v>1.7721518987341773E-2</v>
      </c>
      <c r="AQ414" s="2">
        <f t="shared" si="3549"/>
        <v>2.3002421307506054E-2</v>
      </c>
      <c r="AR414" s="2">
        <f t="shared" si="3555"/>
        <v>0.23124516627996908</v>
      </c>
      <c r="AS414" s="2">
        <f t="shared" si="3550"/>
        <v>0.25232067510548523</v>
      </c>
      <c r="AT414" s="2">
        <f t="shared" si="3550"/>
        <v>0.24535916061339791</v>
      </c>
      <c r="AU414" s="2">
        <f t="shared" si="3556"/>
        <v>9.1954022988505746E-3</v>
      </c>
      <c r="AV414" s="2">
        <f t="shared" si="3278"/>
        <v>2.2277227722772276E-2</v>
      </c>
      <c r="AW414" s="2">
        <f t="shared" si="3109"/>
        <v>1.5494636471990465E-2</v>
      </c>
    </row>
    <row r="415" spans="1:49" ht="15.75" customHeight="1" x14ac:dyDescent="0.15">
      <c r="A415" s="1">
        <v>2025</v>
      </c>
      <c r="C415" s="3" t="s">
        <v>75</v>
      </c>
      <c r="D415" t="s">
        <v>228</v>
      </c>
      <c r="E415">
        <v>2</v>
      </c>
      <c r="F415">
        <v>1</v>
      </c>
      <c r="G415">
        <v>3</v>
      </c>
      <c r="H415">
        <v>115</v>
      </c>
      <c r="I415">
        <v>103</v>
      </c>
      <c r="J415">
        <v>218</v>
      </c>
      <c r="K415">
        <v>35</v>
      </c>
      <c r="L415">
        <v>53</v>
      </c>
      <c r="M415">
        <v>88</v>
      </c>
      <c r="N415">
        <v>18</v>
      </c>
      <c r="O415">
        <v>48</v>
      </c>
      <c r="P415">
        <v>66</v>
      </c>
      <c r="Q415">
        <v>12</v>
      </c>
      <c r="R415">
        <v>28</v>
      </c>
      <c r="S415">
        <v>40</v>
      </c>
      <c r="T415">
        <v>1</v>
      </c>
      <c r="U415">
        <v>17</v>
      </c>
      <c r="V415">
        <v>18</v>
      </c>
      <c r="W415" s="1">
        <f t="shared" si="3543"/>
        <v>183</v>
      </c>
      <c r="X415" s="1">
        <f t="shared" si="3543"/>
        <v>250</v>
      </c>
      <c r="Y415" s="1">
        <f t="shared" si="3551"/>
        <v>433</v>
      </c>
      <c r="Z415" s="1">
        <f t="shared" si="3544"/>
        <v>182</v>
      </c>
      <c r="AA415" s="1">
        <f t="shared" si="3544"/>
        <v>233</v>
      </c>
      <c r="AB415" s="1">
        <f t="shared" si="3552"/>
        <v>415</v>
      </c>
      <c r="AC415" s="1">
        <f t="shared" si="3545"/>
        <v>170</v>
      </c>
      <c r="AD415" s="1">
        <f t="shared" si="3545"/>
        <v>205</v>
      </c>
      <c r="AE415" s="1">
        <f t="shared" si="3553"/>
        <v>375</v>
      </c>
      <c r="AF415" s="2">
        <f t="shared" si="3546"/>
        <v>0.93406593406593408</v>
      </c>
      <c r="AG415" s="2">
        <f t="shared" si="3546"/>
        <v>0.87982832618025753</v>
      </c>
      <c r="AH415" s="2">
        <f t="shared" si="3546"/>
        <v>0.90361445783132532</v>
      </c>
      <c r="AI415" s="1">
        <f t="shared" si="3547"/>
        <v>152</v>
      </c>
      <c r="AJ415" s="1">
        <f t="shared" si="3547"/>
        <v>157</v>
      </c>
      <c r="AK415" s="1">
        <f t="shared" si="3554"/>
        <v>309</v>
      </c>
      <c r="AL415" s="2">
        <f t="shared" si="3548"/>
        <v>0.8351648351648352</v>
      </c>
      <c r="AM415" s="2">
        <f t="shared" si="3548"/>
        <v>0.67381974248927035</v>
      </c>
      <c r="AN415" s="2">
        <f t="shared" si="3548"/>
        <v>0.74457831325301205</v>
      </c>
      <c r="AO415" s="2">
        <f t="shared" si="3549"/>
        <v>1.098901098901099E-2</v>
      </c>
      <c r="AP415" s="2">
        <f t="shared" si="3549"/>
        <v>4.2918454935622317E-3</v>
      </c>
      <c r="AQ415" s="2">
        <f t="shared" si="3549"/>
        <v>7.2289156626506026E-3</v>
      </c>
      <c r="AR415" s="2">
        <f t="shared" si="3555"/>
        <v>0.15384615384615385</v>
      </c>
      <c r="AS415" s="2">
        <f t="shared" si="3550"/>
        <v>0.12017167381974249</v>
      </c>
      <c r="AT415" s="2">
        <f t="shared" si="3550"/>
        <v>9.6385542168674704E-2</v>
      </c>
      <c r="AU415" s="2">
        <f t="shared" si="3556"/>
        <v>5.4644808743169399E-3</v>
      </c>
      <c r="AV415" s="2">
        <f t="shared" si="3278"/>
        <v>6.8000000000000005E-2</v>
      </c>
      <c r="AW415" s="2">
        <f t="shared" si="3109"/>
        <v>4.1570438799076209E-2</v>
      </c>
    </row>
    <row r="416" spans="1:49" ht="15.75" customHeight="1" x14ac:dyDescent="0.15">
      <c r="A416" s="1">
        <v>2025</v>
      </c>
      <c r="D416" t="s">
        <v>229</v>
      </c>
      <c r="E416">
        <v>23</v>
      </c>
      <c r="F416">
        <v>16</v>
      </c>
      <c r="G416">
        <v>39</v>
      </c>
      <c r="H416">
        <v>608</v>
      </c>
      <c r="I416">
        <v>462</v>
      </c>
      <c r="J416">
        <v>1070</v>
      </c>
      <c r="K416">
        <v>584</v>
      </c>
      <c r="L416">
        <v>573</v>
      </c>
      <c r="M416">
        <v>1157</v>
      </c>
      <c r="N416">
        <v>263</v>
      </c>
      <c r="O416">
        <v>365</v>
      </c>
      <c r="P416">
        <v>628</v>
      </c>
      <c r="Q416">
        <v>396</v>
      </c>
      <c r="R416">
        <v>526</v>
      </c>
      <c r="S416">
        <v>922</v>
      </c>
      <c r="T416">
        <v>10</v>
      </c>
      <c r="U416">
        <v>16</v>
      </c>
      <c r="V416">
        <v>26</v>
      </c>
      <c r="W416" s="1">
        <f t="shared" si="3543"/>
        <v>1884</v>
      </c>
      <c r="X416" s="1">
        <f t="shared" si="3543"/>
        <v>1958</v>
      </c>
      <c r="Y416" s="1">
        <f t="shared" si="3551"/>
        <v>3842</v>
      </c>
      <c r="Z416" s="1">
        <f t="shared" si="3544"/>
        <v>1874</v>
      </c>
      <c r="AA416" s="1">
        <f t="shared" si="3544"/>
        <v>1942</v>
      </c>
      <c r="AB416" s="1">
        <f t="shared" si="3552"/>
        <v>3816</v>
      </c>
      <c r="AC416" s="1">
        <f t="shared" si="3545"/>
        <v>1478</v>
      </c>
      <c r="AD416" s="1">
        <f t="shared" si="3545"/>
        <v>1416</v>
      </c>
      <c r="AE416" s="1">
        <f t="shared" si="3553"/>
        <v>2894</v>
      </c>
      <c r="AF416" s="2">
        <f t="shared" si="3546"/>
        <v>0.78868729989327646</v>
      </c>
      <c r="AG416" s="2">
        <f t="shared" si="3546"/>
        <v>0.72914521112255404</v>
      </c>
      <c r="AH416" s="2">
        <f t="shared" si="3546"/>
        <v>0.75838574423480087</v>
      </c>
      <c r="AI416" s="1">
        <f t="shared" si="3547"/>
        <v>1215</v>
      </c>
      <c r="AJ416" s="1">
        <f t="shared" si="3547"/>
        <v>1051</v>
      </c>
      <c r="AK416" s="1">
        <f t="shared" si="3554"/>
        <v>2266</v>
      </c>
      <c r="AL416" s="2">
        <f t="shared" si="3548"/>
        <v>0.64834578441835644</v>
      </c>
      <c r="AM416" s="2">
        <f t="shared" si="3548"/>
        <v>0.5411946446961895</v>
      </c>
      <c r="AN416" s="2">
        <f t="shared" si="3548"/>
        <v>0.59381551362683438</v>
      </c>
      <c r="AO416" s="2">
        <f t="shared" si="3549"/>
        <v>1.2273212379935965E-2</v>
      </c>
      <c r="AP416" s="2">
        <f t="shared" si="3549"/>
        <v>8.2389289392378988E-3</v>
      </c>
      <c r="AQ416" s="2">
        <f t="shared" si="3549"/>
        <v>1.0220125786163521E-2</v>
      </c>
      <c r="AR416" s="2">
        <f t="shared" si="3555"/>
        <v>0.28068303094983993</v>
      </c>
      <c r="AS416" s="2">
        <f t="shared" si="3550"/>
        <v>0.27085478887744591</v>
      </c>
      <c r="AT416" s="2">
        <f t="shared" si="3550"/>
        <v>0.24161425576519915</v>
      </c>
      <c r="AU416" s="2">
        <f t="shared" si="3556"/>
        <v>5.3078556263269636E-3</v>
      </c>
      <c r="AV416" s="2">
        <f t="shared" si="3278"/>
        <v>8.171603677221655E-3</v>
      </c>
      <c r="AW416" s="2">
        <f t="shared" si="3109"/>
        <v>6.7673086933888599E-3</v>
      </c>
    </row>
    <row r="417" spans="1:49" ht="15.75" customHeight="1" x14ac:dyDescent="0.15">
      <c r="A417" s="1">
        <v>2025</v>
      </c>
      <c r="C417" s="3" t="s">
        <v>78</v>
      </c>
      <c r="D417" t="s">
        <v>230</v>
      </c>
      <c r="E417">
        <v>58</v>
      </c>
      <c r="F417">
        <v>32</v>
      </c>
      <c r="G417">
        <v>90</v>
      </c>
      <c r="H417">
        <v>745</v>
      </c>
      <c r="I417">
        <v>429</v>
      </c>
      <c r="J417">
        <v>1174</v>
      </c>
      <c r="K417">
        <v>573</v>
      </c>
      <c r="L417">
        <v>490</v>
      </c>
      <c r="M417">
        <v>1063</v>
      </c>
      <c r="N417">
        <v>323</v>
      </c>
      <c r="O417">
        <v>252</v>
      </c>
      <c r="P417">
        <v>575</v>
      </c>
      <c r="Q417">
        <v>306</v>
      </c>
      <c r="R417">
        <v>396</v>
      </c>
      <c r="S417">
        <v>702</v>
      </c>
      <c r="T417">
        <v>27</v>
      </c>
      <c r="U417">
        <v>25</v>
      </c>
      <c r="V417">
        <v>52</v>
      </c>
      <c r="W417" s="1">
        <f t="shared" si="3543"/>
        <v>2032</v>
      </c>
      <c r="X417" s="1">
        <f t="shared" si="3543"/>
        <v>1624</v>
      </c>
      <c r="Y417" s="1">
        <f t="shared" si="3551"/>
        <v>3656</v>
      </c>
      <c r="Z417" s="1">
        <f t="shared" si="3544"/>
        <v>2005</v>
      </c>
      <c r="AA417" s="1">
        <f t="shared" si="3544"/>
        <v>1599</v>
      </c>
      <c r="AB417" s="1">
        <f t="shared" si="3552"/>
        <v>3604</v>
      </c>
      <c r="AC417" s="1">
        <f t="shared" si="3545"/>
        <v>1699</v>
      </c>
      <c r="AD417" s="1">
        <f t="shared" si="3545"/>
        <v>1203</v>
      </c>
      <c r="AE417" s="1">
        <f t="shared" si="3553"/>
        <v>2902</v>
      </c>
      <c r="AF417" s="2">
        <f t="shared" si="3546"/>
        <v>0.84738154613466332</v>
      </c>
      <c r="AG417" s="2">
        <f t="shared" si="3546"/>
        <v>0.75234521575984992</v>
      </c>
      <c r="AH417" s="2">
        <f t="shared" si="3546"/>
        <v>0.80521642619311873</v>
      </c>
      <c r="AI417" s="1">
        <f t="shared" si="3547"/>
        <v>1376</v>
      </c>
      <c r="AJ417" s="1">
        <f t="shared" si="3547"/>
        <v>951</v>
      </c>
      <c r="AK417" s="1">
        <f t="shared" si="3554"/>
        <v>2327</v>
      </c>
      <c r="AL417" s="2">
        <f t="shared" si="3548"/>
        <v>0.68628428927680796</v>
      </c>
      <c r="AM417" s="2">
        <f t="shared" si="3548"/>
        <v>0.59474671669793622</v>
      </c>
      <c r="AN417" s="2">
        <f t="shared" si="3548"/>
        <v>0.64567147613762488</v>
      </c>
      <c r="AO417" s="2">
        <f t="shared" si="3549"/>
        <v>2.8927680798004989E-2</v>
      </c>
      <c r="AP417" s="2">
        <f t="shared" si="3549"/>
        <v>2.0012507817385866E-2</v>
      </c>
      <c r="AQ417" s="2">
        <f t="shared" si="3549"/>
        <v>2.4972253052164262E-2</v>
      </c>
      <c r="AR417" s="2">
        <f t="shared" si="3555"/>
        <v>0.19750623441396509</v>
      </c>
      <c r="AS417" s="2">
        <f t="shared" si="3550"/>
        <v>0.24765478424015008</v>
      </c>
      <c r="AT417" s="2">
        <f t="shared" si="3550"/>
        <v>0.19478357380688124</v>
      </c>
      <c r="AU417" s="2">
        <f t="shared" si="3556"/>
        <v>1.328740157480315E-2</v>
      </c>
      <c r="AV417" s="2">
        <f t="shared" si="3278"/>
        <v>1.5394088669950739E-2</v>
      </c>
      <c r="AW417" s="2">
        <f t="shared" si="3109"/>
        <v>1.4223194748358862E-2</v>
      </c>
    </row>
    <row r="418" spans="1:49" ht="15.75" customHeight="1" x14ac:dyDescent="0.15">
      <c r="A418" s="1">
        <v>2025</v>
      </c>
      <c r="D418" t="s">
        <v>231</v>
      </c>
      <c r="E418">
        <v>34</v>
      </c>
      <c r="F418">
        <v>16</v>
      </c>
      <c r="G418">
        <v>50</v>
      </c>
      <c r="H418">
        <v>171</v>
      </c>
      <c r="I418">
        <v>162</v>
      </c>
      <c r="J418">
        <v>333</v>
      </c>
      <c r="K418">
        <v>77</v>
      </c>
      <c r="L418">
        <v>86</v>
      </c>
      <c r="M418">
        <v>163</v>
      </c>
      <c r="N418">
        <v>39</v>
      </c>
      <c r="O418">
        <v>39</v>
      </c>
      <c r="P418">
        <v>78</v>
      </c>
      <c r="Q418">
        <v>51</v>
      </c>
      <c r="R418">
        <v>61</v>
      </c>
      <c r="S418">
        <v>112</v>
      </c>
      <c r="T418">
        <v>5</v>
      </c>
      <c r="U418">
        <v>4</v>
      </c>
      <c r="V418">
        <v>9</v>
      </c>
      <c r="W418" s="1">
        <f t="shared" si="3543"/>
        <v>377</v>
      </c>
      <c r="X418" s="1">
        <f t="shared" si="3543"/>
        <v>368</v>
      </c>
      <c r="Y418" s="1">
        <f t="shared" si="3551"/>
        <v>745</v>
      </c>
      <c r="Z418" s="1">
        <f t="shared" si="3544"/>
        <v>372</v>
      </c>
      <c r="AA418" s="1">
        <f t="shared" si="3544"/>
        <v>364</v>
      </c>
      <c r="AB418" s="1">
        <f t="shared" si="3552"/>
        <v>736</v>
      </c>
      <c r="AC418" s="1">
        <f t="shared" si="3545"/>
        <v>321</v>
      </c>
      <c r="AD418" s="1">
        <f t="shared" si="3545"/>
        <v>303</v>
      </c>
      <c r="AE418" s="1">
        <f t="shared" si="3553"/>
        <v>624</v>
      </c>
      <c r="AF418" s="2">
        <f t="shared" si="3546"/>
        <v>0.86290322580645162</v>
      </c>
      <c r="AG418" s="2">
        <f t="shared" si="3546"/>
        <v>0.83241758241758246</v>
      </c>
      <c r="AH418" s="2">
        <f t="shared" si="3546"/>
        <v>0.84782608695652173</v>
      </c>
      <c r="AI418" s="1">
        <f t="shared" si="3547"/>
        <v>282</v>
      </c>
      <c r="AJ418" s="1">
        <f t="shared" si="3547"/>
        <v>264</v>
      </c>
      <c r="AK418" s="1">
        <f t="shared" si="3554"/>
        <v>546</v>
      </c>
      <c r="AL418" s="2">
        <f t="shared" si="3548"/>
        <v>0.75806451612903225</v>
      </c>
      <c r="AM418" s="2">
        <f t="shared" si="3548"/>
        <v>0.72527472527472525</v>
      </c>
      <c r="AN418" s="2">
        <f t="shared" si="3548"/>
        <v>0.74184782608695654</v>
      </c>
      <c r="AO418" s="2">
        <f t="shared" si="3549"/>
        <v>9.1397849462365593E-2</v>
      </c>
      <c r="AP418" s="2">
        <f t="shared" si="3549"/>
        <v>4.3956043956043959E-2</v>
      </c>
      <c r="AQ418" s="2">
        <f t="shared" si="3549"/>
        <v>6.7934782608695649E-2</v>
      </c>
      <c r="AR418" s="2">
        <f t="shared" si="3555"/>
        <v>0.16397849462365591</v>
      </c>
      <c r="AS418" s="2">
        <f t="shared" si="3550"/>
        <v>0.16758241758241757</v>
      </c>
      <c r="AT418" s="2">
        <f t="shared" si="3550"/>
        <v>0.15217391304347827</v>
      </c>
      <c r="AU418" s="2">
        <f t="shared" si="3556"/>
        <v>1.3262599469496022E-2</v>
      </c>
      <c r="AV418" s="2">
        <f t="shared" si="3278"/>
        <v>1.0869565217391304E-2</v>
      </c>
      <c r="AW418" s="2">
        <f t="shared" si="3278"/>
        <v>1.2080536912751677E-2</v>
      </c>
    </row>
    <row r="419" spans="1:49" ht="15.75" customHeight="1" x14ac:dyDescent="0.15">
      <c r="A419" s="1">
        <v>2025</v>
      </c>
      <c r="D419" t="s">
        <v>232</v>
      </c>
      <c r="E419">
        <v>18</v>
      </c>
      <c r="F419">
        <v>10</v>
      </c>
      <c r="G419">
        <v>28</v>
      </c>
      <c r="H419">
        <v>412</v>
      </c>
      <c r="I419">
        <v>311</v>
      </c>
      <c r="J419">
        <v>723</v>
      </c>
      <c r="K419">
        <v>226</v>
      </c>
      <c r="L419">
        <v>264</v>
      </c>
      <c r="M419">
        <v>490</v>
      </c>
      <c r="N419">
        <v>110</v>
      </c>
      <c r="O419">
        <v>132</v>
      </c>
      <c r="P419">
        <v>242</v>
      </c>
      <c r="Q419">
        <v>123</v>
      </c>
      <c r="R419">
        <v>179</v>
      </c>
      <c r="S419">
        <v>302</v>
      </c>
      <c r="T419">
        <v>6</v>
      </c>
      <c r="U419">
        <v>1</v>
      </c>
      <c r="V419">
        <v>7</v>
      </c>
      <c r="W419" s="1">
        <f t="shared" si="3543"/>
        <v>895</v>
      </c>
      <c r="X419" s="1">
        <f t="shared" si="3543"/>
        <v>897</v>
      </c>
      <c r="Y419" s="1">
        <f t="shared" si="3551"/>
        <v>1792</v>
      </c>
      <c r="Z419" s="1">
        <f t="shared" si="3544"/>
        <v>889</v>
      </c>
      <c r="AA419" s="1">
        <f t="shared" si="3544"/>
        <v>896</v>
      </c>
      <c r="AB419" s="1">
        <f t="shared" si="3552"/>
        <v>1785</v>
      </c>
      <c r="AC419" s="1">
        <f t="shared" si="3545"/>
        <v>766</v>
      </c>
      <c r="AD419" s="1">
        <f t="shared" si="3545"/>
        <v>717</v>
      </c>
      <c r="AE419" s="1">
        <f t="shared" si="3553"/>
        <v>1483</v>
      </c>
      <c r="AF419" s="2">
        <f t="shared" si="3546"/>
        <v>0.86164229471316089</v>
      </c>
      <c r="AG419" s="2">
        <f t="shared" si="3546"/>
        <v>0.8002232142857143</v>
      </c>
      <c r="AH419" s="2">
        <f t="shared" si="3546"/>
        <v>0.83081232492997203</v>
      </c>
      <c r="AI419" s="1">
        <f t="shared" si="3547"/>
        <v>656</v>
      </c>
      <c r="AJ419" s="1">
        <f t="shared" si="3547"/>
        <v>585</v>
      </c>
      <c r="AK419" s="1">
        <f t="shared" si="3554"/>
        <v>1241</v>
      </c>
      <c r="AL419" s="2">
        <f t="shared" si="3548"/>
        <v>0.73790776152980875</v>
      </c>
      <c r="AM419" s="2">
        <f t="shared" si="3548"/>
        <v>0.6529017857142857</v>
      </c>
      <c r="AN419" s="2">
        <f t="shared" si="3548"/>
        <v>0.69523809523809521</v>
      </c>
      <c r="AO419" s="2">
        <f t="shared" si="3549"/>
        <v>2.0247469066366704E-2</v>
      </c>
      <c r="AP419" s="2">
        <f t="shared" si="3549"/>
        <v>1.1160714285714286E-2</v>
      </c>
      <c r="AQ419" s="2">
        <f t="shared" si="3549"/>
        <v>1.5686274509803921E-2</v>
      </c>
      <c r="AR419" s="2">
        <f t="shared" si="3555"/>
        <v>0.2013498312710911</v>
      </c>
      <c r="AS419" s="2">
        <f t="shared" si="3550"/>
        <v>0.19977678571428573</v>
      </c>
      <c r="AT419" s="2">
        <f t="shared" si="3550"/>
        <v>0.16918767507002802</v>
      </c>
      <c r="AU419" s="2">
        <f t="shared" si="3556"/>
        <v>6.7039106145251395E-3</v>
      </c>
      <c r="AV419" s="2">
        <f t="shared" si="3278"/>
        <v>1.1148272017837235E-3</v>
      </c>
      <c r="AW419" s="2">
        <f t="shared" si="3278"/>
        <v>3.90625E-3</v>
      </c>
    </row>
    <row r="420" spans="1:49" ht="15.75" customHeight="1" x14ac:dyDescent="0.15">
      <c r="A420" s="1">
        <v>2025</v>
      </c>
      <c r="C420" s="3" t="s">
        <v>67</v>
      </c>
      <c r="D420" t="s">
        <v>233</v>
      </c>
      <c r="E420">
        <v>232</v>
      </c>
      <c r="F420">
        <v>131</v>
      </c>
      <c r="G420">
        <v>363</v>
      </c>
      <c r="H420">
        <v>1579</v>
      </c>
      <c r="I420">
        <v>1256</v>
      </c>
      <c r="J420">
        <v>2835</v>
      </c>
      <c r="K420">
        <v>994</v>
      </c>
      <c r="L420">
        <v>1072</v>
      </c>
      <c r="M420">
        <v>2066</v>
      </c>
      <c r="N420">
        <v>455</v>
      </c>
      <c r="O420">
        <v>514</v>
      </c>
      <c r="P420">
        <v>969</v>
      </c>
      <c r="Q420">
        <v>532</v>
      </c>
      <c r="R420">
        <v>598</v>
      </c>
      <c r="S420">
        <v>1130</v>
      </c>
      <c r="T420">
        <v>62</v>
      </c>
      <c r="U420">
        <v>57</v>
      </c>
      <c r="V420">
        <v>119</v>
      </c>
      <c r="W420" s="1">
        <f t="shared" si="3543"/>
        <v>3854</v>
      </c>
      <c r="X420" s="1">
        <f t="shared" si="3543"/>
        <v>3628</v>
      </c>
      <c r="Y420" s="1">
        <f t="shared" si="3551"/>
        <v>7482</v>
      </c>
      <c r="Z420" s="1">
        <f t="shared" si="3544"/>
        <v>3792</v>
      </c>
      <c r="AA420" s="1">
        <f t="shared" si="3544"/>
        <v>3571</v>
      </c>
      <c r="AB420" s="1">
        <f t="shared" si="3552"/>
        <v>7363</v>
      </c>
      <c r="AC420" s="1">
        <f t="shared" si="3545"/>
        <v>3260</v>
      </c>
      <c r="AD420" s="1">
        <f t="shared" si="3545"/>
        <v>2973</v>
      </c>
      <c r="AE420" s="1">
        <f t="shared" si="3553"/>
        <v>6233</v>
      </c>
      <c r="AF420" s="2">
        <f t="shared" si="3546"/>
        <v>0.85970464135021096</v>
      </c>
      <c r="AG420" s="2">
        <f t="shared" si="3546"/>
        <v>0.83253990478857465</v>
      </c>
      <c r="AH420" s="2">
        <f t="shared" si="3546"/>
        <v>0.84652994703245954</v>
      </c>
      <c r="AI420" s="1">
        <f t="shared" si="3547"/>
        <v>2805</v>
      </c>
      <c r="AJ420" s="1">
        <f t="shared" si="3547"/>
        <v>2459</v>
      </c>
      <c r="AK420" s="1">
        <f t="shared" si="3554"/>
        <v>5264</v>
      </c>
      <c r="AL420" s="2">
        <f t="shared" si="3548"/>
        <v>0.73971518987341767</v>
      </c>
      <c r="AM420" s="2">
        <f t="shared" si="3548"/>
        <v>0.68860263231587793</v>
      </c>
      <c r="AN420" s="2">
        <f t="shared" si="3548"/>
        <v>0.71492598125763951</v>
      </c>
      <c r="AO420" s="2">
        <f t="shared" si="3549"/>
        <v>6.118143459915612E-2</v>
      </c>
      <c r="AP420" s="2">
        <f t="shared" si="3549"/>
        <v>3.668440212825539E-2</v>
      </c>
      <c r="AQ420" s="2">
        <f t="shared" si="3549"/>
        <v>4.9300556838245281E-2</v>
      </c>
      <c r="AR420" s="2">
        <f t="shared" si="3555"/>
        <v>0.15770042194092826</v>
      </c>
      <c r="AS420" s="2">
        <f t="shared" si="3550"/>
        <v>0.16746009521142538</v>
      </c>
      <c r="AT420" s="2">
        <f t="shared" si="3550"/>
        <v>0.1534700529675404</v>
      </c>
      <c r="AU420" s="2">
        <f t="shared" si="3556"/>
        <v>1.6087182148417228E-2</v>
      </c>
      <c r="AV420" s="2">
        <f t="shared" si="3278"/>
        <v>1.5711135611907387E-2</v>
      </c>
      <c r="AW420" s="2">
        <f t="shared" si="3278"/>
        <v>1.5904838278535151E-2</v>
      </c>
    </row>
    <row r="421" spans="1:49" ht="15.75" customHeight="1" x14ac:dyDescent="0.15">
      <c r="A421" s="1">
        <v>2025</v>
      </c>
      <c r="C421" s="3" t="s">
        <v>67</v>
      </c>
      <c r="D421" t="s">
        <v>234</v>
      </c>
      <c r="E421">
        <v>8</v>
      </c>
      <c r="F421">
        <v>5</v>
      </c>
      <c r="G421">
        <v>13</v>
      </c>
      <c r="H421">
        <v>262</v>
      </c>
      <c r="I421">
        <v>119</v>
      </c>
      <c r="J421">
        <v>381</v>
      </c>
      <c r="K421">
        <v>422</v>
      </c>
      <c r="L421">
        <v>315</v>
      </c>
      <c r="M421">
        <v>737</v>
      </c>
      <c r="N421">
        <v>183</v>
      </c>
      <c r="O421">
        <v>145</v>
      </c>
      <c r="P421">
        <v>328</v>
      </c>
      <c r="Q421">
        <v>202</v>
      </c>
      <c r="R421">
        <v>185</v>
      </c>
      <c r="S421">
        <v>387</v>
      </c>
      <c r="T421">
        <v>19</v>
      </c>
      <c r="U421">
        <v>15</v>
      </c>
      <c r="V421">
        <v>34</v>
      </c>
      <c r="W421" s="1">
        <f t="shared" si="3543"/>
        <v>1096</v>
      </c>
      <c r="X421" s="1">
        <f t="shared" si="3543"/>
        <v>784</v>
      </c>
      <c r="Y421" s="1">
        <f t="shared" si="3551"/>
        <v>1880</v>
      </c>
      <c r="Z421" s="1">
        <f t="shared" si="3544"/>
        <v>1077</v>
      </c>
      <c r="AA421" s="1">
        <f t="shared" si="3544"/>
        <v>769</v>
      </c>
      <c r="AB421" s="1">
        <f t="shared" si="3552"/>
        <v>1846</v>
      </c>
      <c r="AC421" s="1">
        <f t="shared" si="3545"/>
        <v>875</v>
      </c>
      <c r="AD421" s="1">
        <f t="shared" si="3545"/>
        <v>584</v>
      </c>
      <c r="AE421" s="1">
        <f t="shared" si="3553"/>
        <v>1459</v>
      </c>
      <c r="AF421" s="2">
        <f t="shared" si="3546"/>
        <v>0.81244196843082639</v>
      </c>
      <c r="AG421" s="2">
        <f t="shared" si="3546"/>
        <v>0.75942782834850453</v>
      </c>
      <c r="AH421" s="2">
        <f t="shared" si="3546"/>
        <v>0.79035752979414953</v>
      </c>
      <c r="AI421" s="1">
        <f t="shared" si="3547"/>
        <v>692</v>
      </c>
      <c r="AJ421" s="1">
        <f t="shared" si="3547"/>
        <v>439</v>
      </c>
      <c r="AK421" s="1">
        <f t="shared" si="3554"/>
        <v>1131</v>
      </c>
      <c r="AL421" s="2">
        <f t="shared" si="3548"/>
        <v>0.64252553389043643</v>
      </c>
      <c r="AM421" s="2">
        <f t="shared" si="3548"/>
        <v>0.57087126137841349</v>
      </c>
      <c r="AN421" s="2">
        <f t="shared" si="3548"/>
        <v>0.61267605633802813</v>
      </c>
      <c r="AO421" s="2">
        <f t="shared" si="3549"/>
        <v>7.4280408542246983E-3</v>
      </c>
      <c r="AP421" s="2">
        <f t="shared" si="3549"/>
        <v>6.5019505851755524E-3</v>
      </c>
      <c r="AQ421" s="2">
        <f t="shared" si="3549"/>
        <v>7.0422535211267607E-3</v>
      </c>
      <c r="AR421" s="2">
        <f t="shared" si="3555"/>
        <v>0.17177344475394615</v>
      </c>
      <c r="AS421" s="2">
        <f t="shared" si="3550"/>
        <v>0.24057217165149544</v>
      </c>
      <c r="AT421" s="2">
        <f t="shared" si="3550"/>
        <v>0.2096424702058505</v>
      </c>
      <c r="AU421" s="2">
        <f t="shared" si="3556"/>
        <v>1.7335766423357664E-2</v>
      </c>
      <c r="AV421" s="2">
        <f t="shared" si="3278"/>
        <v>1.913265306122449E-2</v>
      </c>
      <c r="AW421" s="2">
        <f t="shared" si="3278"/>
        <v>1.8085106382978722E-2</v>
      </c>
    </row>
    <row r="422" spans="1:49" ht="15.75" customHeight="1" x14ac:dyDescent="0.15">
      <c r="A422" s="1">
        <v>2025</v>
      </c>
      <c r="D422" t="s">
        <v>235</v>
      </c>
      <c r="E422">
        <v>148</v>
      </c>
      <c r="F422">
        <v>97</v>
      </c>
      <c r="G422">
        <v>245</v>
      </c>
      <c r="H422">
        <v>886</v>
      </c>
      <c r="I422">
        <v>831</v>
      </c>
      <c r="J422">
        <v>1717</v>
      </c>
      <c r="K422">
        <v>749</v>
      </c>
      <c r="L422">
        <v>770</v>
      </c>
      <c r="M422">
        <v>1519</v>
      </c>
      <c r="N422">
        <v>539</v>
      </c>
      <c r="O422">
        <v>630</v>
      </c>
      <c r="P422">
        <v>1169</v>
      </c>
      <c r="Q422">
        <v>364</v>
      </c>
      <c r="R422">
        <v>394</v>
      </c>
      <c r="S422">
        <v>758</v>
      </c>
      <c r="T422">
        <v>20</v>
      </c>
      <c r="U422">
        <v>26</v>
      </c>
      <c r="V422">
        <v>46</v>
      </c>
      <c r="W422" s="1">
        <f t="shared" si="3543"/>
        <v>2706</v>
      </c>
      <c r="X422" s="1">
        <f t="shared" si="3543"/>
        <v>2748</v>
      </c>
      <c r="Y422" s="1">
        <f t="shared" si="3551"/>
        <v>5454</v>
      </c>
      <c r="Z422" s="1">
        <f t="shared" si="3544"/>
        <v>2686</v>
      </c>
      <c r="AA422" s="1">
        <f t="shared" si="3544"/>
        <v>2722</v>
      </c>
      <c r="AB422" s="1">
        <f t="shared" si="3552"/>
        <v>5408</v>
      </c>
      <c r="AC422" s="1">
        <f t="shared" si="3545"/>
        <v>2322</v>
      </c>
      <c r="AD422" s="1">
        <f t="shared" si="3545"/>
        <v>2328</v>
      </c>
      <c r="AE422" s="1">
        <f t="shared" si="3553"/>
        <v>4650</v>
      </c>
      <c r="AF422" s="2">
        <f t="shared" si="3546"/>
        <v>0.8644825018615041</v>
      </c>
      <c r="AG422" s="2">
        <f t="shared" si="3546"/>
        <v>0.85525349008082296</v>
      </c>
      <c r="AH422" s="2">
        <f t="shared" si="3546"/>
        <v>0.8598372781065089</v>
      </c>
      <c r="AI422" s="1">
        <f t="shared" si="3547"/>
        <v>1783</v>
      </c>
      <c r="AJ422" s="1">
        <f t="shared" si="3547"/>
        <v>1698</v>
      </c>
      <c r="AK422" s="1">
        <f t="shared" si="3554"/>
        <v>3481</v>
      </c>
      <c r="AL422" s="2">
        <f t="shared" si="3548"/>
        <v>0.66381236038719282</v>
      </c>
      <c r="AM422" s="2">
        <f t="shared" si="3548"/>
        <v>0.62380602498163118</v>
      </c>
      <c r="AN422" s="2">
        <f t="shared" si="3548"/>
        <v>0.6436760355029586</v>
      </c>
      <c r="AO422" s="2">
        <f t="shared" si="3549"/>
        <v>5.5100521221146684E-2</v>
      </c>
      <c r="AP422" s="2">
        <f t="shared" si="3549"/>
        <v>3.5635562086700955E-2</v>
      </c>
      <c r="AQ422" s="2">
        <f t="shared" si="3549"/>
        <v>4.5303254437869825E-2</v>
      </c>
      <c r="AR422" s="2">
        <f t="shared" si="3555"/>
        <v>0.14668652271034996</v>
      </c>
      <c r="AS422" s="2">
        <f t="shared" si="3550"/>
        <v>0.14474650991917706</v>
      </c>
      <c r="AT422" s="2">
        <f t="shared" si="3550"/>
        <v>0.14016272189349113</v>
      </c>
      <c r="AU422" s="2">
        <f t="shared" si="3556"/>
        <v>7.3909830007390983E-3</v>
      </c>
      <c r="AV422" s="2">
        <f t="shared" si="3278"/>
        <v>9.4614264919941782E-3</v>
      </c>
      <c r="AW422" s="2">
        <f t="shared" si="3278"/>
        <v>8.4341767510084341E-3</v>
      </c>
    </row>
    <row r="423" spans="1:49" ht="15.75" customHeight="1" x14ac:dyDescent="0.15">
      <c r="A423" s="1">
        <v>2025</v>
      </c>
      <c r="D423" t="s">
        <v>236</v>
      </c>
      <c r="E423">
        <v>54</v>
      </c>
      <c r="F423">
        <v>39</v>
      </c>
      <c r="G423">
        <v>93</v>
      </c>
      <c r="H423">
        <v>581</v>
      </c>
      <c r="I423">
        <v>805</v>
      </c>
      <c r="J423">
        <v>1386</v>
      </c>
      <c r="K423">
        <v>337</v>
      </c>
      <c r="L423">
        <v>500</v>
      </c>
      <c r="M423">
        <v>837</v>
      </c>
      <c r="N423">
        <v>213</v>
      </c>
      <c r="O423">
        <v>284</v>
      </c>
      <c r="P423">
        <v>497</v>
      </c>
      <c r="Q423">
        <v>178</v>
      </c>
      <c r="R423">
        <v>239</v>
      </c>
      <c r="S423">
        <v>417</v>
      </c>
      <c r="T423">
        <v>18</v>
      </c>
      <c r="U423">
        <v>39</v>
      </c>
      <c r="V423">
        <v>57</v>
      </c>
      <c r="W423" s="1">
        <f t="shared" si="3543"/>
        <v>1381</v>
      </c>
      <c r="X423" s="1">
        <f t="shared" si="3543"/>
        <v>1906</v>
      </c>
      <c r="Y423" s="1">
        <f t="shared" si="3551"/>
        <v>3287</v>
      </c>
      <c r="Z423" s="1">
        <f t="shared" si="3544"/>
        <v>1363</v>
      </c>
      <c r="AA423" s="1">
        <f t="shared" si="3544"/>
        <v>1867</v>
      </c>
      <c r="AB423" s="1">
        <f t="shared" si="3552"/>
        <v>3230</v>
      </c>
      <c r="AC423" s="1">
        <f t="shared" si="3545"/>
        <v>1185</v>
      </c>
      <c r="AD423" s="1">
        <f t="shared" si="3545"/>
        <v>1628</v>
      </c>
      <c r="AE423" s="1">
        <f t="shared" si="3553"/>
        <v>2813</v>
      </c>
      <c r="AF423" s="2">
        <f t="shared" si="3546"/>
        <v>0.86940572267057958</v>
      </c>
      <c r="AG423" s="2">
        <f t="shared" si="3546"/>
        <v>0.8719871451526513</v>
      </c>
      <c r="AH423" s="2">
        <f t="shared" si="3546"/>
        <v>0.87089783281733746</v>
      </c>
      <c r="AI423" s="1">
        <f t="shared" si="3547"/>
        <v>972</v>
      </c>
      <c r="AJ423" s="1">
        <f t="shared" si="3547"/>
        <v>1344</v>
      </c>
      <c r="AK423" s="1">
        <f t="shared" si="3554"/>
        <v>2316</v>
      </c>
      <c r="AL423" s="2">
        <f t="shared" si="3548"/>
        <v>0.71313279530447538</v>
      </c>
      <c r="AM423" s="2">
        <f t="shared" si="3548"/>
        <v>0.71987145152651311</v>
      </c>
      <c r="AN423" s="2">
        <f t="shared" si="3548"/>
        <v>0.71702786377708982</v>
      </c>
      <c r="AO423" s="2">
        <f t="shared" si="3549"/>
        <v>3.9618488628026409E-2</v>
      </c>
      <c r="AP423" s="2">
        <f t="shared" si="3549"/>
        <v>2.088912694161757E-2</v>
      </c>
      <c r="AQ423" s="2">
        <f t="shared" si="3549"/>
        <v>2.8792569659442723E-2</v>
      </c>
      <c r="AR423" s="2">
        <f t="shared" si="3555"/>
        <v>0.17534849596478358</v>
      </c>
      <c r="AS423" s="2">
        <f t="shared" si="3550"/>
        <v>0.1280128548473487</v>
      </c>
      <c r="AT423" s="2">
        <f t="shared" si="3550"/>
        <v>0.12910216718266254</v>
      </c>
      <c r="AU423" s="2">
        <f t="shared" si="3556"/>
        <v>1.3034033309196235E-2</v>
      </c>
      <c r="AV423" s="2">
        <f t="shared" si="3278"/>
        <v>2.0461699895068207E-2</v>
      </c>
      <c r="AW423" s="2">
        <f t="shared" si="3278"/>
        <v>1.7341040462427744E-2</v>
      </c>
    </row>
    <row r="424" spans="1:49" ht="15.75" customHeight="1" x14ac:dyDescent="0.15">
      <c r="A424" s="1">
        <v>2025</v>
      </c>
      <c r="C424" s="3" t="s">
        <v>89</v>
      </c>
      <c r="D424" t="s">
        <v>237</v>
      </c>
      <c r="E424">
        <v>39</v>
      </c>
      <c r="F424">
        <v>29</v>
      </c>
      <c r="G424">
        <v>68</v>
      </c>
      <c r="H424">
        <v>211</v>
      </c>
      <c r="I424">
        <v>254</v>
      </c>
      <c r="J424">
        <v>465</v>
      </c>
      <c r="K424">
        <v>71</v>
      </c>
      <c r="L424">
        <v>122</v>
      </c>
      <c r="M424">
        <v>193</v>
      </c>
      <c r="N424">
        <v>32</v>
      </c>
      <c r="O424">
        <v>62</v>
      </c>
      <c r="P424">
        <v>94</v>
      </c>
      <c r="Q424">
        <v>25</v>
      </c>
      <c r="R424">
        <v>44</v>
      </c>
      <c r="S424">
        <v>69</v>
      </c>
      <c r="T424">
        <v>4</v>
      </c>
      <c r="U424">
        <v>1</v>
      </c>
      <c r="V424">
        <v>5</v>
      </c>
      <c r="W424" s="1">
        <f t="shared" si="3543"/>
        <v>382</v>
      </c>
      <c r="X424" s="1">
        <f t="shared" si="3543"/>
        <v>512</v>
      </c>
      <c r="Y424" s="1">
        <f t="shared" si="3551"/>
        <v>894</v>
      </c>
      <c r="Z424" s="1">
        <f t="shared" si="3544"/>
        <v>378</v>
      </c>
      <c r="AA424" s="1">
        <f t="shared" si="3544"/>
        <v>511</v>
      </c>
      <c r="AB424" s="1">
        <f t="shared" si="3552"/>
        <v>889</v>
      </c>
      <c r="AC424" s="1">
        <f t="shared" si="3545"/>
        <v>353</v>
      </c>
      <c r="AD424" s="1">
        <f t="shared" si="3545"/>
        <v>467</v>
      </c>
      <c r="AE424" s="1">
        <f t="shared" si="3553"/>
        <v>820</v>
      </c>
      <c r="AF424" s="2">
        <f t="shared" si="3546"/>
        <v>0.93386243386243384</v>
      </c>
      <c r="AG424" s="2">
        <f t="shared" si="3546"/>
        <v>0.91389432485322897</v>
      </c>
      <c r="AH424" s="2">
        <f t="shared" si="3546"/>
        <v>0.92238470191226096</v>
      </c>
      <c r="AI424" s="1">
        <f t="shared" si="3547"/>
        <v>321</v>
      </c>
      <c r="AJ424" s="1">
        <f t="shared" si="3547"/>
        <v>405</v>
      </c>
      <c r="AK424" s="1">
        <f t="shared" si="3554"/>
        <v>726</v>
      </c>
      <c r="AL424" s="2">
        <f t="shared" si="3548"/>
        <v>0.84920634920634919</v>
      </c>
      <c r="AM424" s="2">
        <f t="shared" si="3548"/>
        <v>0.79256360078277888</v>
      </c>
      <c r="AN424" s="2">
        <f t="shared" si="3548"/>
        <v>0.81664791901012368</v>
      </c>
      <c r="AO424" s="2">
        <f t="shared" si="3549"/>
        <v>0.10317460317460317</v>
      </c>
      <c r="AP424" s="2">
        <f t="shared" si="3549"/>
        <v>5.6751467710371817E-2</v>
      </c>
      <c r="AQ424" s="2">
        <f t="shared" si="3549"/>
        <v>7.6490438695163102E-2</v>
      </c>
      <c r="AR424" s="2">
        <f t="shared" si="3555"/>
        <v>0.1164021164021164</v>
      </c>
      <c r="AS424" s="2">
        <f t="shared" si="3550"/>
        <v>8.6105675146771032E-2</v>
      </c>
      <c r="AT424" s="2">
        <f t="shared" si="3550"/>
        <v>7.7615298087739037E-2</v>
      </c>
      <c r="AU424" s="2">
        <f t="shared" si="3556"/>
        <v>1.0471204188481676E-2</v>
      </c>
      <c r="AV424" s="2">
        <f t="shared" si="3278"/>
        <v>1.953125E-3</v>
      </c>
      <c r="AW424" s="2">
        <f t="shared" si="3278"/>
        <v>5.5928411633109623E-3</v>
      </c>
    </row>
    <row r="425" spans="1:49" ht="15.75" customHeight="1" x14ac:dyDescent="0.15">
      <c r="A425" s="1">
        <v>2025</v>
      </c>
      <c r="C425" s="3" t="s">
        <v>89</v>
      </c>
      <c r="D425" t="s">
        <v>238</v>
      </c>
      <c r="E425">
        <v>122</v>
      </c>
      <c r="F425">
        <v>97</v>
      </c>
      <c r="G425">
        <v>219</v>
      </c>
      <c r="H425">
        <v>1473</v>
      </c>
      <c r="I425">
        <v>1509</v>
      </c>
      <c r="J425">
        <v>2982</v>
      </c>
      <c r="K425">
        <v>905</v>
      </c>
      <c r="L425">
        <v>1059</v>
      </c>
      <c r="M425">
        <v>1964</v>
      </c>
      <c r="N425">
        <v>462</v>
      </c>
      <c r="O425">
        <v>645</v>
      </c>
      <c r="P425">
        <v>1107</v>
      </c>
      <c r="Q425">
        <v>418</v>
      </c>
      <c r="R425">
        <v>496</v>
      </c>
      <c r="S425">
        <v>914</v>
      </c>
      <c r="T425">
        <v>21</v>
      </c>
      <c r="U425">
        <v>39</v>
      </c>
      <c r="V425">
        <v>60</v>
      </c>
      <c r="W425" s="1">
        <f t="shared" ref="W425:X488" si="3557">SUM(E425,H425,K425,N425,Q425,T425)</f>
        <v>3401</v>
      </c>
      <c r="X425" s="1">
        <f t="shared" si="3557"/>
        <v>3845</v>
      </c>
      <c r="Y425" s="1">
        <f t="shared" si="3551"/>
        <v>7246</v>
      </c>
      <c r="Z425" s="1">
        <f t="shared" ref="Z425:AA488" si="3558">W425-T425</f>
        <v>3380</v>
      </c>
      <c r="AA425" s="1">
        <f t="shared" si="3558"/>
        <v>3806</v>
      </c>
      <c r="AB425" s="1">
        <f t="shared" si="3552"/>
        <v>7186</v>
      </c>
      <c r="AC425" s="1">
        <f t="shared" ref="AC425:AD488" si="3559">SUM(E425,H425,K425,N425)</f>
        <v>2962</v>
      </c>
      <c r="AD425" s="1">
        <f t="shared" si="3559"/>
        <v>3310</v>
      </c>
      <c r="AE425" s="1">
        <f t="shared" si="3553"/>
        <v>6272</v>
      </c>
      <c r="AF425" s="2">
        <f t="shared" ref="AF425:AH488" si="3560">AC425/Z425</f>
        <v>0.87633136094674557</v>
      </c>
      <c r="AG425" s="2">
        <f t="shared" si="3560"/>
        <v>0.86967945349448239</v>
      </c>
      <c r="AH425" s="2">
        <f t="shared" si="3560"/>
        <v>0.87280823824102416</v>
      </c>
      <c r="AI425" s="1">
        <f t="shared" ref="AI425:AJ488" si="3561">SUM(E425,H425,K425)</f>
        <v>2500</v>
      </c>
      <c r="AJ425" s="1">
        <f t="shared" si="3561"/>
        <v>2665</v>
      </c>
      <c r="AK425" s="1">
        <f t="shared" si="3554"/>
        <v>5165</v>
      </c>
      <c r="AL425" s="2">
        <f t="shared" ref="AL425:AN488" si="3562">AI425/Z425</f>
        <v>0.73964497041420119</v>
      </c>
      <c r="AM425" s="2">
        <f t="shared" si="3562"/>
        <v>0.70021019442984755</v>
      </c>
      <c r="AN425" s="2">
        <f t="shared" si="3562"/>
        <v>0.71875869746729748</v>
      </c>
      <c r="AO425" s="2">
        <f t="shared" ref="AO425:AQ488" si="3563">E425/Z425</f>
        <v>3.609467455621302E-2</v>
      </c>
      <c r="AP425" s="2">
        <f t="shared" si="3563"/>
        <v>2.5486074619022595E-2</v>
      </c>
      <c r="AQ425" s="2">
        <f t="shared" si="3563"/>
        <v>3.0475925410520455E-2</v>
      </c>
      <c r="AR425" s="2">
        <f t="shared" si="3555"/>
        <v>0.1467455621301775</v>
      </c>
      <c r="AS425" s="2">
        <f t="shared" ref="AS425:AT488" si="3564">R425/AA425</f>
        <v>0.13032054650551761</v>
      </c>
      <c r="AT425" s="2">
        <f t="shared" si="3564"/>
        <v>0.12719176175897579</v>
      </c>
      <c r="AU425" s="2">
        <f t="shared" si="3556"/>
        <v>6.1746545133784178E-3</v>
      </c>
      <c r="AV425" s="2">
        <f t="shared" si="3278"/>
        <v>1.0143042912873863E-2</v>
      </c>
      <c r="AW425" s="2">
        <f t="shared" si="3278"/>
        <v>8.2804305823902837E-3</v>
      </c>
    </row>
    <row r="426" spans="1:49" ht="15.75" customHeight="1" x14ac:dyDescent="0.15">
      <c r="A426" s="1">
        <v>2025</v>
      </c>
      <c r="D426" t="s">
        <v>239</v>
      </c>
      <c r="E426">
        <v>67</v>
      </c>
      <c r="F426">
        <v>58</v>
      </c>
      <c r="G426">
        <v>125</v>
      </c>
      <c r="H426">
        <v>847</v>
      </c>
      <c r="I426">
        <v>938</v>
      </c>
      <c r="J426">
        <v>1785</v>
      </c>
      <c r="K426">
        <v>513</v>
      </c>
      <c r="L426">
        <v>692</v>
      </c>
      <c r="M426">
        <v>1205</v>
      </c>
      <c r="N426">
        <v>253</v>
      </c>
      <c r="O426">
        <v>350</v>
      </c>
      <c r="P426">
        <v>603</v>
      </c>
      <c r="Q426">
        <v>246</v>
      </c>
      <c r="R426">
        <v>323</v>
      </c>
      <c r="S426">
        <v>569</v>
      </c>
      <c r="T426">
        <v>19</v>
      </c>
      <c r="U426">
        <v>28</v>
      </c>
      <c r="V426">
        <v>47</v>
      </c>
      <c r="W426" s="1">
        <f t="shared" si="3557"/>
        <v>1945</v>
      </c>
      <c r="X426" s="1">
        <f t="shared" si="3557"/>
        <v>2389</v>
      </c>
      <c r="Y426" s="1">
        <f t="shared" si="3551"/>
        <v>4334</v>
      </c>
      <c r="Z426" s="1">
        <f t="shared" si="3558"/>
        <v>1926</v>
      </c>
      <c r="AA426" s="1">
        <f t="shared" si="3558"/>
        <v>2361</v>
      </c>
      <c r="AB426" s="1">
        <f t="shared" si="3552"/>
        <v>4287</v>
      </c>
      <c r="AC426" s="1">
        <f t="shared" si="3559"/>
        <v>1680</v>
      </c>
      <c r="AD426" s="1">
        <f t="shared" si="3559"/>
        <v>2038</v>
      </c>
      <c r="AE426" s="1">
        <f t="shared" si="3553"/>
        <v>3718</v>
      </c>
      <c r="AF426" s="2">
        <f t="shared" si="3560"/>
        <v>0.87227414330218067</v>
      </c>
      <c r="AG426" s="2">
        <f t="shared" si="3560"/>
        <v>0.86319356204997877</v>
      </c>
      <c r="AH426" s="2">
        <f t="shared" si="3560"/>
        <v>0.86727315138791694</v>
      </c>
      <c r="AI426" s="1">
        <f t="shared" si="3561"/>
        <v>1427</v>
      </c>
      <c r="AJ426" s="1">
        <f t="shared" si="3561"/>
        <v>1688</v>
      </c>
      <c r="AK426" s="1">
        <f t="shared" si="3554"/>
        <v>3115</v>
      </c>
      <c r="AL426" s="2">
        <f t="shared" si="3562"/>
        <v>0.74091381100726894</v>
      </c>
      <c r="AM426" s="2">
        <f t="shared" si="3562"/>
        <v>0.71495129182549766</v>
      </c>
      <c r="AN426" s="2">
        <f t="shared" si="3562"/>
        <v>0.72661534872871469</v>
      </c>
      <c r="AO426" s="2">
        <f t="shared" si="3563"/>
        <v>3.47871235721703E-2</v>
      </c>
      <c r="AP426" s="2">
        <f t="shared" si="3563"/>
        <v>2.4565861922914021E-2</v>
      </c>
      <c r="AQ426" s="2">
        <f t="shared" si="3563"/>
        <v>2.9157919290879401E-2</v>
      </c>
      <c r="AR426" s="2">
        <f t="shared" si="3555"/>
        <v>0.16770508826583594</v>
      </c>
      <c r="AS426" s="2">
        <f t="shared" si="3564"/>
        <v>0.13680643795002118</v>
      </c>
      <c r="AT426" s="2">
        <f t="shared" si="3564"/>
        <v>0.13272684861208303</v>
      </c>
      <c r="AU426" s="2">
        <f t="shared" si="3556"/>
        <v>9.7686375321336758E-3</v>
      </c>
      <c r="AV426" s="2">
        <f t="shared" si="3278"/>
        <v>1.1720385098367517E-2</v>
      </c>
      <c r="AW426" s="2">
        <f t="shared" si="3278"/>
        <v>1.0844485463774804E-2</v>
      </c>
    </row>
    <row r="427" spans="1:49" ht="15.75" customHeight="1" x14ac:dyDescent="0.15">
      <c r="A427" s="1">
        <v>2025</v>
      </c>
      <c r="C427" s="3" t="s">
        <v>54</v>
      </c>
      <c r="D427" t="s">
        <v>240</v>
      </c>
      <c r="E427">
        <v>204</v>
      </c>
      <c r="F427">
        <v>189</v>
      </c>
      <c r="G427">
        <v>393</v>
      </c>
      <c r="H427">
        <v>673</v>
      </c>
      <c r="I427">
        <v>917</v>
      </c>
      <c r="J427">
        <v>1590</v>
      </c>
      <c r="K427">
        <v>95</v>
      </c>
      <c r="L427">
        <v>137</v>
      </c>
      <c r="M427">
        <v>232</v>
      </c>
      <c r="N427">
        <v>21</v>
      </c>
      <c r="O427">
        <v>29</v>
      </c>
      <c r="P427">
        <v>50</v>
      </c>
      <c r="Q427">
        <v>4</v>
      </c>
      <c r="R427">
        <v>6</v>
      </c>
      <c r="S427">
        <v>10</v>
      </c>
      <c r="T427">
        <v>16</v>
      </c>
      <c r="U427">
        <v>12</v>
      </c>
      <c r="V427">
        <v>28</v>
      </c>
      <c r="W427" s="1">
        <f t="shared" si="3557"/>
        <v>1013</v>
      </c>
      <c r="X427" s="1">
        <f t="shared" si="3557"/>
        <v>1290</v>
      </c>
      <c r="Y427" s="1">
        <f t="shared" si="3551"/>
        <v>2303</v>
      </c>
      <c r="Z427" s="1">
        <f t="shared" si="3558"/>
        <v>997</v>
      </c>
      <c r="AA427" s="1">
        <f t="shared" si="3558"/>
        <v>1278</v>
      </c>
      <c r="AB427" s="1">
        <f t="shared" si="3552"/>
        <v>2275</v>
      </c>
      <c r="AC427" s="1">
        <f t="shared" si="3559"/>
        <v>993</v>
      </c>
      <c r="AD427" s="1">
        <f t="shared" si="3559"/>
        <v>1272</v>
      </c>
      <c r="AE427" s="1">
        <f t="shared" si="3553"/>
        <v>2265</v>
      </c>
      <c r="AF427" s="2">
        <f t="shared" si="3560"/>
        <v>0.99598796389167499</v>
      </c>
      <c r="AG427" s="2">
        <f t="shared" si="3560"/>
        <v>0.99530516431924887</v>
      </c>
      <c r="AH427" s="2">
        <f t="shared" si="3560"/>
        <v>0.99560439560439562</v>
      </c>
      <c r="AI427" s="1">
        <f t="shared" si="3561"/>
        <v>972</v>
      </c>
      <c r="AJ427" s="1">
        <f t="shared" si="3561"/>
        <v>1243</v>
      </c>
      <c r="AK427" s="1">
        <f t="shared" si="3554"/>
        <v>2215</v>
      </c>
      <c r="AL427" s="2">
        <f t="shared" si="3562"/>
        <v>0.97492477432296887</v>
      </c>
      <c r="AM427" s="2">
        <f t="shared" si="3562"/>
        <v>0.97261345852895154</v>
      </c>
      <c r="AN427" s="2">
        <f t="shared" si="3562"/>
        <v>0.97362637362637361</v>
      </c>
      <c r="AO427" s="2">
        <f t="shared" si="3563"/>
        <v>0.20461384152457371</v>
      </c>
      <c r="AP427" s="2">
        <f t="shared" si="3563"/>
        <v>0.14788732394366197</v>
      </c>
      <c r="AQ427" s="2">
        <f t="shared" si="3563"/>
        <v>0.17274725274725275</v>
      </c>
      <c r="AR427" s="2">
        <f t="shared" si="3555"/>
        <v>6.018054162487462E-3</v>
      </c>
      <c r="AS427" s="2">
        <f t="shared" si="3564"/>
        <v>4.6948356807511738E-3</v>
      </c>
      <c r="AT427" s="2">
        <f t="shared" si="3564"/>
        <v>4.3956043956043956E-3</v>
      </c>
      <c r="AU427" s="2">
        <f t="shared" si="3556"/>
        <v>1.5794669299111549E-2</v>
      </c>
      <c r="AV427" s="2">
        <f t="shared" si="3278"/>
        <v>9.3023255813953487E-3</v>
      </c>
      <c r="AW427" s="2">
        <f t="shared" si="3278"/>
        <v>1.2158054711246201E-2</v>
      </c>
    </row>
    <row r="428" spans="1:49" ht="15.75" customHeight="1" x14ac:dyDescent="0.15">
      <c r="A428" s="1">
        <v>2025</v>
      </c>
      <c r="D428" t="s">
        <v>241</v>
      </c>
      <c r="E428">
        <v>115</v>
      </c>
      <c r="F428">
        <v>142</v>
      </c>
      <c r="G428">
        <v>257</v>
      </c>
      <c r="H428">
        <v>918</v>
      </c>
      <c r="I428">
        <v>1156</v>
      </c>
      <c r="J428">
        <v>2074</v>
      </c>
      <c r="K428">
        <v>452</v>
      </c>
      <c r="L428">
        <v>571</v>
      </c>
      <c r="M428">
        <v>1023</v>
      </c>
      <c r="N428">
        <v>209</v>
      </c>
      <c r="O428">
        <v>283</v>
      </c>
      <c r="P428">
        <v>492</v>
      </c>
      <c r="Q428">
        <v>194</v>
      </c>
      <c r="R428">
        <v>266</v>
      </c>
      <c r="S428">
        <v>460</v>
      </c>
      <c r="T428">
        <v>22</v>
      </c>
      <c r="U428">
        <v>19</v>
      </c>
      <c r="V428">
        <v>41</v>
      </c>
      <c r="W428" s="1">
        <f t="shared" si="3557"/>
        <v>1910</v>
      </c>
      <c r="X428" s="1">
        <f t="shared" si="3557"/>
        <v>2437</v>
      </c>
      <c r="Y428" s="1">
        <f t="shared" si="3551"/>
        <v>4347</v>
      </c>
      <c r="Z428" s="1">
        <f t="shared" si="3558"/>
        <v>1888</v>
      </c>
      <c r="AA428" s="1">
        <f t="shared" si="3558"/>
        <v>2418</v>
      </c>
      <c r="AB428" s="1">
        <f t="shared" si="3552"/>
        <v>4306</v>
      </c>
      <c r="AC428" s="1">
        <f t="shared" si="3559"/>
        <v>1694</v>
      </c>
      <c r="AD428" s="1">
        <f t="shared" si="3559"/>
        <v>2152</v>
      </c>
      <c r="AE428" s="1">
        <f t="shared" si="3553"/>
        <v>3846</v>
      </c>
      <c r="AF428" s="2">
        <f t="shared" si="3560"/>
        <v>0.8972457627118644</v>
      </c>
      <c r="AG428" s="2">
        <f t="shared" si="3560"/>
        <v>0.88999172870140608</v>
      </c>
      <c r="AH428" s="2">
        <f t="shared" si="3560"/>
        <v>0.89317231769623784</v>
      </c>
      <c r="AI428" s="1">
        <f t="shared" si="3561"/>
        <v>1485</v>
      </c>
      <c r="AJ428" s="1">
        <f t="shared" si="3561"/>
        <v>1869</v>
      </c>
      <c r="AK428" s="1">
        <f t="shared" si="3554"/>
        <v>3354</v>
      </c>
      <c r="AL428" s="2">
        <f t="shared" si="3562"/>
        <v>0.78654661016949157</v>
      </c>
      <c r="AM428" s="2">
        <f t="shared" si="3562"/>
        <v>0.77295285359801491</v>
      </c>
      <c r="AN428" s="2">
        <f t="shared" si="3562"/>
        <v>0.77891314444960524</v>
      </c>
      <c r="AO428" s="2">
        <f t="shared" si="3563"/>
        <v>6.091101694915254E-2</v>
      </c>
      <c r="AP428" s="2">
        <f t="shared" si="3563"/>
        <v>5.8726220016542596E-2</v>
      </c>
      <c r="AQ428" s="2">
        <f t="shared" si="3563"/>
        <v>5.9684161634928005E-2</v>
      </c>
      <c r="AR428" s="2">
        <f t="shared" si="3555"/>
        <v>0.14088983050847459</v>
      </c>
      <c r="AS428" s="2">
        <f t="shared" si="3564"/>
        <v>0.11000827129859388</v>
      </c>
      <c r="AT428" s="2">
        <f t="shared" si="3564"/>
        <v>0.10682768230376219</v>
      </c>
      <c r="AU428" s="2">
        <f t="shared" si="3556"/>
        <v>1.1518324607329843E-2</v>
      </c>
      <c r="AV428" s="2">
        <f t="shared" si="3278"/>
        <v>7.7964710709889206E-3</v>
      </c>
      <c r="AW428" s="2">
        <f t="shared" si="3278"/>
        <v>9.4317920404876927E-3</v>
      </c>
    </row>
    <row r="429" spans="1:49" ht="15.75" customHeight="1" x14ac:dyDescent="0.15">
      <c r="A429" s="1">
        <v>2025</v>
      </c>
      <c r="D429" t="s">
        <v>242</v>
      </c>
      <c r="E429">
        <v>113</v>
      </c>
      <c r="F429">
        <v>240</v>
      </c>
      <c r="G429">
        <v>353</v>
      </c>
      <c r="H429">
        <v>962</v>
      </c>
      <c r="I429">
        <v>954</v>
      </c>
      <c r="J429">
        <v>1916</v>
      </c>
      <c r="K429">
        <v>647</v>
      </c>
      <c r="L429">
        <v>748</v>
      </c>
      <c r="M429">
        <v>1395</v>
      </c>
      <c r="N429">
        <v>298</v>
      </c>
      <c r="O429">
        <v>421</v>
      </c>
      <c r="P429">
        <v>719</v>
      </c>
      <c r="Q429">
        <v>270</v>
      </c>
      <c r="R429">
        <v>328</v>
      </c>
      <c r="S429">
        <v>598</v>
      </c>
      <c r="T429">
        <v>12</v>
      </c>
      <c r="U429">
        <v>16</v>
      </c>
      <c r="V429">
        <v>28</v>
      </c>
      <c r="W429" s="1">
        <f t="shared" si="3557"/>
        <v>2302</v>
      </c>
      <c r="X429" s="1">
        <f t="shared" si="3557"/>
        <v>2707</v>
      </c>
      <c r="Y429" s="1">
        <f t="shared" si="3551"/>
        <v>5009</v>
      </c>
      <c r="Z429" s="1">
        <f t="shared" si="3558"/>
        <v>2290</v>
      </c>
      <c r="AA429" s="1">
        <f t="shared" si="3558"/>
        <v>2691</v>
      </c>
      <c r="AB429" s="1">
        <f t="shared" si="3552"/>
        <v>4981</v>
      </c>
      <c r="AC429" s="1">
        <f t="shared" si="3559"/>
        <v>2020</v>
      </c>
      <c r="AD429" s="1">
        <f t="shared" si="3559"/>
        <v>2363</v>
      </c>
      <c r="AE429" s="1">
        <f t="shared" si="3553"/>
        <v>4383</v>
      </c>
      <c r="AF429" s="2">
        <f t="shared" si="3560"/>
        <v>0.88209606986899558</v>
      </c>
      <c r="AG429" s="2">
        <f t="shared" si="3560"/>
        <v>0.87811222593831284</v>
      </c>
      <c r="AH429" s="2">
        <f t="shared" si="3560"/>
        <v>0.87994378638827542</v>
      </c>
      <c r="AI429" s="1">
        <f t="shared" si="3561"/>
        <v>1722</v>
      </c>
      <c r="AJ429" s="1">
        <f t="shared" si="3561"/>
        <v>1942</v>
      </c>
      <c r="AK429" s="1">
        <f t="shared" si="3554"/>
        <v>3664</v>
      </c>
      <c r="AL429" s="2">
        <f t="shared" si="3562"/>
        <v>0.75196506550218345</v>
      </c>
      <c r="AM429" s="2">
        <f t="shared" si="3562"/>
        <v>0.72166480862133031</v>
      </c>
      <c r="AN429" s="2">
        <f t="shared" si="3562"/>
        <v>0.73559526199558323</v>
      </c>
      <c r="AO429" s="2">
        <f t="shared" si="3563"/>
        <v>4.9344978165938864E-2</v>
      </c>
      <c r="AP429" s="2">
        <f t="shared" si="3563"/>
        <v>8.9186176142697887E-2</v>
      </c>
      <c r="AQ429" s="2">
        <f t="shared" si="3563"/>
        <v>7.0869303352740415E-2</v>
      </c>
      <c r="AR429" s="2">
        <f t="shared" si="3555"/>
        <v>0.14323144104803492</v>
      </c>
      <c r="AS429" s="2">
        <f t="shared" si="3564"/>
        <v>0.1218877740616871</v>
      </c>
      <c r="AT429" s="2">
        <f t="shared" si="3564"/>
        <v>0.12005621361172455</v>
      </c>
      <c r="AU429" s="2">
        <f t="shared" si="3556"/>
        <v>5.2128583840139013E-3</v>
      </c>
      <c r="AV429" s="2">
        <f t="shared" si="3278"/>
        <v>5.9106021425932766E-3</v>
      </c>
      <c r="AW429" s="2">
        <f t="shared" si="3278"/>
        <v>5.5899381113994808E-3</v>
      </c>
    </row>
    <row r="430" spans="1:49" ht="15.75" customHeight="1" x14ac:dyDescent="0.15">
      <c r="A430" s="1">
        <v>2025</v>
      </c>
      <c r="D430" t="s">
        <v>243</v>
      </c>
      <c r="E430">
        <v>355</v>
      </c>
      <c r="F430">
        <v>374</v>
      </c>
      <c r="G430">
        <v>729</v>
      </c>
      <c r="H430">
        <v>1067</v>
      </c>
      <c r="I430">
        <v>1328</v>
      </c>
      <c r="J430">
        <v>2395</v>
      </c>
      <c r="K430">
        <v>320</v>
      </c>
      <c r="L430">
        <v>432</v>
      </c>
      <c r="M430">
        <v>752</v>
      </c>
      <c r="N430">
        <v>131</v>
      </c>
      <c r="O430">
        <v>161</v>
      </c>
      <c r="P430">
        <v>292</v>
      </c>
      <c r="Q430">
        <v>103</v>
      </c>
      <c r="R430">
        <v>116</v>
      </c>
      <c r="S430">
        <v>219</v>
      </c>
      <c r="T430">
        <v>6</v>
      </c>
      <c r="U430">
        <v>11</v>
      </c>
      <c r="V430">
        <v>17</v>
      </c>
      <c r="W430" s="1">
        <f t="shared" si="3557"/>
        <v>1982</v>
      </c>
      <c r="X430" s="1">
        <f t="shared" si="3557"/>
        <v>2422</v>
      </c>
      <c r="Y430" s="1">
        <f t="shared" si="3551"/>
        <v>4404</v>
      </c>
      <c r="Z430" s="1">
        <f t="shared" si="3558"/>
        <v>1976</v>
      </c>
      <c r="AA430" s="1">
        <f t="shared" si="3558"/>
        <v>2411</v>
      </c>
      <c r="AB430" s="1">
        <f t="shared" si="3552"/>
        <v>4387</v>
      </c>
      <c r="AC430" s="1">
        <f t="shared" si="3559"/>
        <v>1873</v>
      </c>
      <c r="AD430" s="1">
        <f t="shared" si="3559"/>
        <v>2295</v>
      </c>
      <c r="AE430" s="1">
        <f t="shared" si="3553"/>
        <v>4168</v>
      </c>
      <c r="AF430" s="2">
        <f t="shared" si="3560"/>
        <v>0.94787449392712553</v>
      </c>
      <c r="AG430" s="2">
        <f t="shared" si="3560"/>
        <v>0.95188718374118619</v>
      </c>
      <c r="AH430" s="2">
        <f t="shared" si="3560"/>
        <v>0.95007978117164349</v>
      </c>
      <c r="AI430" s="1">
        <f t="shared" si="3561"/>
        <v>1742</v>
      </c>
      <c r="AJ430" s="1">
        <f t="shared" si="3561"/>
        <v>2134</v>
      </c>
      <c r="AK430" s="1">
        <f t="shared" si="3554"/>
        <v>3876</v>
      </c>
      <c r="AL430" s="2">
        <f t="shared" si="3562"/>
        <v>0.88157894736842102</v>
      </c>
      <c r="AM430" s="2">
        <f t="shared" si="3562"/>
        <v>0.88510991289921193</v>
      </c>
      <c r="AN430" s="2">
        <f t="shared" si="3562"/>
        <v>0.88351948940050151</v>
      </c>
      <c r="AO430" s="2">
        <f t="shared" si="3563"/>
        <v>0.17965587044534412</v>
      </c>
      <c r="AP430" s="2">
        <f t="shared" si="3563"/>
        <v>0.15512235586893405</v>
      </c>
      <c r="AQ430" s="2">
        <f t="shared" si="3563"/>
        <v>0.16617278322315934</v>
      </c>
      <c r="AR430" s="2">
        <f t="shared" si="3555"/>
        <v>5.8704453441295545E-2</v>
      </c>
      <c r="AS430" s="2">
        <f t="shared" si="3564"/>
        <v>4.8112816258813772E-2</v>
      </c>
      <c r="AT430" s="2">
        <f t="shared" si="3564"/>
        <v>4.9920218828356511E-2</v>
      </c>
      <c r="AU430" s="2">
        <f t="shared" si="3556"/>
        <v>3.0272452068617556E-3</v>
      </c>
      <c r="AV430" s="2">
        <f t="shared" si="3278"/>
        <v>4.5417010734929812E-3</v>
      </c>
      <c r="AW430" s="2">
        <f t="shared" si="3278"/>
        <v>3.8601271571298821E-3</v>
      </c>
    </row>
    <row r="431" spans="1:49" ht="15.75" customHeight="1" x14ac:dyDescent="0.15">
      <c r="A431" s="1">
        <v>2025</v>
      </c>
      <c r="D431" t="s">
        <v>244</v>
      </c>
      <c r="E431">
        <v>19</v>
      </c>
      <c r="F431">
        <v>11</v>
      </c>
      <c r="G431">
        <v>30</v>
      </c>
      <c r="H431">
        <v>431</v>
      </c>
      <c r="I431">
        <v>510</v>
      </c>
      <c r="J431">
        <v>941</v>
      </c>
      <c r="K431">
        <v>362</v>
      </c>
      <c r="L431">
        <v>433</v>
      </c>
      <c r="M431">
        <v>795</v>
      </c>
      <c r="N431">
        <v>195</v>
      </c>
      <c r="O431">
        <v>260</v>
      </c>
      <c r="P431">
        <v>455</v>
      </c>
      <c r="Q431">
        <v>216</v>
      </c>
      <c r="R431">
        <v>248</v>
      </c>
      <c r="S431">
        <v>464</v>
      </c>
      <c r="T431">
        <v>10</v>
      </c>
      <c r="U431">
        <v>10</v>
      </c>
      <c r="V431">
        <v>20</v>
      </c>
      <c r="W431" s="1">
        <f t="shared" si="3557"/>
        <v>1233</v>
      </c>
      <c r="X431" s="1">
        <f t="shared" si="3557"/>
        <v>1472</v>
      </c>
      <c r="Y431" s="1">
        <f t="shared" si="3551"/>
        <v>2705</v>
      </c>
      <c r="Z431" s="1">
        <f t="shared" si="3558"/>
        <v>1223</v>
      </c>
      <c r="AA431" s="1">
        <f t="shared" si="3558"/>
        <v>1462</v>
      </c>
      <c r="AB431" s="1">
        <f t="shared" si="3552"/>
        <v>2685</v>
      </c>
      <c r="AC431" s="1">
        <f t="shared" si="3559"/>
        <v>1007</v>
      </c>
      <c r="AD431" s="1">
        <f t="shared" si="3559"/>
        <v>1214</v>
      </c>
      <c r="AE431" s="1">
        <f t="shared" si="3553"/>
        <v>2221</v>
      </c>
      <c r="AF431" s="2">
        <f t="shared" si="3560"/>
        <v>0.82338511856091579</v>
      </c>
      <c r="AG431" s="2">
        <f t="shared" si="3560"/>
        <v>0.83036935704514359</v>
      </c>
      <c r="AH431" s="2">
        <f t="shared" si="3560"/>
        <v>0.82718808193668525</v>
      </c>
      <c r="AI431" s="1">
        <f t="shared" si="3561"/>
        <v>812</v>
      </c>
      <c r="AJ431" s="1">
        <f t="shared" si="3561"/>
        <v>954</v>
      </c>
      <c r="AK431" s="1">
        <f t="shared" si="3554"/>
        <v>1766</v>
      </c>
      <c r="AL431" s="2">
        <f t="shared" si="3562"/>
        <v>0.66394112837285368</v>
      </c>
      <c r="AM431" s="2">
        <f t="shared" si="3562"/>
        <v>0.65253077975376195</v>
      </c>
      <c r="AN431" s="2">
        <f t="shared" si="3562"/>
        <v>0.65772811918063312</v>
      </c>
      <c r="AO431" s="2">
        <f t="shared" si="3563"/>
        <v>1.5535568274734259E-2</v>
      </c>
      <c r="AP431" s="2">
        <f t="shared" si="3563"/>
        <v>7.523939808481532E-3</v>
      </c>
      <c r="AQ431" s="2">
        <f t="shared" si="3563"/>
        <v>1.11731843575419E-2</v>
      </c>
      <c r="AR431" s="2">
        <f t="shared" si="3555"/>
        <v>0.2027800490596893</v>
      </c>
      <c r="AS431" s="2">
        <f t="shared" si="3564"/>
        <v>0.16963064295485636</v>
      </c>
      <c r="AT431" s="2">
        <f t="shared" si="3564"/>
        <v>0.17281191806331472</v>
      </c>
      <c r="AU431" s="2">
        <f t="shared" si="3556"/>
        <v>8.1103000811030002E-3</v>
      </c>
      <c r="AV431" s="2">
        <f t="shared" si="3278"/>
        <v>6.793478260869565E-3</v>
      </c>
      <c r="AW431" s="2">
        <f t="shared" si="3278"/>
        <v>7.3937153419593345E-3</v>
      </c>
    </row>
    <row r="432" spans="1:49" ht="15.75" customHeight="1" x14ac:dyDescent="0.15">
      <c r="A432" s="1">
        <v>2025</v>
      </c>
      <c r="D432" t="s">
        <v>245</v>
      </c>
      <c r="E432">
        <v>22</v>
      </c>
      <c r="F432">
        <v>15</v>
      </c>
      <c r="G432">
        <v>37</v>
      </c>
      <c r="H432">
        <v>333</v>
      </c>
      <c r="I432">
        <v>331</v>
      </c>
      <c r="J432">
        <v>664</v>
      </c>
      <c r="K432">
        <v>352</v>
      </c>
      <c r="L432">
        <v>401</v>
      </c>
      <c r="M432">
        <v>753</v>
      </c>
      <c r="N432">
        <v>222</v>
      </c>
      <c r="O432">
        <v>282</v>
      </c>
      <c r="P432">
        <v>504</v>
      </c>
      <c r="Q432">
        <v>340</v>
      </c>
      <c r="R432">
        <v>403</v>
      </c>
      <c r="S432">
        <v>743</v>
      </c>
      <c r="T432">
        <v>27</v>
      </c>
      <c r="U432">
        <v>44</v>
      </c>
      <c r="V432">
        <v>71</v>
      </c>
      <c r="W432" s="1">
        <f t="shared" si="3557"/>
        <v>1296</v>
      </c>
      <c r="X432" s="1">
        <f t="shared" si="3557"/>
        <v>1476</v>
      </c>
      <c r="Y432" s="1">
        <f t="shared" si="3551"/>
        <v>2772</v>
      </c>
      <c r="Z432" s="1">
        <f t="shared" si="3558"/>
        <v>1269</v>
      </c>
      <c r="AA432" s="1">
        <f t="shared" si="3558"/>
        <v>1432</v>
      </c>
      <c r="AB432" s="1">
        <f t="shared" si="3552"/>
        <v>2701</v>
      </c>
      <c r="AC432" s="1">
        <f t="shared" si="3559"/>
        <v>929</v>
      </c>
      <c r="AD432" s="1">
        <f t="shared" si="3559"/>
        <v>1029</v>
      </c>
      <c r="AE432" s="1">
        <f t="shared" si="3553"/>
        <v>1958</v>
      </c>
      <c r="AF432" s="2">
        <f t="shared" si="3560"/>
        <v>0.73207249802994478</v>
      </c>
      <c r="AG432" s="2">
        <f t="shared" si="3560"/>
        <v>0.71857541899441346</v>
      </c>
      <c r="AH432" s="2">
        <f t="shared" si="3560"/>
        <v>0.72491669751943721</v>
      </c>
      <c r="AI432" s="1">
        <f t="shared" si="3561"/>
        <v>707</v>
      </c>
      <c r="AJ432" s="1">
        <f t="shared" si="3561"/>
        <v>747</v>
      </c>
      <c r="AK432" s="1">
        <f t="shared" si="3554"/>
        <v>1454</v>
      </c>
      <c r="AL432" s="2">
        <f t="shared" si="3562"/>
        <v>0.5571315996847912</v>
      </c>
      <c r="AM432" s="2">
        <f t="shared" si="3562"/>
        <v>0.5216480446927374</v>
      </c>
      <c r="AN432" s="2">
        <f t="shared" si="3562"/>
        <v>0.53831914105886713</v>
      </c>
      <c r="AO432" s="2">
        <f t="shared" si="3563"/>
        <v>1.7336485421591805E-2</v>
      </c>
      <c r="AP432" s="2">
        <f t="shared" si="3563"/>
        <v>1.047486033519553E-2</v>
      </c>
      <c r="AQ432" s="2">
        <f t="shared" si="3563"/>
        <v>1.3698630136986301E-2</v>
      </c>
      <c r="AR432" s="2">
        <f t="shared" si="3555"/>
        <v>0.31757289204097716</v>
      </c>
      <c r="AS432" s="2">
        <f t="shared" si="3564"/>
        <v>0.28142458100558659</v>
      </c>
      <c r="AT432" s="2">
        <f t="shared" si="3564"/>
        <v>0.27508330248056273</v>
      </c>
      <c r="AU432" s="2">
        <f t="shared" si="3556"/>
        <v>2.0833333333333332E-2</v>
      </c>
      <c r="AV432" s="2">
        <f t="shared" si="3278"/>
        <v>2.9810298102981029E-2</v>
      </c>
      <c r="AW432" s="2">
        <f t="shared" si="3278"/>
        <v>2.5613275613275612E-2</v>
      </c>
    </row>
    <row r="433" spans="1:49" ht="15.75" customHeight="1" x14ac:dyDescent="0.15">
      <c r="A433" s="1">
        <v>2025</v>
      </c>
      <c r="C433" s="3" t="s">
        <v>99</v>
      </c>
      <c r="D433" t="s">
        <v>246</v>
      </c>
      <c r="E433">
        <v>26</v>
      </c>
      <c r="F433">
        <v>22</v>
      </c>
      <c r="G433">
        <v>48</v>
      </c>
      <c r="H433">
        <v>444</v>
      </c>
      <c r="I433">
        <v>286</v>
      </c>
      <c r="J433">
        <v>730</v>
      </c>
      <c r="K433">
        <v>282</v>
      </c>
      <c r="L433">
        <v>225</v>
      </c>
      <c r="M433">
        <v>507</v>
      </c>
      <c r="N433">
        <v>139</v>
      </c>
      <c r="O433">
        <v>157</v>
      </c>
      <c r="P433">
        <v>296</v>
      </c>
      <c r="Q433">
        <v>95</v>
      </c>
      <c r="R433">
        <v>164</v>
      </c>
      <c r="S433">
        <v>259</v>
      </c>
      <c r="T433">
        <v>6</v>
      </c>
      <c r="U433">
        <v>12</v>
      </c>
      <c r="V433">
        <v>18</v>
      </c>
      <c r="W433" s="1">
        <f t="shared" si="3557"/>
        <v>992</v>
      </c>
      <c r="X433" s="1">
        <f t="shared" si="3557"/>
        <v>866</v>
      </c>
      <c r="Y433" s="1">
        <f t="shared" si="3551"/>
        <v>1858</v>
      </c>
      <c r="Z433" s="1">
        <f t="shared" si="3558"/>
        <v>986</v>
      </c>
      <c r="AA433" s="1">
        <f t="shared" si="3558"/>
        <v>854</v>
      </c>
      <c r="AB433" s="1">
        <f t="shared" si="3552"/>
        <v>1840</v>
      </c>
      <c r="AC433" s="1">
        <f t="shared" si="3559"/>
        <v>891</v>
      </c>
      <c r="AD433" s="1">
        <f t="shared" si="3559"/>
        <v>690</v>
      </c>
      <c r="AE433" s="1">
        <f t="shared" si="3553"/>
        <v>1581</v>
      </c>
      <c r="AF433" s="2">
        <f t="shared" si="3560"/>
        <v>0.90365111561866129</v>
      </c>
      <c r="AG433" s="2">
        <f t="shared" si="3560"/>
        <v>0.80796252927400469</v>
      </c>
      <c r="AH433" s="2">
        <f t="shared" si="3560"/>
        <v>0.85923913043478262</v>
      </c>
      <c r="AI433" s="1">
        <f t="shared" si="3561"/>
        <v>752</v>
      </c>
      <c r="AJ433" s="1">
        <f t="shared" si="3561"/>
        <v>533</v>
      </c>
      <c r="AK433" s="1">
        <f t="shared" si="3554"/>
        <v>1285</v>
      </c>
      <c r="AL433" s="2">
        <f t="shared" si="3562"/>
        <v>0.76267748478701824</v>
      </c>
      <c r="AM433" s="2">
        <f t="shared" si="3562"/>
        <v>0.6241217798594848</v>
      </c>
      <c r="AN433" s="2">
        <f t="shared" si="3562"/>
        <v>0.69836956521739135</v>
      </c>
      <c r="AO433" s="2">
        <f t="shared" si="3563"/>
        <v>2.6369168356997971E-2</v>
      </c>
      <c r="AP433" s="2">
        <f t="shared" si="3563"/>
        <v>2.576112412177986E-2</v>
      </c>
      <c r="AQ433" s="2">
        <f t="shared" si="3563"/>
        <v>2.6086956521739129E-2</v>
      </c>
      <c r="AR433" s="2">
        <f t="shared" si="3555"/>
        <v>0.16632860040567951</v>
      </c>
      <c r="AS433" s="2">
        <f t="shared" si="3564"/>
        <v>0.19203747072599531</v>
      </c>
      <c r="AT433" s="2">
        <f t="shared" si="3564"/>
        <v>0.14076086956521738</v>
      </c>
      <c r="AU433" s="2">
        <f t="shared" si="3556"/>
        <v>6.0483870967741934E-3</v>
      </c>
      <c r="AV433" s="2">
        <f t="shared" si="3278"/>
        <v>1.3856812933025405E-2</v>
      </c>
      <c r="AW433" s="2">
        <f t="shared" si="3278"/>
        <v>9.6878363832077503E-3</v>
      </c>
    </row>
    <row r="434" spans="1:49" ht="15.75" customHeight="1" x14ac:dyDescent="0.15">
      <c r="A434" s="1">
        <v>2025</v>
      </c>
      <c r="D434" t="s">
        <v>247</v>
      </c>
      <c r="E434">
        <v>179</v>
      </c>
      <c r="F434">
        <v>133</v>
      </c>
      <c r="G434">
        <v>312</v>
      </c>
      <c r="H434">
        <v>904</v>
      </c>
      <c r="I434">
        <v>888</v>
      </c>
      <c r="J434">
        <v>1792</v>
      </c>
      <c r="K434">
        <v>513</v>
      </c>
      <c r="L434">
        <v>483</v>
      </c>
      <c r="M434">
        <v>996</v>
      </c>
      <c r="N434">
        <v>454</v>
      </c>
      <c r="O434">
        <v>433</v>
      </c>
      <c r="P434">
        <v>887</v>
      </c>
      <c r="Q434">
        <v>688</v>
      </c>
      <c r="R434">
        <v>607</v>
      </c>
      <c r="S434">
        <v>1295</v>
      </c>
      <c r="T434">
        <v>61</v>
      </c>
      <c r="U434">
        <v>81</v>
      </c>
      <c r="V434">
        <v>142</v>
      </c>
      <c r="W434" s="1">
        <f t="shared" si="3557"/>
        <v>2799</v>
      </c>
      <c r="X434" s="1">
        <f t="shared" si="3557"/>
        <v>2625</v>
      </c>
      <c r="Y434" s="1">
        <f t="shared" si="3551"/>
        <v>5424</v>
      </c>
      <c r="Z434" s="1">
        <f t="shared" si="3558"/>
        <v>2738</v>
      </c>
      <c r="AA434" s="1">
        <f t="shared" si="3558"/>
        <v>2544</v>
      </c>
      <c r="AB434" s="1">
        <f t="shared" si="3552"/>
        <v>5282</v>
      </c>
      <c r="AC434" s="1">
        <f t="shared" si="3559"/>
        <v>2050</v>
      </c>
      <c r="AD434" s="1">
        <f t="shared" si="3559"/>
        <v>1937</v>
      </c>
      <c r="AE434" s="1">
        <f t="shared" si="3553"/>
        <v>3987</v>
      </c>
      <c r="AF434" s="2">
        <f t="shared" si="3560"/>
        <v>0.7487216946676406</v>
      </c>
      <c r="AG434" s="2">
        <f t="shared" si="3560"/>
        <v>0.76139937106918243</v>
      </c>
      <c r="AH434" s="2">
        <f t="shared" si="3560"/>
        <v>0.75482771677394922</v>
      </c>
      <c r="AI434" s="1">
        <f t="shared" si="3561"/>
        <v>1596</v>
      </c>
      <c r="AJ434" s="1">
        <f t="shared" si="3561"/>
        <v>1504</v>
      </c>
      <c r="AK434" s="1">
        <f t="shared" si="3554"/>
        <v>3100</v>
      </c>
      <c r="AL434" s="2">
        <f t="shared" si="3562"/>
        <v>0.5829072315558802</v>
      </c>
      <c r="AM434" s="2">
        <f t="shared" si="3562"/>
        <v>0.5911949685534591</v>
      </c>
      <c r="AN434" s="2">
        <f t="shared" si="3562"/>
        <v>0.58689890193108674</v>
      </c>
      <c r="AO434" s="2">
        <f t="shared" si="3563"/>
        <v>6.5376186997808616E-2</v>
      </c>
      <c r="AP434" s="2">
        <f t="shared" si="3563"/>
        <v>5.227987421383648E-2</v>
      </c>
      <c r="AQ434" s="2">
        <f t="shared" si="3563"/>
        <v>5.9068534645967438E-2</v>
      </c>
      <c r="AR434" s="2">
        <f t="shared" si="3555"/>
        <v>0.22169466764061357</v>
      </c>
      <c r="AS434" s="2">
        <f t="shared" si="3564"/>
        <v>0.2386006289308176</v>
      </c>
      <c r="AT434" s="2">
        <f t="shared" si="3564"/>
        <v>0.24517228322605072</v>
      </c>
      <c r="AU434" s="2">
        <f t="shared" si="3556"/>
        <v>2.1793497677742052E-2</v>
      </c>
      <c r="AV434" s="2">
        <f t="shared" si="3278"/>
        <v>3.0857142857142857E-2</v>
      </c>
      <c r="AW434" s="2">
        <f t="shared" si="3278"/>
        <v>2.6179941002949854E-2</v>
      </c>
    </row>
    <row r="435" spans="1:49" ht="15.75" customHeight="1" x14ac:dyDescent="0.15">
      <c r="A435" s="1">
        <v>2025</v>
      </c>
      <c r="D435" t="s">
        <v>248</v>
      </c>
      <c r="E435">
        <v>557</v>
      </c>
      <c r="F435">
        <v>674</v>
      </c>
      <c r="G435">
        <v>1231</v>
      </c>
      <c r="H435">
        <v>1032</v>
      </c>
      <c r="I435">
        <v>1227</v>
      </c>
      <c r="J435">
        <v>2259</v>
      </c>
      <c r="K435">
        <v>133</v>
      </c>
      <c r="L435">
        <v>150</v>
      </c>
      <c r="M435">
        <v>283</v>
      </c>
      <c r="N435">
        <v>49</v>
      </c>
      <c r="O435">
        <v>53</v>
      </c>
      <c r="P435">
        <v>102</v>
      </c>
      <c r="Q435">
        <v>27</v>
      </c>
      <c r="R435">
        <v>31</v>
      </c>
      <c r="S435">
        <v>58</v>
      </c>
      <c r="T435">
        <v>26</v>
      </c>
      <c r="U435">
        <v>33</v>
      </c>
      <c r="V435">
        <v>59</v>
      </c>
      <c r="W435" s="1">
        <f t="shared" si="3557"/>
        <v>1824</v>
      </c>
      <c r="X435" s="1">
        <f t="shared" si="3557"/>
        <v>2168</v>
      </c>
      <c r="Y435" s="1">
        <f t="shared" si="3551"/>
        <v>3992</v>
      </c>
      <c r="Z435" s="1">
        <f t="shared" si="3558"/>
        <v>1798</v>
      </c>
      <c r="AA435" s="1">
        <f t="shared" si="3558"/>
        <v>2135</v>
      </c>
      <c r="AB435" s="1">
        <f t="shared" si="3552"/>
        <v>3933</v>
      </c>
      <c r="AC435" s="1">
        <f t="shared" si="3559"/>
        <v>1771</v>
      </c>
      <c r="AD435" s="1">
        <f t="shared" si="3559"/>
        <v>2104</v>
      </c>
      <c r="AE435" s="1">
        <f t="shared" si="3553"/>
        <v>3875</v>
      </c>
      <c r="AF435" s="2">
        <f t="shared" si="3560"/>
        <v>0.98498331479421575</v>
      </c>
      <c r="AG435" s="2">
        <f t="shared" si="3560"/>
        <v>0.98548009367681499</v>
      </c>
      <c r="AH435" s="2">
        <f t="shared" si="3560"/>
        <v>0.98525298754131707</v>
      </c>
      <c r="AI435" s="1">
        <f t="shared" si="3561"/>
        <v>1722</v>
      </c>
      <c r="AJ435" s="1">
        <f t="shared" si="3561"/>
        <v>2051</v>
      </c>
      <c r="AK435" s="1">
        <f t="shared" si="3554"/>
        <v>3773</v>
      </c>
      <c r="AL435" s="2">
        <f t="shared" si="3562"/>
        <v>0.9577308120133482</v>
      </c>
      <c r="AM435" s="2">
        <f t="shared" si="3562"/>
        <v>0.96065573770491808</v>
      </c>
      <c r="AN435" s="2">
        <f t="shared" si="3562"/>
        <v>0.95931858632087463</v>
      </c>
      <c r="AO435" s="2">
        <f t="shared" si="3563"/>
        <v>0.30978865406006673</v>
      </c>
      <c r="AP435" s="2">
        <f t="shared" si="3563"/>
        <v>0.31569086651053863</v>
      </c>
      <c r="AQ435" s="2">
        <f t="shared" si="3563"/>
        <v>0.31299262649377063</v>
      </c>
      <c r="AR435" s="2">
        <f t="shared" si="3555"/>
        <v>1.7241379310344827E-2</v>
      </c>
      <c r="AS435" s="2">
        <f t="shared" si="3564"/>
        <v>1.4519906323185013E-2</v>
      </c>
      <c r="AT435" s="2">
        <f t="shared" si="3564"/>
        <v>1.4747012458682939E-2</v>
      </c>
      <c r="AU435" s="2">
        <f t="shared" si="3556"/>
        <v>1.425438596491228E-2</v>
      </c>
      <c r="AV435" s="2">
        <f t="shared" si="3278"/>
        <v>1.522140221402214E-2</v>
      </c>
      <c r="AW435" s="2">
        <f t="shared" si="3278"/>
        <v>1.4779559118236472E-2</v>
      </c>
    </row>
    <row r="436" spans="1:49" ht="15.75" customHeight="1" x14ac:dyDescent="0.15">
      <c r="A436" s="1">
        <v>2025</v>
      </c>
      <c r="C436" s="3" t="s">
        <v>54</v>
      </c>
      <c r="D436" t="s">
        <v>249</v>
      </c>
      <c r="E436">
        <v>398</v>
      </c>
      <c r="F436">
        <v>447</v>
      </c>
      <c r="G436">
        <v>845</v>
      </c>
      <c r="H436">
        <v>356</v>
      </c>
      <c r="I436">
        <v>587</v>
      </c>
      <c r="J436">
        <v>943</v>
      </c>
      <c r="K436">
        <v>13</v>
      </c>
      <c r="L436">
        <v>26</v>
      </c>
      <c r="M436">
        <v>39</v>
      </c>
      <c r="N436">
        <v>9</v>
      </c>
      <c r="O436">
        <v>13</v>
      </c>
      <c r="P436">
        <v>22</v>
      </c>
      <c r="Q436">
        <v>5</v>
      </c>
      <c r="R436">
        <v>5</v>
      </c>
      <c r="S436">
        <v>10</v>
      </c>
      <c r="T436">
        <v>5</v>
      </c>
      <c r="U436">
        <v>4</v>
      </c>
      <c r="V436">
        <v>9</v>
      </c>
      <c r="W436" s="1">
        <f t="shared" si="3557"/>
        <v>786</v>
      </c>
      <c r="X436" s="1">
        <f t="shared" si="3557"/>
        <v>1082</v>
      </c>
      <c r="Y436" s="1">
        <f t="shared" si="3551"/>
        <v>1868</v>
      </c>
      <c r="Z436" s="1">
        <f t="shared" si="3558"/>
        <v>781</v>
      </c>
      <c r="AA436" s="1">
        <f t="shared" si="3558"/>
        <v>1078</v>
      </c>
      <c r="AB436" s="1">
        <f t="shared" si="3552"/>
        <v>1859</v>
      </c>
      <c r="AC436" s="1">
        <f t="shared" si="3559"/>
        <v>776</v>
      </c>
      <c r="AD436" s="1">
        <f t="shared" si="3559"/>
        <v>1073</v>
      </c>
      <c r="AE436" s="1">
        <f t="shared" si="3553"/>
        <v>1849</v>
      </c>
      <c r="AF436" s="2">
        <f t="shared" si="3560"/>
        <v>0.99359795134443019</v>
      </c>
      <c r="AG436" s="2">
        <f t="shared" si="3560"/>
        <v>0.99536178107606677</v>
      </c>
      <c r="AH436" s="2">
        <f t="shared" si="3560"/>
        <v>0.99462076385153309</v>
      </c>
      <c r="AI436" s="1">
        <f t="shared" si="3561"/>
        <v>767</v>
      </c>
      <c r="AJ436" s="1">
        <f t="shared" si="3561"/>
        <v>1060</v>
      </c>
      <c r="AK436" s="1">
        <f t="shared" si="3554"/>
        <v>1827</v>
      </c>
      <c r="AL436" s="2">
        <f t="shared" si="3562"/>
        <v>0.98207426376440465</v>
      </c>
      <c r="AM436" s="2">
        <f t="shared" si="3562"/>
        <v>0.98330241187384049</v>
      </c>
      <c r="AN436" s="2">
        <f t="shared" si="3562"/>
        <v>0.98278644432490592</v>
      </c>
      <c r="AO436" s="2">
        <f t="shared" si="3563"/>
        <v>0.50960307298335472</v>
      </c>
      <c r="AP436" s="2">
        <f t="shared" si="3563"/>
        <v>0.41465677179962895</v>
      </c>
      <c r="AQ436" s="2">
        <f t="shared" si="3563"/>
        <v>0.45454545454545453</v>
      </c>
      <c r="AR436" s="2">
        <f t="shared" si="3555"/>
        <v>6.4020486555697821E-3</v>
      </c>
      <c r="AS436" s="2">
        <f t="shared" si="3564"/>
        <v>4.6382189239332098E-3</v>
      </c>
      <c r="AT436" s="2">
        <f t="shared" si="3564"/>
        <v>5.3792361484669175E-3</v>
      </c>
      <c r="AU436" s="2">
        <f t="shared" si="3556"/>
        <v>6.3613231552162846E-3</v>
      </c>
      <c r="AV436" s="2">
        <f t="shared" si="3278"/>
        <v>3.6968576709796672E-3</v>
      </c>
      <c r="AW436" s="2">
        <f t="shared" si="3278"/>
        <v>4.8179871520342612E-3</v>
      </c>
    </row>
    <row r="437" spans="1:49" ht="15.75" customHeight="1" x14ac:dyDescent="0.15">
      <c r="A437" s="1">
        <v>2025</v>
      </c>
      <c r="C437" s="3" t="s">
        <v>54</v>
      </c>
      <c r="D437" t="s">
        <v>250</v>
      </c>
      <c r="E437">
        <v>543</v>
      </c>
      <c r="F437">
        <v>615</v>
      </c>
      <c r="G437">
        <v>1158</v>
      </c>
      <c r="H437">
        <v>1334</v>
      </c>
      <c r="I437">
        <v>1631</v>
      </c>
      <c r="J437">
        <v>2965</v>
      </c>
      <c r="K437">
        <v>219</v>
      </c>
      <c r="L437">
        <v>228</v>
      </c>
      <c r="M437">
        <v>447</v>
      </c>
      <c r="N437">
        <v>69</v>
      </c>
      <c r="O437">
        <v>56</v>
      </c>
      <c r="P437">
        <v>125</v>
      </c>
      <c r="Q437">
        <v>25</v>
      </c>
      <c r="R437">
        <v>36</v>
      </c>
      <c r="S437">
        <v>61</v>
      </c>
      <c r="T437">
        <v>32</v>
      </c>
      <c r="U437">
        <v>28</v>
      </c>
      <c r="V437">
        <v>60</v>
      </c>
      <c r="W437" s="1">
        <f t="shared" si="3557"/>
        <v>2222</v>
      </c>
      <c r="X437" s="1">
        <f t="shared" si="3557"/>
        <v>2594</v>
      </c>
      <c r="Y437" s="1">
        <f t="shared" si="3551"/>
        <v>4816</v>
      </c>
      <c r="Z437" s="1">
        <f t="shared" si="3558"/>
        <v>2190</v>
      </c>
      <c r="AA437" s="1">
        <f t="shared" si="3558"/>
        <v>2566</v>
      </c>
      <c r="AB437" s="1">
        <f t="shared" si="3552"/>
        <v>4756</v>
      </c>
      <c r="AC437" s="1">
        <f t="shared" si="3559"/>
        <v>2165</v>
      </c>
      <c r="AD437" s="1">
        <f t="shared" si="3559"/>
        <v>2530</v>
      </c>
      <c r="AE437" s="1">
        <f t="shared" si="3553"/>
        <v>4695</v>
      </c>
      <c r="AF437" s="2">
        <f t="shared" si="3560"/>
        <v>0.98858447488584478</v>
      </c>
      <c r="AG437" s="2">
        <f t="shared" si="3560"/>
        <v>0.98597038191738118</v>
      </c>
      <c r="AH437" s="2">
        <f t="shared" si="3560"/>
        <v>0.98717409587888982</v>
      </c>
      <c r="AI437" s="1">
        <f t="shared" si="3561"/>
        <v>2096</v>
      </c>
      <c r="AJ437" s="1">
        <f t="shared" si="3561"/>
        <v>2474</v>
      </c>
      <c r="AK437" s="1">
        <f t="shared" si="3554"/>
        <v>4570</v>
      </c>
      <c r="AL437" s="2">
        <f t="shared" si="3562"/>
        <v>0.95707762557077625</v>
      </c>
      <c r="AM437" s="2">
        <f t="shared" si="3562"/>
        <v>0.96414653156664065</v>
      </c>
      <c r="AN437" s="2">
        <f t="shared" si="3562"/>
        <v>0.96089150546677882</v>
      </c>
      <c r="AO437" s="2">
        <f t="shared" si="3563"/>
        <v>0.24794520547945206</v>
      </c>
      <c r="AP437" s="2">
        <f t="shared" si="3563"/>
        <v>0.23967264224473889</v>
      </c>
      <c r="AQ437" s="2">
        <f t="shared" si="3563"/>
        <v>0.24348191757779647</v>
      </c>
      <c r="AR437" s="2">
        <f t="shared" si="3555"/>
        <v>1.643835616438356E-2</v>
      </c>
      <c r="AS437" s="2">
        <f t="shared" si="3564"/>
        <v>1.4029618082618862E-2</v>
      </c>
      <c r="AT437" s="2">
        <f t="shared" si="3564"/>
        <v>1.2825904121110177E-2</v>
      </c>
      <c r="AU437" s="2">
        <f t="shared" si="3556"/>
        <v>1.4401440144014401E-2</v>
      </c>
      <c r="AV437" s="2">
        <f t="shared" si="3278"/>
        <v>1.0794140323824209E-2</v>
      </c>
      <c r="AW437" s="2">
        <f t="shared" si="3278"/>
        <v>1.2458471760797342E-2</v>
      </c>
    </row>
    <row r="438" spans="1:49" ht="15.75" customHeight="1" x14ac:dyDescent="0.15">
      <c r="A438" s="1">
        <v>2025</v>
      </c>
      <c r="D438" t="s">
        <v>251</v>
      </c>
      <c r="E438">
        <v>93</v>
      </c>
      <c r="F438">
        <v>54</v>
      </c>
      <c r="G438">
        <v>147</v>
      </c>
      <c r="H438">
        <v>460</v>
      </c>
      <c r="I438">
        <v>556</v>
      </c>
      <c r="J438">
        <v>1016</v>
      </c>
      <c r="K438">
        <v>90</v>
      </c>
      <c r="L438">
        <v>172</v>
      </c>
      <c r="M438">
        <v>262</v>
      </c>
      <c r="N438">
        <v>49</v>
      </c>
      <c r="O438">
        <v>81</v>
      </c>
      <c r="P438">
        <v>130</v>
      </c>
      <c r="Q438">
        <v>52</v>
      </c>
      <c r="R438">
        <v>70</v>
      </c>
      <c r="S438">
        <v>122</v>
      </c>
      <c r="T438">
        <v>8</v>
      </c>
      <c r="U438">
        <v>10</v>
      </c>
      <c r="V438">
        <v>18</v>
      </c>
      <c r="W438" s="1">
        <f t="shared" si="3557"/>
        <v>752</v>
      </c>
      <c r="X438" s="1">
        <f t="shared" si="3557"/>
        <v>943</v>
      </c>
      <c r="Y438" s="1">
        <f t="shared" si="3551"/>
        <v>1695</v>
      </c>
      <c r="Z438" s="1">
        <f t="shared" si="3558"/>
        <v>744</v>
      </c>
      <c r="AA438" s="1">
        <f t="shared" si="3558"/>
        <v>933</v>
      </c>
      <c r="AB438" s="1">
        <f t="shared" si="3552"/>
        <v>1677</v>
      </c>
      <c r="AC438" s="1">
        <f t="shared" si="3559"/>
        <v>692</v>
      </c>
      <c r="AD438" s="1">
        <f t="shared" si="3559"/>
        <v>863</v>
      </c>
      <c r="AE438" s="1">
        <f t="shared" si="3553"/>
        <v>1555</v>
      </c>
      <c r="AF438" s="2">
        <f t="shared" si="3560"/>
        <v>0.93010752688172038</v>
      </c>
      <c r="AG438" s="2">
        <f t="shared" si="3560"/>
        <v>0.92497320471597</v>
      </c>
      <c r="AH438" s="2">
        <f t="shared" si="3560"/>
        <v>0.92725104353011334</v>
      </c>
      <c r="AI438" s="1">
        <f t="shared" si="3561"/>
        <v>643</v>
      </c>
      <c r="AJ438" s="1">
        <f t="shared" si="3561"/>
        <v>782</v>
      </c>
      <c r="AK438" s="1">
        <f t="shared" si="3554"/>
        <v>1425</v>
      </c>
      <c r="AL438" s="2">
        <f t="shared" si="3562"/>
        <v>0.864247311827957</v>
      </c>
      <c r="AM438" s="2">
        <f t="shared" si="3562"/>
        <v>0.83815648445873525</v>
      </c>
      <c r="AN438" s="2">
        <f t="shared" si="3562"/>
        <v>0.84973166368515207</v>
      </c>
      <c r="AO438" s="2">
        <f t="shared" si="3563"/>
        <v>0.125</v>
      </c>
      <c r="AP438" s="2">
        <f t="shared" si="3563"/>
        <v>5.7877813504823149E-2</v>
      </c>
      <c r="AQ438" s="2">
        <f t="shared" si="3563"/>
        <v>8.7656529516994638E-2</v>
      </c>
      <c r="AR438" s="2">
        <f t="shared" si="3555"/>
        <v>9.4086021505376344E-2</v>
      </c>
      <c r="AS438" s="2">
        <f t="shared" si="3564"/>
        <v>7.5026795284030015E-2</v>
      </c>
      <c r="AT438" s="2">
        <f t="shared" si="3564"/>
        <v>7.2748956469886703E-2</v>
      </c>
      <c r="AU438" s="2">
        <f t="shared" si="3556"/>
        <v>1.0638297872340425E-2</v>
      </c>
      <c r="AV438" s="2">
        <f t="shared" si="3278"/>
        <v>1.0604453870625663E-2</v>
      </c>
      <c r="AW438" s="2">
        <f t="shared" si="3278"/>
        <v>1.0619469026548672E-2</v>
      </c>
    </row>
    <row r="439" spans="1:49" ht="15.75" customHeight="1" x14ac:dyDescent="0.15">
      <c r="A439" s="1">
        <v>2025</v>
      </c>
      <c r="D439" t="s">
        <v>252</v>
      </c>
      <c r="E439">
        <v>154</v>
      </c>
      <c r="F439">
        <v>112</v>
      </c>
      <c r="G439">
        <v>266</v>
      </c>
      <c r="H439">
        <v>1470</v>
      </c>
      <c r="I439">
        <v>1467</v>
      </c>
      <c r="J439">
        <v>2937</v>
      </c>
      <c r="K439">
        <v>661</v>
      </c>
      <c r="L439">
        <v>806</v>
      </c>
      <c r="M439">
        <v>1467</v>
      </c>
      <c r="N439">
        <v>308</v>
      </c>
      <c r="O439">
        <v>443</v>
      </c>
      <c r="P439">
        <v>751</v>
      </c>
      <c r="Q439">
        <v>181</v>
      </c>
      <c r="R439">
        <v>201</v>
      </c>
      <c r="S439">
        <v>382</v>
      </c>
      <c r="T439">
        <v>25</v>
      </c>
      <c r="U439">
        <v>30</v>
      </c>
      <c r="V439">
        <v>55</v>
      </c>
      <c r="W439" s="1">
        <f t="shared" si="3557"/>
        <v>2799</v>
      </c>
      <c r="X439" s="1">
        <f t="shared" si="3557"/>
        <v>3059</v>
      </c>
      <c r="Y439" s="1">
        <f t="shared" si="3551"/>
        <v>5858</v>
      </c>
      <c r="Z439" s="1">
        <f t="shared" si="3558"/>
        <v>2774</v>
      </c>
      <c r="AA439" s="1">
        <f t="shared" si="3558"/>
        <v>3029</v>
      </c>
      <c r="AB439" s="1">
        <f t="shared" si="3552"/>
        <v>5803</v>
      </c>
      <c r="AC439" s="1">
        <f t="shared" si="3559"/>
        <v>2593</v>
      </c>
      <c r="AD439" s="1">
        <f t="shared" si="3559"/>
        <v>2828</v>
      </c>
      <c r="AE439" s="1">
        <f t="shared" si="3553"/>
        <v>5421</v>
      </c>
      <c r="AF439" s="2">
        <f t="shared" si="3560"/>
        <v>0.9347512617159337</v>
      </c>
      <c r="AG439" s="2">
        <f t="shared" si="3560"/>
        <v>0.93364146583030705</v>
      </c>
      <c r="AH439" s="2">
        <f t="shared" si="3560"/>
        <v>0.93417198001033952</v>
      </c>
      <c r="AI439" s="1">
        <f t="shared" si="3561"/>
        <v>2285</v>
      </c>
      <c r="AJ439" s="1">
        <f t="shared" si="3561"/>
        <v>2385</v>
      </c>
      <c r="AK439" s="1">
        <f t="shared" si="3554"/>
        <v>4670</v>
      </c>
      <c r="AL439" s="2">
        <f t="shared" si="3562"/>
        <v>0.82372025955299211</v>
      </c>
      <c r="AM439" s="2">
        <f t="shared" si="3562"/>
        <v>0.78738857708814791</v>
      </c>
      <c r="AN439" s="2">
        <f t="shared" si="3562"/>
        <v>0.80475616060658284</v>
      </c>
      <c r="AO439" s="2">
        <f t="shared" si="3563"/>
        <v>5.5515501081470797E-2</v>
      </c>
      <c r="AP439" s="2">
        <f t="shared" si="3563"/>
        <v>3.6975899636843841E-2</v>
      </c>
      <c r="AQ439" s="2">
        <f t="shared" si="3563"/>
        <v>4.5838359469240045E-2</v>
      </c>
      <c r="AR439" s="2">
        <f t="shared" si="3555"/>
        <v>7.2458543619322274E-2</v>
      </c>
      <c r="AS439" s="2">
        <f t="shared" si="3564"/>
        <v>6.6358534169692965E-2</v>
      </c>
      <c r="AT439" s="2">
        <f t="shared" si="3564"/>
        <v>6.5828019989660522E-2</v>
      </c>
      <c r="AU439" s="2">
        <f t="shared" si="3556"/>
        <v>8.9317613433369056E-3</v>
      </c>
      <c r="AV439" s="2">
        <f t="shared" si="3556"/>
        <v>9.8071265119320031E-3</v>
      </c>
      <c r="AW439" s="2">
        <f t="shared" si="3556"/>
        <v>9.3888699214749061E-3</v>
      </c>
    </row>
    <row r="440" spans="1:49" ht="15.75" customHeight="1" x14ac:dyDescent="0.15">
      <c r="A440" s="1">
        <v>2025</v>
      </c>
      <c r="D440" t="s">
        <v>253</v>
      </c>
      <c r="E440">
        <v>152</v>
      </c>
      <c r="F440">
        <v>107</v>
      </c>
      <c r="G440">
        <v>259</v>
      </c>
      <c r="H440">
        <v>1065</v>
      </c>
      <c r="I440">
        <v>1144</v>
      </c>
      <c r="J440">
        <v>2209</v>
      </c>
      <c r="K440">
        <v>727</v>
      </c>
      <c r="L440">
        <v>852</v>
      </c>
      <c r="M440">
        <v>1579</v>
      </c>
      <c r="N440">
        <v>424</v>
      </c>
      <c r="O440">
        <v>531</v>
      </c>
      <c r="P440">
        <v>955</v>
      </c>
      <c r="Q440">
        <v>349</v>
      </c>
      <c r="R440">
        <v>426</v>
      </c>
      <c r="S440">
        <v>775</v>
      </c>
      <c r="T440">
        <v>49</v>
      </c>
      <c r="U440">
        <v>73</v>
      </c>
      <c r="V440">
        <v>122</v>
      </c>
      <c r="W440" s="1">
        <f t="shared" si="3557"/>
        <v>2766</v>
      </c>
      <c r="X440" s="1">
        <f t="shared" si="3557"/>
        <v>3133</v>
      </c>
      <c r="Y440" s="1">
        <f t="shared" si="3551"/>
        <v>5899</v>
      </c>
      <c r="Z440" s="1">
        <f t="shared" si="3558"/>
        <v>2717</v>
      </c>
      <c r="AA440" s="1">
        <f t="shared" si="3558"/>
        <v>3060</v>
      </c>
      <c r="AB440" s="1">
        <f t="shared" si="3552"/>
        <v>5777</v>
      </c>
      <c r="AC440" s="1">
        <f t="shared" si="3559"/>
        <v>2368</v>
      </c>
      <c r="AD440" s="1">
        <f t="shared" si="3559"/>
        <v>2634</v>
      </c>
      <c r="AE440" s="1">
        <f t="shared" si="3553"/>
        <v>5002</v>
      </c>
      <c r="AF440" s="2">
        <f t="shared" si="3560"/>
        <v>0.87154950312845048</v>
      </c>
      <c r="AG440" s="2">
        <f t="shared" si="3560"/>
        <v>0.86078431372549025</v>
      </c>
      <c r="AH440" s="2">
        <f t="shared" si="3560"/>
        <v>0.86584732560152333</v>
      </c>
      <c r="AI440" s="1">
        <f t="shared" si="3561"/>
        <v>1944</v>
      </c>
      <c r="AJ440" s="1">
        <f t="shared" si="3561"/>
        <v>2103</v>
      </c>
      <c r="AK440" s="1">
        <f t="shared" si="3554"/>
        <v>4047</v>
      </c>
      <c r="AL440" s="2">
        <f t="shared" si="3562"/>
        <v>0.71549503128450498</v>
      </c>
      <c r="AM440" s="2">
        <f t="shared" si="3562"/>
        <v>0.68725490196078431</v>
      </c>
      <c r="AN440" s="2">
        <f t="shared" si="3562"/>
        <v>0.70053661069759388</v>
      </c>
      <c r="AO440" s="2">
        <f t="shared" si="3563"/>
        <v>5.5944055944055944E-2</v>
      </c>
      <c r="AP440" s="2">
        <f t="shared" si="3563"/>
        <v>3.4967320261437909E-2</v>
      </c>
      <c r="AQ440" s="2">
        <f t="shared" si="3563"/>
        <v>4.4832958282845767E-2</v>
      </c>
      <c r="AR440" s="2">
        <f t="shared" si="3555"/>
        <v>0.15679057784320943</v>
      </c>
      <c r="AS440" s="2">
        <f t="shared" si="3564"/>
        <v>0.13921568627450981</v>
      </c>
      <c r="AT440" s="2">
        <f t="shared" si="3564"/>
        <v>0.13415267439847672</v>
      </c>
      <c r="AU440" s="2">
        <f t="shared" si="3556"/>
        <v>1.7715112075198842E-2</v>
      </c>
      <c r="AV440" s="2">
        <f t="shared" si="3556"/>
        <v>2.3300351101180977E-2</v>
      </c>
      <c r="AW440" s="2">
        <f t="shared" si="3556"/>
        <v>2.0681471435836582E-2</v>
      </c>
    </row>
    <row r="441" spans="1:49" ht="15.75" customHeight="1" x14ac:dyDescent="0.15">
      <c r="A441" s="1">
        <v>2025</v>
      </c>
      <c r="D441" t="s">
        <v>254</v>
      </c>
      <c r="E441">
        <v>107</v>
      </c>
      <c r="F441">
        <v>121</v>
      </c>
      <c r="G441">
        <v>228</v>
      </c>
      <c r="H441">
        <v>1028</v>
      </c>
      <c r="I441">
        <v>1223</v>
      </c>
      <c r="J441">
        <v>2251</v>
      </c>
      <c r="K441">
        <v>494</v>
      </c>
      <c r="L441">
        <v>542</v>
      </c>
      <c r="M441">
        <v>1036</v>
      </c>
      <c r="N441">
        <v>255</v>
      </c>
      <c r="O441">
        <v>289</v>
      </c>
      <c r="P441">
        <v>544</v>
      </c>
      <c r="Q441">
        <v>212</v>
      </c>
      <c r="R441">
        <v>202</v>
      </c>
      <c r="S441">
        <v>414</v>
      </c>
      <c r="T441">
        <v>47</v>
      </c>
      <c r="U441">
        <v>58</v>
      </c>
      <c r="V441">
        <v>105</v>
      </c>
      <c r="W441" s="1">
        <f t="shared" si="3557"/>
        <v>2143</v>
      </c>
      <c r="X441" s="1">
        <f t="shared" si="3557"/>
        <v>2435</v>
      </c>
      <c r="Y441" s="1">
        <f t="shared" si="3551"/>
        <v>4578</v>
      </c>
      <c r="Z441" s="1">
        <f t="shared" si="3558"/>
        <v>2096</v>
      </c>
      <c r="AA441" s="1">
        <f t="shared" si="3558"/>
        <v>2377</v>
      </c>
      <c r="AB441" s="1">
        <f t="shared" si="3552"/>
        <v>4473</v>
      </c>
      <c r="AC441" s="1">
        <f t="shared" si="3559"/>
        <v>1884</v>
      </c>
      <c r="AD441" s="1">
        <f t="shared" si="3559"/>
        <v>2175</v>
      </c>
      <c r="AE441" s="1">
        <f t="shared" si="3553"/>
        <v>4059</v>
      </c>
      <c r="AF441" s="2">
        <f t="shared" si="3560"/>
        <v>0.89885496183206104</v>
      </c>
      <c r="AG441" s="2">
        <f t="shared" si="3560"/>
        <v>0.91501893142616741</v>
      </c>
      <c r="AH441" s="2">
        <f t="shared" si="3560"/>
        <v>0.90744466800804824</v>
      </c>
      <c r="AI441" s="1">
        <f t="shared" si="3561"/>
        <v>1629</v>
      </c>
      <c r="AJ441" s="1">
        <f t="shared" si="3561"/>
        <v>1886</v>
      </c>
      <c r="AK441" s="1">
        <f t="shared" si="3554"/>
        <v>3515</v>
      </c>
      <c r="AL441" s="2">
        <f t="shared" si="3562"/>
        <v>0.77719465648854957</v>
      </c>
      <c r="AM441" s="2">
        <f t="shared" si="3562"/>
        <v>0.79343710559528813</v>
      </c>
      <c r="AN441" s="2">
        <f t="shared" si="3562"/>
        <v>0.78582606751620832</v>
      </c>
      <c r="AO441" s="2">
        <f t="shared" si="3563"/>
        <v>5.1049618320610689E-2</v>
      </c>
      <c r="AP441" s="2">
        <f t="shared" si="3563"/>
        <v>5.0904501472444255E-2</v>
      </c>
      <c r="AQ441" s="2">
        <f t="shared" si="3563"/>
        <v>5.0972501676727032E-2</v>
      </c>
      <c r="AR441" s="2">
        <f t="shared" si="3555"/>
        <v>9.6374045801526712E-2</v>
      </c>
      <c r="AS441" s="2">
        <f t="shared" si="3564"/>
        <v>8.4981068573832558E-2</v>
      </c>
      <c r="AT441" s="2">
        <f t="shared" si="3564"/>
        <v>9.2555331991951706E-2</v>
      </c>
      <c r="AU441" s="2">
        <f t="shared" si="3556"/>
        <v>2.1931871208586095E-2</v>
      </c>
      <c r="AV441" s="2">
        <f t="shared" si="3556"/>
        <v>2.3819301848049281E-2</v>
      </c>
      <c r="AW441" s="2">
        <f t="shared" si="3556"/>
        <v>2.2935779816513763E-2</v>
      </c>
    </row>
    <row r="442" spans="1:49" ht="15.75" customHeight="1" x14ac:dyDescent="0.15">
      <c r="A442" s="1">
        <v>2025</v>
      </c>
      <c r="D442" t="s">
        <v>255</v>
      </c>
      <c r="E442">
        <v>15</v>
      </c>
      <c r="F442">
        <v>1</v>
      </c>
      <c r="G442">
        <v>16</v>
      </c>
      <c r="H442">
        <v>458</v>
      </c>
      <c r="I442">
        <v>318</v>
      </c>
      <c r="J442">
        <v>776</v>
      </c>
      <c r="K442">
        <v>461</v>
      </c>
      <c r="L442">
        <v>432</v>
      </c>
      <c r="M442">
        <v>893</v>
      </c>
      <c r="N442">
        <v>353</v>
      </c>
      <c r="O442">
        <v>405</v>
      </c>
      <c r="P442">
        <v>758</v>
      </c>
      <c r="Q442">
        <v>366</v>
      </c>
      <c r="R442">
        <v>377</v>
      </c>
      <c r="S442">
        <v>743</v>
      </c>
      <c r="T442">
        <v>11</v>
      </c>
      <c r="U442">
        <v>15</v>
      </c>
      <c r="V442">
        <v>26</v>
      </c>
      <c r="W442" s="1">
        <f t="shared" si="3557"/>
        <v>1664</v>
      </c>
      <c r="X442" s="1">
        <f t="shared" si="3557"/>
        <v>1548</v>
      </c>
      <c r="Y442" s="1">
        <f t="shared" si="3551"/>
        <v>3212</v>
      </c>
      <c r="Z442" s="1">
        <f t="shared" si="3558"/>
        <v>1653</v>
      </c>
      <c r="AA442" s="1">
        <f t="shared" si="3558"/>
        <v>1533</v>
      </c>
      <c r="AB442" s="1">
        <f t="shared" si="3552"/>
        <v>3186</v>
      </c>
      <c r="AC442" s="1">
        <f t="shared" si="3559"/>
        <v>1287</v>
      </c>
      <c r="AD442" s="1">
        <f t="shared" si="3559"/>
        <v>1156</v>
      </c>
      <c r="AE442" s="1">
        <f t="shared" si="3553"/>
        <v>2443</v>
      </c>
      <c r="AF442" s="2">
        <f t="shared" si="3560"/>
        <v>0.77858439201451901</v>
      </c>
      <c r="AG442" s="2">
        <f t="shared" si="3560"/>
        <v>0.7540769732550554</v>
      </c>
      <c r="AH442" s="2">
        <f t="shared" si="3560"/>
        <v>0.76679221594475833</v>
      </c>
      <c r="AI442" s="1">
        <f t="shared" si="3561"/>
        <v>934</v>
      </c>
      <c r="AJ442" s="1">
        <f t="shared" si="3561"/>
        <v>751</v>
      </c>
      <c r="AK442" s="1">
        <f t="shared" si="3554"/>
        <v>1685</v>
      </c>
      <c r="AL442" s="2">
        <f t="shared" si="3562"/>
        <v>0.56503327283726557</v>
      </c>
      <c r="AM442" s="2">
        <f t="shared" si="3562"/>
        <v>0.48988910632746246</v>
      </c>
      <c r="AN442" s="2">
        <f t="shared" si="3562"/>
        <v>0.52887633396107969</v>
      </c>
      <c r="AO442" s="2">
        <f t="shared" si="3563"/>
        <v>9.0744101633393835E-3</v>
      </c>
      <c r="AP442" s="2">
        <f t="shared" si="3563"/>
        <v>6.5231572080887146E-4</v>
      </c>
      <c r="AQ442" s="2">
        <f t="shared" si="3563"/>
        <v>5.0219711236660393E-3</v>
      </c>
      <c r="AR442" s="2">
        <f t="shared" si="3555"/>
        <v>0.22807017543859648</v>
      </c>
      <c r="AS442" s="2">
        <f t="shared" si="3564"/>
        <v>0.24592302674494454</v>
      </c>
      <c r="AT442" s="2">
        <f t="shared" si="3564"/>
        <v>0.23320778405524167</v>
      </c>
      <c r="AU442" s="2">
        <f t="shared" si="3556"/>
        <v>6.610576923076923E-3</v>
      </c>
      <c r="AV442" s="2">
        <f t="shared" si="3556"/>
        <v>9.6899224806201549E-3</v>
      </c>
      <c r="AW442" s="2">
        <f t="shared" si="3556"/>
        <v>8.0946450809464502E-3</v>
      </c>
    </row>
    <row r="443" spans="1:49" ht="15.75" customHeight="1" x14ac:dyDescent="0.15">
      <c r="A443" s="1">
        <v>2025</v>
      </c>
      <c r="D443" t="s">
        <v>256</v>
      </c>
      <c r="E443">
        <v>11</v>
      </c>
      <c r="F443">
        <v>2</v>
      </c>
      <c r="G443">
        <v>13</v>
      </c>
      <c r="H443">
        <v>202</v>
      </c>
      <c r="I443">
        <v>141</v>
      </c>
      <c r="J443">
        <v>343</v>
      </c>
      <c r="K443">
        <v>81</v>
      </c>
      <c r="L443">
        <v>116</v>
      </c>
      <c r="M443">
        <v>197</v>
      </c>
      <c r="N443">
        <v>28</v>
      </c>
      <c r="O443">
        <v>45</v>
      </c>
      <c r="P443">
        <v>73</v>
      </c>
      <c r="Q443">
        <v>23</v>
      </c>
      <c r="R443">
        <v>29</v>
      </c>
      <c r="S443">
        <v>52</v>
      </c>
      <c r="T443">
        <v>6</v>
      </c>
      <c r="U443">
        <v>2</v>
      </c>
      <c r="V443">
        <v>8</v>
      </c>
      <c r="W443" s="1">
        <f t="shared" si="3557"/>
        <v>351</v>
      </c>
      <c r="X443" s="1">
        <f t="shared" si="3557"/>
        <v>335</v>
      </c>
      <c r="Y443" s="1">
        <f t="shared" si="3551"/>
        <v>686</v>
      </c>
      <c r="Z443" s="1">
        <f t="shared" si="3558"/>
        <v>345</v>
      </c>
      <c r="AA443" s="1">
        <f t="shared" si="3558"/>
        <v>333</v>
      </c>
      <c r="AB443" s="1">
        <f t="shared" si="3552"/>
        <v>678</v>
      </c>
      <c r="AC443" s="1">
        <f t="shared" si="3559"/>
        <v>322</v>
      </c>
      <c r="AD443" s="1">
        <f t="shared" si="3559"/>
        <v>304</v>
      </c>
      <c r="AE443" s="1">
        <f t="shared" si="3553"/>
        <v>626</v>
      </c>
      <c r="AF443" s="2">
        <f t="shared" si="3560"/>
        <v>0.93333333333333335</v>
      </c>
      <c r="AG443" s="2">
        <f t="shared" si="3560"/>
        <v>0.91291291291291288</v>
      </c>
      <c r="AH443" s="2">
        <f t="shared" si="3560"/>
        <v>0.92330383480825962</v>
      </c>
      <c r="AI443" s="1">
        <f t="shared" si="3561"/>
        <v>294</v>
      </c>
      <c r="AJ443" s="1">
        <f t="shared" si="3561"/>
        <v>259</v>
      </c>
      <c r="AK443" s="1">
        <f t="shared" si="3554"/>
        <v>553</v>
      </c>
      <c r="AL443" s="2">
        <f t="shared" si="3562"/>
        <v>0.85217391304347823</v>
      </c>
      <c r="AM443" s="2">
        <f t="shared" si="3562"/>
        <v>0.77777777777777779</v>
      </c>
      <c r="AN443" s="2">
        <f t="shared" si="3562"/>
        <v>0.81563421828908556</v>
      </c>
      <c r="AO443" s="2">
        <f t="shared" si="3563"/>
        <v>3.1884057971014491E-2</v>
      </c>
      <c r="AP443" s="2">
        <f t="shared" si="3563"/>
        <v>6.006006006006006E-3</v>
      </c>
      <c r="AQ443" s="2">
        <f t="shared" si="3563"/>
        <v>1.9174041297935103E-2</v>
      </c>
      <c r="AR443" s="2">
        <f t="shared" si="3555"/>
        <v>8.4057971014492749E-2</v>
      </c>
      <c r="AS443" s="2">
        <f t="shared" si="3564"/>
        <v>8.7087087087087081E-2</v>
      </c>
      <c r="AT443" s="2">
        <f t="shared" si="3564"/>
        <v>7.6696165191740412E-2</v>
      </c>
      <c r="AU443" s="2">
        <f t="shared" si="3556"/>
        <v>1.7094017094017096E-2</v>
      </c>
      <c r="AV443" s="2">
        <f t="shared" si="3556"/>
        <v>5.9701492537313433E-3</v>
      </c>
      <c r="AW443" s="2">
        <f t="shared" si="3556"/>
        <v>1.1661807580174927E-2</v>
      </c>
    </row>
    <row r="444" spans="1:49" ht="15.75" customHeight="1" x14ac:dyDescent="0.15">
      <c r="A444" s="1">
        <v>2025</v>
      </c>
      <c r="C444" s="3" t="s">
        <v>89</v>
      </c>
      <c r="D444" t="s">
        <v>257</v>
      </c>
      <c r="E444">
        <v>150</v>
      </c>
      <c r="F444">
        <v>117</v>
      </c>
      <c r="G444">
        <v>267</v>
      </c>
      <c r="H444">
        <v>1408</v>
      </c>
      <c r="I444">
        <v>1542</v>
      </c>
      <c r="J444">
        <v>2950</v>
      </c>
      <c r="K444">
        <v>890</v>
      </c>
      <c r="L444">
        <v>990</v>
      </c>
      <c r="M444">
        <v>1880</v>
      </c>
      <c r="N444">
        <v>398</v>
      </c>
      <c r="O444">
        <v>466</v>
      </c>
      <c r="P444">
        <v>864</v>
      </c>
      <c r="Q444">
        <v>242</v>
      </c>
      <c r="R444">
        <v>300</v>
      </c>
      <c r="S444">
        <v>542</v>
      </c>
      <c r="T444">
        <v>39</v>
      </c>
      <c r="U444">
        <v>40</v>
      </c>
      <c r="V444">
        <v>79</v>
      </c>
      <c r="W444" s="1">
        <f t="shared" si="3557"/>
        <v>3127</v>
      </c>
      <c r="X444" s="1">
        <f t="shared" si="3557"/>
        <v>3455</v>
      </c>
      <c r="Y444" s="1">
        <f t="shared" si="3551"/>
        <v>6582</v>
      </c>
      <c r="Z444" s="1">
        <f t="shared" si="3558"/>
        <v>3088</v>
      </c>
      <c r="AA444" s="1">
        <f t="shared" si="3558"/>
        <v>3415</v>
      </c>
      <c r="AB444" s="1">
        <f t="shared" si="3552"/>
        <v>6503</v>
      </c>
      <c r="AC444" s="1">
        <f t="shared" si="3559"/>
        <v>2846</v>
      </c>
      <c r="AD444" s="1">
        <f t="shared" si="3559"/>
        <v>3115</v>
      </c>
      <c r="AE444" s="1">
        <f t="shared" si="3553"/>
        <v>5961</v>
      </c>
      <c r="AF444" s="2">
        <f t="shared" si="3560"/>
        <v>0.92163212435233166</v>
      </c>
      <c r="AG444" s="2">
        <f t="shared" si="3560"/>
        <v>0.91215226939970717</v>
      </c>
      <c r="AH444" s="2">
        <f t="shared" si="3560"/>
        <v>0.91665385206827621</v>
      </c>
      <c r="AI444" s="1">
        <f t="shared" si="3561"/>
        <v>2448</v>
      </c>
      <c r="AJ444" s="1">
        <f t="shared" si="3561"/>
        <v>2649</v>
      </c>
      <c r="AK444" s="1">
        <f t="shared" si="3554"/>
        <v>5097</v>
      </c>
      <c r="AL444" s="2">
        <f t="shared" si="3562"/>
        <v>0.79274611398963735</v>
      </c>
      <c r="AM444" s="2">
        <f t="shared" si="3562"/>
        <v>0.77569546120058563</v>
      </c>
      <c r="AN444" s="2">
        <f t="shared" si="3562"/>
        <v>0.78379209595571275</v>
      </c>
      <c r="AO444" s="2">
        <f t="shared" si="3563"/>
        <v>4.8575129533678756E-2</v>
      </c>
      <c r="AP444" s="2">
        <f t="shared" si="3563"/>
        <v>3.4260614934114204E-2</v>
      </c>
      <c r="AQ444" s="2">
        <f t="shared" si="3563"/>
        <v>4.1057973243118558E-2</v>
      </c>
      <c r="AR444" s="2">
        <f t="shared" si="3555"/>
        <v>9.7150259067357511E-2</v>
      </c>
      <c r="AS444" s="2">
        <f t="shared" si="3564"/>
        <v>8.7847730600292828E-2</v>
      </c>
      <c r="AT444" s="2">
        <f t="shared" si="3564"/>
        <v>8.3346147931723819E-2</v>
      </c>
      <c r="AU444" s="2">
        <f t="shared" si="3556"/>
        <v>1.2472017908538535E-2</v>
      </c>
      <c r="AV444" s="2">
        <f t="shared" si="3556"/>
        <v>1.1577424023154847E-2</v>
      </c>
      <c r="AW444" s="2">
        <f t="shared" si="3556"/>
        <v>1.2002430872075358E-2</v>
      </c>
    </row>
    <row r="445" spans="1:49" ht="15.75" customHeight="1" x14ac:dyDescent="0.15">
      <c r="A445" s="1">
        <v>2025</v>
      </c>
      <c r="D445" t="s">
        <v>258</v>
      </c>
      <c r="E445">
        <v>86</v>
      </c>
      <c r="F445">
        <v>50</v>
      </c>
      <c r="G445">
        <v>136</v>
      </c>
      <c r="H445">
        <v>621</v>
      </c>
      <c r="I445">
        <v>480</v>
      </c>
      <c r="J445">
        <v>1101</v>
      </c>
      <c r="K445">
        <v>462</v>
      </c>
      <c r="L445">
        <v>426</v>
      </c>
      <c r="M445">
        <v>888</v>
      </c>
      <c r="N445">
        <v>194</v>
      </c>
      <c r="O445">
        <v>229</v>
      </c>
      <c r="P445">
        <v>423</v>
      </c>
      <c r="Q445">
        <v>200</v>
      </c>
      <c r="R445">
        <v>304</v>
      </c>
      <c r="S445">
        <v>513</v>
      </c>
      <c r="T445">
        <v>10</v>
      </c>
      <c r="U445">
        <v>24</v>
      </c>
      <c r="V445">
        <v>34</v>
      </c>
      <c r="W445" s="1">
        <f t="shared" si="3557"/>
        <v>1573</v>
      </c>
      <c r="X445" s="1">
        <f t="shared" si="3557"/>
        <v>1513</v>
      </c>
      <c r="Y445" s="1">
        <f t="shared" si="3551"/>
        <v>3086</v>
      </c>
      <c r="Z445" s="1">
        <f t="shared" si="3558"/>
        <v>1563</v>
      </c>
      <c r="AA445" s="1">
        <f t="shared" si="3558"/>
        <v>1489</v>
      </c>
      <c r="AB445" s="1">
        <f t="shared" si="3552"/>
        <v>3052</v>
      </c>
      <c r="AC445" s="1">
        <f t="shared" si="3559"/>
        <v>1363</v>
      </c>
      <c r="AD445" s="1">
        <f t="shared" si="3559"/>
        <v>1185</v>
      </c>
      <c r="AE445" s="1">
        <f t="shared" si="3553"/>
        <v>2548</v>
      </c>
      <c r="AF445" s="2">
        <f t="shared" si="3560"/>
        <v>0.87204094689699296</v>
      </c>
      <c r="AG445" s="2">
        <f t="shared" si="3560"/>
        <v>0.79583613163196776</v>
      </c>
      <c r="AH445" s="2">
        <f t="shared" si="3560"/>
        <v>0.83486238532110091</v>
      </c>
      <c r="AI445" s="1">
        <f t="shared" si="3561"/>
        <v>1169</v>
      </c>
      <c r="AJ445" s="1">
        <f t="shared" si="3561"/>
        <v>956</v>
      </c>
      <c r="AK445" s="1">
        <f t="shared" si="3554"/>
        <v>2125</v>
      </c>
      <c r="AL445" s="2">
        <f t="shared" si="3562"/>
        <v>0.74792066538707613</v>
      </c>
      <c r="AM445" s="2">
        <f t="shared" si="3562"/>
        <v>0.64204163868368036</v>
      </c>
      <c r="AN445" s="2">
        <f t="shared" si="3562"/>
        <v>0.69626474442988207</v>
      </c>
      <c r="AO445" s="2">
        <f t="shared" si="3563"/>
        <v>5.5022392834293027E-2</v>
      </c>
      <c r="AP445" s="2">
        <f t="shared" si="3563"/>
        <v>3.3579583613163197E-2</v>
      </c>
      <c r="AQ445" s="2">
        <f t="shared" si="3563"/>
        <v>4.456094364351245E-2</v>
      </c>
      <c r="AR445" s="2">
        <f t="shared" si="3555"/>
        <v>0.19449776071657071</v>
      </c>
      <c r="AS445" s="2">
        <f t="shared" si="3564"/>
        <v>0.20416386836803224</v>
      </c>
      <c r="AT445" s="2">
        <f t="shared" si="3564"/>
        <v>0.168086500655308</v>
      </c>
      <c r="AU445" s="2">
        <f t="shared" si="3556"/>
        <v>6.3572790845518121E-3</v>
      </c>
      <c r="AV445" s="2">
        <f t="shared" si="3556"/>
        <v>1.5862524785194978E-2</v>
      </c>
      <c r="AW445" s="2">
        <f t="shared" si="3556"/>
        <v>1.1017498379779649E-2</v>
      </c>
    </row>
    <row r="446" spans="1:49" ht="15.75" customHeight="1" x14ac:dyDescent="0.15">
      <c r="A446" s="1">
        <v>2025</v>
      </c>
      <c r="D446" t="s">
        <v>259</v>
      </c>
      <c r="E446">
        <v>275</v>
      </c>
      <c r="F446">
        <v>235</v>
      </c>
      <c r="G446">
        <v>510</v>
      </c>
      <c r="H446">
        <v>652</v>
      </c>
      <c r="I446">
        <v>761</v>
      </c>
      <c r="J446">
        <v>1413</v>
      </c>
      <c r="K446">
        <v>97</v>
      </c>
      <c r="L446">
        <v>127</v>
      </c>
      <c r="M446">
        <v>224</v>
      </c>
      <c r="N446">
        <v>21</v>
      </c>
      <c r="O446">
        <v>56</v>
      </c>
      <c r="P446">
        <v>77</v>
      </c>
      <c r="Q446">
        <v>14</v>
      </c>
      <c r="R446">
        <v>13</v>
      </c>
      <c r="S446">
        <v>27</v>
      </c>
      <c r="T446">
        <v>5</v>
      </c>
      <c r="U446">
        <v>4</v>
      </c>
      <c r="V446">
        <v>9</v>
      </c>
      <c r="W446" s="1">
        <f t="shared" si="3557"/>
        <v>1064</v>
      </c>
      <c r="X446" s="1">
        <f t="shared" si="3557"/>
        <v>1196</v>
      </c>
      <c r="Y446" s="1">
        <f t="shared" si="3551"/>
        <v>2260</v>
      </c>
      <c r="Z446" s="1">
        <f t="shared" si="3558"/>
        <v>1059</v>
      </c>
      <c r="AA446" s="1">
        <f t="shared" si="3558"/>
        <v>1192</v>
      </c>
      <c r="AB446" s="1">
        <f t="shared" si="3552"/>
        <v>2251</v>
      </c>
      <c r="AC446" s="1">
        <f t="shared" si="3559"/>
        <v>1045</v>
      </c>
      <c r="AD446" s="1">
        <f t="shared" si="3559"/>
        <v>1179</v>
      </c>
      <c r="AE446" s="1">
        <f t="shared" si="3553"/>
        <v>2224</v>
      </c>
      <c r="AF446" s="2">
        <f t="shared" si="3560"/>
        <v>0.98677998111425869</v>
      </c>
      <c r="AG446" s="2">
        <f t="shared" si="3560"/>
        <v>0.98909395973154357</v>
      </c>
      <c r="AH446" s="2">
        <f t="shared" si="3560"/>
        <v>0.98800533096401599</v>
      </c>
      <c r="AI446" s="1">
        <f t="shared" si="3561"/>
        <v>1024</v>
      </c>
      <c r="AJ446" s="1">
        <f t="shared" si="3561"/>
        <v>1123</v>
      </c>
      <c r="AK446" s="1">
        <f t="shared" si="3554"/>
        <v>2147</v>
      </c>
      <c r="AL446" s="2">
        <f t="shared" si="3562"/>
        <v>0.96694995278564688</v>
      </c>
      <c r="AM446" s="2">
        <f t="shared" si="3562"/>
        <v>0.94211409395973156</v>
      </c>
      <c r="AN446" s="2">
        <f t="shared" si="3562"/>
        <v>0.95379831186139497</v>
      </c>
      <c r="AO446" s="2">
        <f t="shared" si="3563"/>
        <v>0.25967894239848915</v>
      </c>
      <c r="AP446" s="2">
        <f t="shared" si="3563"/>
        <v>0.19714765100671142</v>
      </c>
      <c r="AQ446" s="2">
        <f t="shared" si="3563"/>
        <v>0.22656597067969791</v>
      </c>
      <c r="AR446" s="2">
        <f t="shared" si="3555"/>
        <v>1.2275731822474031E-2</v>
      </c>
      <c r="AS446" s="2">
        <f t="shared" si="3564"/>
        <v>1.0906040268456376E-2</v>
      </c>
      <c r="AT446" s="2">
        <f t="shared" si="3564"/>
        <v>1.1994669035984007E-2</v>
      </c>
      <c r="AU446" s="2">
        <f t="shared" si="3556"/>
        <v>4.6992481203007516E-3</v>
      </c>
      <c r="AV446" s="2">
        <f t="shared" si="3556"/>
        <v>3.3444816053511705E-3</v>
      </c>
      <c r="AW446" s="2">
        <f t="shared" si="3556"/>
        <v>3.9823008849557522E-3</v>
      </c>
    </row>
    <row r="447" spans="1:49" ht="15.75" customHeight="1" x14ac:dyDescent="0.15">
      <c r="A447" s="1">
        <v>2025</v>
      </c>
      <c r="D447" t="s">
        <v>260</v>
      </c>
      <c r="E447">
        <v>143</v>
      </c>
      <c r="F447">
        <v>174</v>
      </c>
      <c r="G447">
        <v>317</v>
      </c>
      <c r="H447">
        <v>886</v>
      </c>
      <c r="I447">
        <v>1030</v>
      </c>
      <c r="J447">
        <v>1916</v>
      </c>
      <c r="K447">
        <v>193</v>
      </c>
      <c r="L447">
        <v>265</v>
      </c>
      <c r="M447">
        <v>458</v>
      </c>
      <c r="N447">
        <v>93</v>
      </c>
      <c r="O447">
        <v>107</v>
      </c>
      <c r="P447">
        <v>200</v>
      </c>
      <c r="Q447">
        <v>69</v>
      </c>
      <c r="R447">
        <v>64</v>
      </c>
      <c r="S447">
        <v>133</v>
      </c>
      <c r="T447">
        <v>12</v>
      </c>
      <c r="U447">
        <v>17</v>
      </c>
      <c r="V447">
        <v>29</v>
      </c>
      <c r="W447" s="1">
        <f t="shared" si="3557"/>
        <v>1396</v>
      </c>
      <c r="X447" s="1">
        <f t="shared" si="3557"/>
        <v>1657</v>
      </c>
      <c r="Y447" s="1">
        <f t="shared" si="3551"/>
        <v>3053</v>
      </c>
      <c r="Z447" s="1">
        <f t="shared" si="3558"/>
        <v>1384</v>
      </c>
      <c r="AA447" s="1">
        <f t="shared" si="3558"/>
        <v>1640</v>
      </c>
      <c r="AB447" s="1">
        <f t="shared" si="3552"/>
        <v>3024</v>
      </c>
      <c r="AC447" s="1">
        <f t="shared" si="3559"/>
        <v>1315</v>
      </c>
      <c r="AD447" s="1">
        <f t="shared" si="3559"/>
        <v>1576</v>
      </c>
      <c r="AE447" s="1">
        <f t="shared" si="3553"/>
        <v>2891</v>
      </c>
      <c r="AF447" s="2">
        <f t="shared" si="3560"/>
        <v>0.95014450867052025</v>
      </c>
      <c r="AG447" s="2">
        <f t="shared" si="3560"/>
        <v>0.96097560975609753</v>
      </c>
      <c r="AH447" s="2">
        <f t="shared" si="3560"/>
        <v>0.95601851851851849</v>
      </c>
      <c r="AI447" s="1">
        <f t="shared" si="3561"/>
        <v>1222</v>
      </c>
      <c r="AJ447" s="1">
        <f t="shared" si="3561"/>
        <v>1469</v>
      </c>
      <c r="AK447" s="1">
        <f t="shared" si="3554"/>
        <v>2691</v>
      </c>
      <c r="AL447" s="2">
        <f t="shared" si="3562"/>
        <v>0.88294797687861271</v>
      </c>
      <c r="AM447" s="2">
        <f t="shared" si="3562"/>
        <v>0.89573170731707319</v>
      </c>
      <c r="AN447" s="2">
        <f t="shared" si="3562"/>
        <v>0.88988095238095233</v>
      </c>
      <c r="AO447" s="2">
        <f t="shared" si="3563"/>
        <v>0.10332369942196531</v>
      </c>
      <c r="AP447" s="2">
        <f t="shared" si="3563"/>
        <v>0.10609756097560975</v>
      </c>
      <c r="AQ447" s="2">
        <f t="shared" si="3563"/>
        <v>0.10482804232804233</v>
      </c>
      <c r="AR447" s="2">
        <f t="shared" si="3555"/>
        <v>4.6242774566473986E-2</v>
      </c>
      <c r="AS447" s="2">
        <f t="shared" si="3564"/>
        <v>3.9024390243902439E-2</v>
      </c>
      <c r="AT447" s="2">
        <f t="shared" si="3564"/>
        <v>4.3981481481481483E-2</v>
      </c>
      <c r="AU447" s="2">
        <f t="shared" si="3556"/>
        <v>8.5959885386819486E-3</v>
      </c>
      <c r="AV447" s="2">
        <f t="shared" si="3556"/>
        <v>1.0259505129752565E-2</v>
      </c>
      <c r="AW447" s="2">
        <f t="shared" si="3556"/>
        <v>9.4988535866360954E-3</v>
      </c>
    </row>
    <row r="448" spans="1:49" ht="15.75" customHeight="1" x14ac:dyDescent="0.15">
      <c r="A448" s="1">
        <v>2025</v>
      </c>
      <c r="D448" t="s">
        <v>261</v>
      </c>
      <c r="E448">
        <v>215</v>
      </c>
      <c r="F448">
        <v>198</v>
      </c>
      <c r="G448">
        <v>413</v>
      </c>
      <c r="H448">
        <v>1490</v>
      </c>
      <c r="I448">
        <v>1874</v>
      </c>
      <c r="J448">
        <v>3364</v>
      </c>
      <c r="K448">
        <v>346</v>
      </c>
      <c r="L448">
        <v>429</v>
      </c>
      <c r="M448">
        <v>775</v>
      </c>
      <c r="N448">
        <v>137</v>
      </c>
      <c r="O448">
        <v>180</v>
      </c>
      <c r="P448">
        <v>317</v>
      </c>
      <c r="Q448">
        <v>149</v>
      </c>
      <c r="R448">
        <v>184</v>
      </c>
      <c r="S448">
        <v>333</v>
      </c>
      <c r="T448">
        <v>85</v>
      </c>
      <c r="U448">
        <v>75</v>
      </c>
      <c r="V448">
        <v>160</v>
      </c>
      <c r="W448" s="1">
        <f t="shared" si="3557"/>
        <v>2422</v>
      </c>
      <c r="X448" s="1">
        <f t="shared" si="3557"/>
        <v>2940</v>
      </c>
      <c r="Y448" s="1">
        <f t="shared" si="3551"/>
        <v>5362</v>
      </c>
      <c r="Z448" s="1">
        <f t="shared" si="3558"/>
        <v>2337</v>
      </c>
      <c r="AA448" s="1">
        <f t="shared" si="3558"/>
        <v>2865</v>
      </c>
      <c r="AB448" s="1">
        <f t="shared" si="3552"/>
        <v>5202</v>
      </c>
      <c r="AC448" s="1">
        <f t="shared" si="3559"/>
        <v>2188</v>
      </c>
      <c r="AD448" s="1">
        <f t="shared" si="3559"/>
        <v>2681</v>
      </c>
      <c r="AE448" s="1">
        <f t="shared" si="3553"/>
        <v>4869</v>
      </c>
      <c r="AF448" s="2">
        <f t="shared" si="3560"/>
        <v>0.93624304664099267</v>
      </c>
      <c r="AG448" s="2">
        <f t="shared" si="3560"/>
        <v>0.93577661431064574</v>
      </c>
      <c r="AH448" s="2">
        <f t="shared" si="3560"/>
        <v>0.93598615916955019</v>
      </c>
      <c r="AI448" s="1">
        <f t="shared" si="3561"/>
        <v>2051</v>
      </c>
      <c r="AJ448" s="1">
        <f t="shared" si="3561"/>
        <v>2501</v>
      </c>
      <c r="AK448" s="1">
        <f t="shared" si="3554"/>
        <v>4552</v>
      </c>
      <c r="AL448" s="2">
        <f t="shared" si="3562"/>
        <v>0.87762088147197259</v>
      </c>
      <c r="AM448" s="2">
        <f t="shared" si="3562"/>
        <v>0.87294938917975562</v>
      </c>
      <c r="AN448" s="2">
        <f t="shared" si="3562"/>
        <v>0.87504805843906186</v>
      </c>
      <c r="AO448" s="2">
        <f t="shared" si="3563"/>
        <v>9.1998288403936673E-2</v>
      </c>
      <c r="AP448" s="2">
        <f t="shared" si="3563"/>
        <v>6.9109947643979056E-2</v>
      </c>
      <c r="AQ448" s="2">
        <f t="shared" si="3563"/>
        <v>7.9392541330257596E-2</v>
      </c>
      <c r="AR448" s="2">
        <f t="shared" si="3555"/>
        <v>7.8733418913136496E-2</v>
      </c>
      <c r="AS448" s="2">
        <f t="shared" si="3564"/>
        <v>6.4223385689354276E-2</v>
      </c>
      <c r="AT448" s="2">
        <f t="shared" si="3564"/>
        <v>6.4013840830449822E-2</v>
      </c>
      <c r="AU448" s="2">
        <f t="shared" si="3556"/>
        <v>3.5094962840627582E-2</v>
      </c>
      <c r="AV448" s="2">
        <f t="shared" si="3556"/>
        <v>2.5510204081632654E-2</v>
      </c>
      <c r="AW448" s="2">
        <f t="shared" si="3556"/>
        <v>2.9839612085042894E-2</v>
      </c>
    </row>
    <row r="449" spans="1:49" ht="15.75" customHeight="1" x14ac:dyDescent="0.15">
      <c r="A449" s="1">
        <v>2025</v>
      </c>
      <c r="C449" s="3" t="s">
        <v>78</v>
      </c>
      <c r="D449" t="s">
        <v>262</v>
      </c>
      <c r="E449">
        <v>426</v>
      </c>
      <c r="F449">
        <v>344</v>
      </c>
      <c r="G449">
        <v>770</v>
      </c>
      <c r="H449">
        <v>1188</v>
      </c>
      <c r="I449">
        <v>1246</v>
      </c>
      <c r="J449">
        <v>2434</v>
      </c>
      <c r="K449">
        <v>288</v>
      </c>
      <c r="L449">
        <v>380</v>
      </c>
      <c r="M449">
        <v>668</v>
      </c>
      <c r="N449">
        <v>107</v>
      </c>
      <c r="O449">
        <v>165</v>
      </c>
      <c r="P449">
        <v>272</v>
      </c>
      <c r="Q449">
        <v>101</v>
      </c>
      <c r="R449">
        <v>153</v>
      </c>
      <c r="S449">
        <v>254</v>
      </c>
      <c r="T449">
        <v>28</v>
      </c>
      <c r="U449">
        <v>23</v>
      </c>
      <c r="V449">
        <v>51</v>
      </c>
      <c r="W449" s="1">
        <f t="shared" si="3557"/>
        <v>2138</v>
      </c>
      <c r="X449" s="1">
        <f t="shared" si="3557"/>
        <v>2311</v>
      </c>
      <c r="Y449" s="1">
        <f t="shared" si="3551"/>
        <v>4449</v>
      </c>
      <c r="Z449" s="1">
        <f t="shared" si="3558"/>
        <v>2110</v>
      </c>
      <c r="AA449" s="1">
        <f t="shared" si="3558"/>
        <v>2288</v>
      </c>
      <c r="AB449" s="1">
        <f t="shared" si="3552"/>
        <v>4398</v>
      </c>
      <c r="AC449" s="1">
        <f t="shared" si="3559"/>
        <v>2009</v>
      </c>
      <c r="AD449" s="1">
        <f t="shared" si="3559"/>
        <v>2135</v>
      </c>
      <c r="AE449" s="1">
        <f t="shared" si="3553"/>
        <v>4144</v>
      </c>
      <c r="AF449" s="2">
        <f t="shared" si="3560"/>
        <v>0.95213270142180095</v>
      </c>
      <c r="AG449" s="2">
        <f t="shared" si="3560"/>
        <v>0.93312937062937062</v>
      </c>
      <c r="AH449" s="2">
        <f t="shared" si="3560"/>
        <v>0.94224647567075948</v>
      </c>
      <c r="AI449" s="1">
        <f t="shared" si="3561"/>
        <v>1902</v>
      </c>
      <c r="AJ449" s="1">
        <f t="shared" si="3561"/>
        <v>1970</v>
      </c>
      <c r="AK449" s="1">
        <f t="shared" si="3554"/>
        <v>3872</v>
      </c>
      <c r="AL449" s="2">
        <f t="shared" si="3562"/>
        <v>0.90142180094786728</v>
      </c>
      <c r="AM449" s="2">
        <f t="shared" si="3562"/>
        <v>0.86101398601398604</v>
      </c>
      <c r="AN449" s="2">
        <f t="shared" si="3562"/>
        <v>0.880400181900864</v>
      </c>
      <c r="AO449" s="2">
        <f t="shared" si="3563"/>
        <v>0.2018957345971564</v>
      </c>
      <c r="AP449" s="2">
        <f t="shared" si="3563"/>
        <v>0.15034965034965034</v>
      </c>
      <c r="AQ449" s="2">
        <f t="shared" si="3563"/>
        <v>0.17507958162801274</v>
      </c>
      <c r="AR449" s="2">
        <f t="shared" si="3555"/>
        <v>7.2511848341232227E-2</v>
      </c>
      <c r="AS449" s="2">
        <f t="shared" si="3564"/>
        <v>6.6870629370629375E-2</v>
      </c>
      <c r="AT449" s="2">
        <f t="shared" si="3564"/>
        <v>5.7753524329240566E-2</v>
      </c>
      <c r="AU449" s="2">
        <f t="shared" si="3556"/>
        <v>1.3096351730589336E-2</v>
      </c>
      <c r="AV449" s="2">
        <f t="shared" si="3556"/>
        <v>9.9524015577672001E-3</v>
      </c>
      <c r="AW449" s="2">
        <f t="shared" si="3556"/>
        <v>1.1463250168577209E-2</v>
      </c>
    </row>
    <row r="450" spans="1:49" ht="15.75" customHeight="1" x14ac:dyDescent="0.15">
      <c r="A450" s="1">
        <v>2025</v>
      </c>
      <c r="C450" s="3" t="s">
        <v>78</v>
      </c>
      <c r="D450" t="s">
        <v>263</v>
      </c>
      <c r="E450">
        <v>18</v>
      </c>
      <c r="F450">
        <v>10</v>
      </c>
      <c r="G450">
        <v>28</v>
      </c>
      <c r="H450">
        <v>364</v>
      </c>
      <c r="I450">
        <v>323</v>
      </c>
      <c r="J450">
        <v>687</v>
      </c>
      <c r="K450">
        <v>286</v>
      </c>
      <c r="L450">
        <v>371</v>
      </c>
      <c r="M450">
        <v>657</v>
      </c>
      <c r="N450">
        <v>151</v>
      </c>
      <c r="O450">
        <v>155</v>
      </c>
      <c r="P450">
        <v>306</v>
      </c>
      <c r="Q450">
        <v>140</v>
      </c>
      <c r="R450">
        <v>229</v>
      </c>
      <c r="S450">
        <v>369</v>
      </c>
      <c r="T450">
        <v>8</v>
      </c>
      <c r="U450">
        <v>23</v>
      </c>
      <c r="V450">
        <v>31</v>
      </c>
      <c r="W450" s="1">
        <f t="shared" si="3557"/>
        <v>967</v>
      </c>
      <c r="X450" s="1">
        <f t="shared" si="3557"/>
        <v>1111</v>
      </c>
      <c r="Y450" s="1">
        <f t="shared" si="3551"/>
        <v>2078</v>
      </c>
      <c r="Z450" s="1">
        <f t="shared" si="3558"/>
        <v>959</v>
      </c>
      <c r="AA450" s="1">
        <f t="shared" si="3558"/>
        <v>1088</v>
      </c>
      <c r="AB450" s="1">
        <f t="shared" si="3552"/>
        <v>2047</v>
      </c>
      <c r="AC450" s="1">
        <f t="shared" si="3559"/>
        <v>819</v>
      </c>
      <c r="AD450" s="1">
        <f t="shared" si="3559"/>
        <v>859</v>
      </c>
      <c r="AE450" s="1">
        <f t="shared" si="3553"/>
        <v>1678</v>
      </c>
      <c r="AF450" s="2">
        <f t="shared" si="3560"/>
        <v>0.85401459854014594</v>
      </c>
      <c r="AG450" s="2">
        <f t="shared" si="3560"/>
        <v>0.78952205882352944</v>
      </c>
      <c r="AH450" s="2">
        <f t="shared" si="3560"/>
        <v>0.81973619931607233</v>
      </c>
      <c r="AI450" s="1">
        <f t="shared" si="3561"/>
        <v>668</v>
      </c>
      <c r="AJ450" s="1">
        <f t="shared" si="3561"/>
        <v>704</v>
      </c>
      <c r="AK450" s="1">
        <f t="shared" si="3554"/>
        <v>1372</v>
      </c>
      <c r="AL450" s="2">
        <f t="shared" si="3562"/>
        <v>0.69655891553701776</v>
      </c>
      <c r="AM450" s="2">
        <f t="shared" si="3562"/>
        <v>0.6470588235294118</v>
      </c>
      <c r="AN450" s="2">
        <f t="shared" si="3562"/>
        <v>0.67024914509037614</v>
      </c>
      <c r="AO450" s="2">
        <f t="shared" si="3563"/>
        <v>1.8769551616266946E-2</v>
      </c>
      <c r="AP450" s="2">
        <f t="shared" si="3563"/>
        <v>9.1911764705882356E-3</v>
      </c>
      <c r="AQ450" s="2">
        <f t="shared" si="3563"/>
        <v>1.3678553981436248E-2</v>
      </c>
      <c r="AR450" s="2">
        <f t="shared" si="3555"/>
        <v>0.23879040667361837</v>
      </c>
      <c r="AS450" s="2">
        <f t="shared" si="3564"/>
        <v>0.21047794117647059</v>
      </c>
      <c r="AT450" s="2">
        <f t="shared" si="3564"/>
        <v>0.18026380068392769</v>
      </c>
      <c r="AU450" s="2">
        <f t="shared" si="3556"/>
        <v>8.2730093071354711E-3</v>
      </c>
      <c r="AV450" s="2">
        <f t="shared" si="3556"/>
        <v>2.0702070207020702E-2</v>
      </c>
      <c r="AW450" s="2">
        <f t="shared" si="3556"/>
        <v>1.4918190567853706E-2</v>
      </c>
    </row>
    <row r="451" spans="1:49" ht="15.75" customHeight="1" x14ac:dyDescent="0.15">
      <c r="A451" s="1">
        <v>2025</v>
      </c>
      <c r="C451" s="3" t="s">
        <v>99</v>
      </c>
      <c r="D451" t="s">
        <v>264</v>
      </c>
      <c r="E451">
        <v>387</v>
      </c>
      <c r="F451">
        <v>306</v>
      </c>
      <c r="G451">
        <v>693</v>
      </c>
      <c r="H451">
        <v>875</v>
      </c>
      <c r="I451">
        <v>1038</v>
      </c>
      <c r="J451">
        <v>1913</v>
      </c>
      <c r="K451">
        <v>208</v>
      </c>
      <c r="L451">
        <v>303</v>
      </c>
      <c r="M451">
        <v>511</v>
      </c>
      <c r="N451">
        <v>114</v>
      </c>
      <c r="O451">
        <v>154</v>
      </c>
      <c r="P451">
        <v>268</v>
      </c>
      <c r="Q451">
        <v>119</v>
      </c>
      <c r="R451">
        <v>126</v>
      </c>
      <c r="S451">
        <v>245</v>
      </c>
      <c r="T451">
        <v>19</v>
      </c>
      <c r="U451">
        <v>14</v>
      </c>
      <c r="V451">
        <v>33</v>
      </c>
      <c r="W451" s="1">
        <f t="shared" si="3557"/>
        <v>1722</v>
      </c>
      <c r="X451" s="1">
        <f t="shared" si="3557"/>
        <v>1941</v>
      </c>
      <c r="Y451" s="1">
        <f t="shared" si="3551"/>
        <v>3663</v>
      </c>
      <c r="Z451" s="1">
        <f t="shared" si="3558"/>
        <v>1703</v>
      </c>
      <c r="AA451" s="1">
        <f t="shared" si="3558"/>
        <v>1927</v>
      </c>
      <c r="AB451" s="1">
        <f t="shared" si="3552"/>
        <v>3630</v>
      </c>
      <c r="AC451" s="1">
        <f t="shared" si="3559"/>
        <v>1584</v>
      </c>
      <c r="AD451" s="1">
        <f t="shared" si="3559"/>
        <v>1801</v>
      </c>
      <c r="AE451" s="1">
        <f t="shared" si="3553"/>
        <v>3385</v>
      </c>
      <c r="AF451" s="2">
        <f t="shared" si="3560"/>
        <v>0.93012331180270114</v>
      </c>
      <c r="AG451" s="2">
        <f t="shared" si="3560"/>
        <v>0.93461338868707833</v>
      </c>
      <c r="AH451" s="2">
        <f t="shared" si="3560"/>
        <v>0.93250688705234164</v>
      </c>
      <c r="AI451" s="1">
        <f t="shared" si="3561"/>
        <v>1470</v>
      </c>
      <c r="AJ451" s="1">
        <f t="shared" si="3561"/>
        <v>1647</v>
      </c>
      <c r="AK451" s="1">
        <f t="shared" si="3554"/>
        <v>3117</v>
      </c>
      <c r="AL451" s="2">
        <f t="shared" si="3562"/>
        <v>0.86318261890780978</v>
      </c>
      <c r="AM451" s="2">
        <f t="shared" si="3562"/>
        <v>0.85469641930461859</v>
      </c>
      <c r="AN451" s="2">
        <f t="shared" si="3562"/>
        <v>0.85867768595041327</v>
      </c>
      <c r="AO451" s="2">
        <f t="shared" si="3563"/>
        <v>0.22724603640634175</v>
      </c>
      <c r="AP451" s="2">
        <f t="shared" si="3563"/>
        <v>0.15879605604566685</v>
      </c>
      <c r="AQ451" s="2">
        <f t="shared" si="3563"/>
        <v>0.19090909090909092</v>
      </c>
      <c r="AR451" s="2">
        <f t="shared" si="3555"/>
        <v>7.3987081620669401E-2</v>
      </c>
      <c r="AS451" s="2">
        <f t="shared" si="3564"/>
        <v>6.5386611312921644E-2</v>
      </c>
      <c r="AT451" s="2">
        <f t="shared" si="3564"/>
        <v>6.7493112947658404E-2</v>
      </c>
      <c r="AU451" s="2">
        <f t="shared" si="3556"/>
        <v>1.1033681765389082E-2</v>
      </c>
      <c r="AV451" s="2">
        <f t="shared" si="3556"/>
        <v>7.2127769191138585E-3</v>
      </c>
      <c r="AW451" s="2">
        <f t="shared" si="3556"/>
        <v>9.0090090090090089E-3</v>
      </c>
    </row>
    <row r="452" spans="1:49" ht="15.75" customHeight="1" x14ac:dyDescent="0.15">
      <c r="A452" s="1">
        <v>2025</v>
      </c>
      <c r="C452" s="3" t="s">
        <v>99</v>
      </c>
      <c r="D452" t="s">
        <v>265</v>
      </c>
      <c r="E452">
        <v>61</v>
      </c>
      <c r="F452">
        <v>35</v>
      </c>
      <c r="G452">
        <v>96</v>
      </c>
      <c r="H452">
        <v>722</v>
      </c>
      <c r="I452">
        <v>645</v>
      </c>
      <c r="J452">
        <v>1367</v>
      </c>
      <c r="K452">
        <v>393</v>
      </c>
      <c r="L452">
        <v>477</v>
      </c>
      <c r="M452">
        <v>870</v>
      </c>
      <c r="N452">
        <v>207</v>
      </c>
      <c r="O452">
        <v>320</v>
      </c>
      <c r="P452">
        <v>527</v>
      </c>
      <c r="Q452">
        <v>315</v>
      </c>
      <c r="R452">
        <v>430</v>
      </c>
      <c r="S452">
        <v>745</v>
      </c>
      <c r="T452">
        <v>49</v>
      </c>
      <c r="U452">
        <v>42</v>
      </c>
      <c r="V452">
        <v>91</v>
      </c>
      <c r="W452" s="1">
        <f t="shared" si="3557"/>
        <v>1747</v>
      </c>
      <c r="X452" s="1">
        <f t="shared" si="3557"/>
        <v>1949</v>
      </c>
      <c r="Y452" s="1">
        <f t="shared" si="3551"/>
        <v>3696</v>
      </c>
      <c r="Z452" s="1">
        <f t="shared" si="3558"/>
        <v>1698</v>
      </c>
      <c r="AA452" s="1">
        <f t="shared" si="3558"/>
        <v>1907</v>
      </c>
      <c r="AB452" s="1">
        <f t="shared" si="3552"/>
        <v>3605</v>
      </c>
      <c r="AC452" s="1">
        <f t="shared" si="3559"/>
        <v>1383</v>
      </c>
      <c r="AD452" s="1">
        <f t="shared" si="3559"/>
        <v>1477</v>
      </c>
      <c r="AE452" s="1">
        <f t="shared" si="3553"/>
        <v>2860</v>
      </c>
      <c r="AF452" s="2">
        <f t="shared" si="3560"/>
        <v>0.81448763250883394</v>
      </c>
      <c r="AG452" s="2">
        <f t="shared" si="3560"/>
        <v>0.77451494493969586</v>
      </c>
      <c r="AH452" s="2">
        <f t="shared" si="3560"/>
        <v>0.79334257975034672</v>
      </c>
      <c r="AI452" s="1">
        <f t="shared" si="3561"/>
        <v>1176</v>
      </c>
      <c r="AJ452" s="1">
        <f t="shared" si="3561"/>
        <v>1157</v>
      </c>
      <c r="AK452" s="1">
        <f t="shared" si="3554"/>
        <v>2333</v>
      </c>
      <c r="AL452" s="2">
        <f t="shared" si="3562"/>
        <v>0.69257950530035339</v>
      </c>
      <c r="AM452" s="2">
        <f t="shared" si="3562"/>
        <v>0.60671211326691132</v>
      </c>
      <c r="AN452" s="2">
        <f t="shared" si="3562"/>
        <v>0.64715672676837721</v>
      </c>
      <c r="AO452" s="2">
        <f t="shared" si="3563"/>
        <v>3.5924617196702001E-2</v>
      </c>
      <c r="AP452" s="2">
        <f t="shared" si="3563"/>
        <v>1.8353434714210803E-2</v>
      </c>
      <c r="AQ452" s="2">
        <f t="shared" si="3563"/>
        <v>2.6629680998613039E-2</v>
      </c>
      <c r="AR452" s="2">
        <f t="shared" si="3555"/>
        <v>0.25323910482921086</v>
      </c>
      <c r="AS452" s="2">
        <f t="shared" si="3564"/>
        <v>0.22548505506030414</v>
      </c>
      <c r="AT452" s="2">
        <f t="shared" si="3564"/>
        <v>0.20665742024965325</v>
      </c>
      <c r="AU452" s="2">
        <f t="shared" si="3556"/>
        <v>2.8048082427017746E-2</v>
      </c>
      <c r="AV452" s="2">
        <f t="shared" si="3556"/>
        <v>2.1549512570549E-2</v>
      </c>
      <c r="AW452" s="2">
        <f t="shared" si="3556"/>
        <v>2.462121212121212E-2</v>
      </c>
    </row>
    <row r="453" spans="1:49" ht="15.75" customHeight="1" x14ac:dyDescent="0.15">
      <c r="A453" s="1">
        <v>2025</v>
      </c>
      <c r="C453" s="3" t="s">
        <v>54</v>
      </c>
      <c r="D453" t="s">
        <v>266</v>
      </c>
      <c r="E453">
        <v>283</v>
      </c>
      <c r="F453">
        <v>196</v>
      </c>
      <c r="G453">
        <v>479</v>
      </c>
      <c r="H453">
        <v>591</v>
      </c>
      <c r="I453">
        <v>736</v>
      </c>
      <c r="J453">
        <v>1327</v>
      </c>
      <c r="K453">
        <v>103</v>
      </c>
      <c r="L453">
        <v>163</v>
      </c>
      <c r="M453">
        <v>266</v>
      </c>
      <c r="N453">
        <v>54</v>
      </c>
      <c r="O453">
        <v>78</v>
      </c>
      <c r="P453">
        <v>132</v>
      </c>
      <c r="Q453">
        <v>18</v>
      </c>
      <c r="R453">
        <v>45</v>
      </c>
      <c r="S453">
        <v>63</v>
      </c>
      <c r="T453">
        <v>14</v>
      </c>
      <c r="U453">
        <v>15</v>
      </c>
      <c r="V453">
        <v>29</v>
      </c>
      <c r="W453" s="1">
        <f t="shared" si="3557"/>
        <v>1063</v>
      </c>
      <c r="X453" s="1">
        <f t="shared" si="3557"/>
        <v>1233</v>
      </c>
      <c r="Y453" s="1">
        <f t="shared" si="3551"/>
        <v>2296</v>
      </c>
      <c r="Z453" s="1">
        <f t="shared" si="3558"/>
        <v>1049</v>
      </c>
      <c r="AA453" s="1">
        <f t="shared" si="3558"/>
        <v>1218</v>
      </c>
      <c r="AB453" s="1">
        <f t="shared" si="3552"/>
        <v>2267</v>
      </c>
      <c r="AC453" s="1">
        <f t="shared" si="3559"/>
        <v>1031</v>
      </c>
      <c r="AD453" s="1">
        <f t="shared" si="3559"/>
        <v>1173</v>
      </c>
      <c r="AE453" s="1">
        <f t="shared" si="3553"/>
        <v>2204</v>
      </c>
      <c r="AF453" s="2">
        <f t="shared" si="3560"/>
        <v>0.98284080076263103</v>
      </c>
      <c r="AG453" s="2">
        <f t="shared" si="3560"/>
        <v>0.96305418719211822</v>
      </c>
      <c r="AH453" s="2">
        <f t="shared" si="3560"/>
        <v>0.97220996912218793</v>
      </c>
      <c r="AI453" s="1">
        <f t="shared" si="3561"/>
        <v>977</v>
      </c>
      <c r="AJ453" s="1">
        <f t="shared" si="3561"/>
        <v>1095</v>
      </c>
      <c r="AK453" s="1">
        <f t="shared" si="3554"/>
        <v>2072</v>
      </c>
      <c r="AL453" s="2">
        <f t="shared" si="3562"/>
        <v>0.93136320305052434</v>
      </c>
      <c r="AM453" s="2">
        <f t="shared" si="3562"/>
        <v>0.89901477832512311</v>
      </c>
      <c r="AN453" s="2">
        <f t="shared" si="3562"/>
        <v>0.91398323775915302</v>
      </c>
      <c r="AO453" s="2">
        <f t="shared" si="3563"/>
        <v>0.2697807435653003</v>
      </c>
      <c r="AP453" s="2">
        <f t="shared" si="3563"/>
        <v>0.16091954022988506</v>
      </c>
      <c r="AQ453" s="2">
        <f t="shared" si="3563"/>
        <v>0.21129245699161889</v>
      </c>
      <c r="AR453" s="2">
        <f t="shared" si="3555"/>
        <v>4.2897998093422304E-2</v>
      </c>
      <c r="AS453" s="2">
        <f t="shared" si="3564"/>
        <v>3.6945812807881777E-2</v>
      </c>
      <c r="AT453" s="2">
        <f t="shared" si="3564"/>
        <v>2.7790030877812087E-2</v>
      </c>
      <c r="AU453" s="2">
        <f t="shared" si="3556"/>
        <v>1.317027281279398E-2</v>
      </c>
      <c r="AV453" s="2">
        <f t="shared" si="3556"/>
        <v>1.2165450121654502E-2</v>
      </c>
      <c r="AW453" s="2">
        <f t="shared" si="3556"/>
        <v>1.2630662020905924E-2</v>
      </c>
    </row>
    <row r="454" spans="1:49" ht="15.75" customHeight="1" x14ac:dyDescent="0.15">
      <c r="A454" s="1">
        <v>2025</v>
      </c>
      <c r="C454" s="3" t="s">
        <v>54</v>
      </c>
      <c r="D454" t="s">
        <v>267</v>
      </c>
      <c r="E454">
        <v>387</v>
      </c>
      <c r="F454">
        <v>352</v>
      </c>
      <c r="G454">
        <v>739</v>
      </c>
      <c r="H454">
        <v>1035</v>
      </c>
      <c r="I454">
        <v>1291</v>
      </c>
      <c r="J454">
        <v>2326</v>
      </c>
      <c r="K454">
        <v>100</v>
      </c>
      <c r="L454">
        <v>145</v>
      </c>
      <c r="M454">
        <v>245</v>
      </c>
      <c r="N454">
        <v>29</v>
      </c>
      <c r="O454">
        <v>53</v>
      </c>
      <c r="P454">
        <v>82</v>
      </c>
      <c r="Q454">
        <v>17</v>
      </c>
      <c r="R454">
        <v>24</v>
      </c>
      <c r="S454">
        <v>41</v>
      </c>
      <c r="T454">
        <v>16</v>
      </c>
      <c r="U454">
        <v>19</v>
      </c>
      <c r="V454">
        <v>35</v>
      </c>
      <c r="W454" s="1">
        <f t="shared" si="3557"/>
        <v>1584</v>
      </c>
      <c r="X454" s="1">
        <f t="shared" si="3557"/>
        <v>1884</v>
      </c>
      <c r="Y454" s="1">
        <f t="shared" si="3551"/>
        <v>3468</v>
      </c>
      <c r="Z454" s="1">
        <f t="shared" si="3558"/>
        <v>1568</v>
      </c>
      <c r="AA454" s="1">
        <f t="shared" si="3558"/>
        <v>1865</v>
      </c>
      <c r="AB454" s="1">
        <f t="shared" si="3552"/>
        <v>3433</v>
      </c>
      <c r="AC454" s="1">
        <f t="shared" si="3559"/>
        <v>1551</v>
      </c>
      <c r="AD454" s="1">
        <f t="shared" si="3559"/>
        <v>1841</v>
      </c>
      <c r="AE454" s="1">
        <f t="shared" si="3553"/>
        <v>3392</v>
      </c>
      <c r="AF454" s="2">
        <f t="shared" si="3560"/>
        <v>0.98915816326530615</v>
      </c>
      <c r="AG454" s="2">
        <f t="shared" si="3560"/>
        <v>0.98713136729222517</v>
      </c>
      <c r="AH454" s="2">
        <f t="shared" si="3560"/>
        <v>0.9880570929216429</v>
      </c>
      <c r="AI454" s="1">
        <f t="shared" si="3561"/>
        <v>1522</v>
      </c>
      <c r="AJ454" s="1">
        <f t="shared" si="3561"/>
        <v>1788</v>
      </c>
      <c r="AK454" s="1">
        <f t="shared" si="3554"/>
        <v>3310</v>
      </c>
      <c r="AL454" s="2">
        <f t="shared" si="3562"/>
        <v>0.97066326530612246</v>
      </c>
      <c r="AM454" s="2">
        <f t="shared" si="3562"/>
        <v>0.95871313672922254</v>
      </c>
      <c r="AN454" s="2">
        <f t="shared" si="3562"/>
        <v>0.96417127876492859</v>
      </c>
      <c r="AO454" s="2">
        <f t="shared" si="3563"/>
        <v>0.24681122448979592</v>
      </c>
      <c r="AP454" s="2">
        <f t="shared" si="3563"/>
        <v>0.18873994638069705</v>
      </c>
      <c r="AQ454" s="2">
        <f t="shared" si="3563"/>
        <v>0.21526361782697348</v>
      </c>
      <c r="AR454" s="2">
        <f t="shared" si="3555"/>
        <v>1.5306122448979591E-2</v>
      </c>
      <c r="AS454" s="2">
        <f t="shared" si="3564"/>
        <v>1.2868632707774798E-2</v>
      </c>
      <c r="AT454" s="2">
        <f t="shared" si="3564"/>
        <v>1.1942907078357122E-2</v>
      </c>
      <c r="AU454" s="2">
        <f t="shared" si="3556"/>
        <v>1.0101010101010102E-2</v>
      </c>
      <c r="AV454" s="2">
        <f t="shared" si="3556"/>
        <v>1.0084925690021231E-2</v>
      </c>
      <c r="AW454" s="2">
        <f t="shared" si="3556"/>
        <v>1.0092272202998846E-2</v>
      </c>
    </row>
    <row r="455" spans="1:49" ht="15.75" customHeight="1" x14ac:dyDescent="0.15">
      <c r="A455" s="1">
        <v>2025</v>
      </c>
      <c r="C455" s="3" t="s">
        <v>89</v>
      </c>
      <c r="D455" t="s">
        <v>268</v>
      </c>
      <c r="E455">
        <v>62</v>
      </c>
      <c r="F455">
        <v>36</v>
      </c>
      <c r="G455">
        <v>98</v>
      </c>
      <c r="H455">
        <v>345</v>
      </c>
      <c r="I455">
        <v>377</v>
      </c>
      <c r="J455">
        <v>722</v>
      </c>
      <c r="K455">
        <v>98</v>
      </c>
      <c r="L455">
        <v>131</v>
      </c>
      <c r="M455">
        <v>229</v>
      </c>
      <c r="N455">
        <v>40</v>
      </c>
      <c r="O455">
        <v>54</v>
      </c>
      <c r="P455">
        <v>94</v>
      </c>
      <c r="Q455">
        <v>44</v>
      </c>
      <c r="R455">
        <v>49</v>
      </c>
      <c r="S455">
        <v>93</v>
      </c>
      <c r="T455">
        <v>4</v>
      </c>
      <c r="U455">
        <v>6</v>
      </c>
      <c r="V455">
        <v>10</v>
      </c>
      <c r="W455" s="1">
        <f t="shared" si="3557"/>
        <v>593</v>
      </c>
      <c r="X455" s="1">
        <f t="shared" si="3557"/>
        <v>653</v>
      </c>
      <c r="Y455" s="1">
        <f t="shared" si="3551"/>
        <v>1246</v>
      </c>
      <c r="Z455" s="1">
        <f t="shared" si="3558"/>
        <v>589</v>
      </c>
      <c r="AA455" s="1">
        <f t="shared" si="3558"/>
        <v>647</v>
      </c>
      <c r="AB455" s="1">
        <f t="shared" si="3552"/>
        <v>1236</v>
      </c>
      <c r="AC455" s="1">
        <f t="shared" si="3559"/>
        <v>545</v>
      </c>
      <c r="AD455" s="1">
        <f t="shared" si="3559"/>
        <v>598</v>
      </c>
      <c r="AE455" s="1">
        <f t="shared" si="3553"/>
        <v>1143</v>
      </c>
      <c r="AF455" s="2">
        <f t="shared" si="3560"/>
        <v>0.9252971137521222</v>
      </c>
      <c r="AG455" s="2">
        <f t="shared" si="3560"/>
        <v>0.92426584234930453</v>
      </c>
      <c r="AH455" s="2">
        <f t="shared" si="3560"/>
        <v>0.92475728155339809</v>
      </c>
      <c r="AI455" s="1">
        <f t="shared" si="3561"/>
        <v>505</v>
      </c>
      <c r="AJ455" s="1">
        <f t="shared" si="3561"/>
        <v>544</v>
      </c>
      <c r="AK455" s="1">
        <f t="shared" si="3554"/>
        <v>1049</v>
      </c>
      <c r="AL455" s="2">
        <f t="shared" si="3562"/>
        <v>0.85738539898132426</v>
      </c>
      <c r="AM455" s="2">
        <f t="shared" si="3562"/>
        <v>0.84080370942812988</v>
      </c>
      <c r="AN455" s="2">
        <f t="shared" si="3562"/>
        <v>0.84870550161812297</v>
      </c>
      <c r="AO455" s="2">
        <f t="shared" si="3563"/>
        <v>0.10526315789473684</v>
      </c>
      <c r="AP455" s="2">
        <f t="shared" si="3563"/>
        <v>5.5641421947449768E-2</v>
      </c>
      <c r="AQ455" s="2">
        <f t="shared" si="3563"/>
        <v>7.9288025889967639E-2</v>
      </c>
      <c r="AR455" s="2">
        <f t="shared" si="3555"/>
        <v>8.3191850594227498E-2</v>
      </c>
      <c r="AS455" s="2">
        <f t="shared" si="3564"/>
        <v>7.5734157650695522E-2</v>
      </c>
      <c r="AT455" s="2">
        <f t="shared" si="3564"/>
        <v>7.5242718446601936E-2</v>
      </c>
      <c r="AU455" s="2">
        <f t="shared" si="3556"/>
        <v>6.7453625632377737E-3</v>
      </c>
      <c r="AV455" s="2">
        <f t="shared" si="3556"/>
        <v>9.1883614088820835E-3</v>
      </c>
      <c r="AW455" s="2">
        <f t="shared" si="3556"/>
        <v>8.0256821829855531E-3</v>
      </c>
    </row>
    <row r="456" spans="1:49" ht="15.75" customHeight="1" x14ac:dyDescent="0.15">
      <c r="A456" s="1">
        <v>2025</v>
      </c>
      <c r="C456" s="3" t="s">
        <v>89</v>
      </c>
      <c r="D456" t="s">
        <v>269</v>
      </c>
      <c r="E456">
        <v>300</v>
      </c>
      <c r="F456">
        <v>308</v>
      </c>
      <c r="G456">
        <v>608</v>
      </c>
      <c r="H456">
        <v>1516</v>
      </c>
      <c r="I456">
        <v>1714</v>
      </c>
      <c r="J456">
        <v>3230</v>
      </c>
      <c r="K456">
        <v>788</v>
      </c>
      <c r="L456">
        <v>1047</v>
      </c>
      <c r="M456">
        <v>1835</v>
      </c>
      <c r="N456">
        <v>525</v>
      </c>
      <c r="O456">
        <v>708</v>
      </c>
      <c r="P456">
        <v>1233</v>
      </c>
      <c r="Q456">
        <v>587</v>
      </c>
      <c r="R456">
        <v>857</v>
      </c>
      <c r="S456">
        <v>1444</v>
      </c>
      <c r="T456">
        <v>34</v>
      </c>
      <c r="U456">
        <v>38</v>
      </c>
      <c r="V456">
        <v>72</v>
      </c>
      <c r="W456" s="1">
        <f t="shared" si="3557"/>
        <v>3750</v>
      </c>
      <c r="X456" s="1">
        <f t="shared" si="3557"/>
        <v>4672</v>
      </c>
      <c r="Y456" s="1">
        <f t="shared" si="3551"/>
        <v>8422</v>
      </c>
      <c r="Z456" s="1">
        <f t="shared" si="3558"/>
        <v>3716</v>
      </c>
      <c r="AA456" s="1">
        <f t="shared" si="3558"/>
        <v>4634</v>
      </c>
      <c r="AB456" s="1">
        <f t="shared" si="3552"/>
        <v>8350</v>
      </c>
      <c r="AC456" s="1">
        <f t="shared" si="3559"/>
        <v>3129</v>
      </c>
      <c r="AD456" s="1">
        <f t="shared" si="3559"/>
        <v>3777</v>
      </c>
      <c r="AE456" s="1">
        <f t="shared" si="3553"/>
        <v>6906</v>
      </c>
      <c r="AF456" s="2">
        <f t="shared" si="3560"/>
        <v>0.84203444564047358</v>
      </c>
      <c r="AG456" s="2">
        <f t="shared" si="3560"/>
        <v>0.81506258092360806</v>
      </c>
      <c r="AH456" s="2">
        <f t="shared" si="3560"/>
        <v>0.82706586826347306</v>
      </c>
      <c r="AI456" s="1">
        <f t="shared" si="3561"/>
        <v>2604</v>
      </c>
      <c r="AJ456" s="1">
        <f t="shared" si="3561"/>
        <v>3069</v>
      </c>
      <c r="AK456" s="1">
        <f t="shared" si="3554"/>
        <v>5673</v>
      </c>
      <c r="AL456" s="2">
        <f t="shared" si="3562"/>
        <v>0.70075349838536061</v>
      </c>
      <c r="AM456" s="2">
        <f t="shared" si="3562"/>
        <v>0.66227880880448853</v>
      </c>
      <c r="AN456" s="2">
        <f t="shared" si="3562"/>
        <v>0.67940119760479045</v>
      </c>
      <c r="AO456" s="2">
        <f t="shared" si="3563"/>
        <v>8.073196986006459E-2</v>
      </c>
      <c r="AP456" s="2">
        <f t="shared" si="3563"/>
        <v>6.6465256797583083E-2</v>
      </c>
      <c r="AQ456" s="2">
        <f t="shared" si="3563"/>
        <v>7.2814371257485036E-2</v>
      </c>
      <c r="AR456" s="2">
        <f t="shared" si="3555"/>
        <v>0.2306243272335845</v>
      </c>
      <c r="AS456" s="2">
        <f t="shared" si="3564"/>
        <v>0.18493741907639188</v>
      </c>
      <c r="AT456" s="2">
        <f t="shared" si="3564"/>
        <v>0.17293413173652694</v>
      </c>
      <c r="AU456" s="2">
        <f t="shared" si="3556"/>
        <v>9.0666666666666673E-3</v>
      </c>
      <c r="AV456" s="2">
        <f t="shared" si="3556"/>
        <v>8.133561643835616E-3</v>
      </c>
      <c r="AW456" s="2">
        <f t="shared" si="3556"/>
        <v>8.549038233198766E-3</v>
      </c>
    </row>
    <row r="457" spans="1:49" ht="15.75" customHeight="1" x14ac:dyDescent="0.15">
      <c r="A457" s="1">
        <v>2025</v>
      </c>
      <c r="C457" s="3" t="s">
        <v>54</v>
      </c>
      <c r="D457" t="s">
        <v>270</v>
      </c>
      <c r="E457">
        <v>1027</v>
      </c>
      <c r="F457">
        <v>906</v>
      </c>
      <c r="G457">
        <v>1933</v>
      </c>
      <c r="H457">
        <v>2813</v>
      </c>
      <c r="I457">
        <v>3441</v>
      </c>
      <c r="J457">
        <v>6254</v>
      </c>
      <c r="K457">
        <v>588</v>
      </c>
      <c r="L457">
        <v>830</v>
      </c>
      <c r="M457">
        <v>1418</v>
      </c>
      <c r="N457">
        <v>275</v>
      </c>
      <c r="O457">
        <v>437</v>
      </c>
      <c r="P457">
        <v>712</v>
      </c>
      <c r="Q457">
        <v>122</v>
      </c>
      <c r="R457">
        <v>173</v>
      </c>
      <c r="S457">
        <v>295</v>
      </c>
      <c r="T457">
        <v>92</v>
      </c>
      <c r="U457">
        <v>100</v>
      </c>
      <c r="V457">
        <v>192</v>
      </c>
      <c r="W457" s="1">
        <f t="shared" si="3557"/>
        <v>4917</v>
      </c>
      <c r="X457" s="1">
        <f t="shared" si="3557"/>
        <v>5887</v>
      </c>
      <c r="Y457" s="1">
        <f t="shared" si="3551"/>
        <v>10804</v>
      </c>
      <c r="Z457" s="1">
        <f t="shared" si="3558"/>
        <v>4825</v>
      </c>
      <c r="AA457" s="1">
        <f t="shared" si="3558"/>
        <v>5787</v>
      </c>
      <c r="AB457" s="1">
        <f t="shared" si="3552"/>
        <v>10612</v>
      </c>
      <c r="AC457" s="1">
        <f t="shared" si="3559"/>
        <v>4703</v>
      </c>
      <c r="AD457" s="1">
        <f t="shared" si="3559"/>
        <v>5614</v>
      </c>
      <c r="AE457" s="1">
        <f t="shared" si="3553"/>
        <v>10317</v>
      </c>
      <c r="AF457" s="2">
        <f t="shared" si="3560"/>
        <v>0.97471502590673575</v>
      </c>
      <c r="AG457" s="2">
        <f t="shared" si="3560"/>
        <v>0.97010540867461548</v>
      </c>
      <c r="AH457" s="2">
        <f t="shared" si="3560"/>
        <v>0.9722012815680362</v>
      </c>
      <c r="AI457" s="1">
        <f t="shared" si="3561"/>
        <v>4428</v>
      </c>
      <c r="AJ457" s="1">
        <f t="shared" si="3561"/>
        <v>5177</v>
      </c>
      <c r="AK457" s="1">
        <f t="shared" si="3554"/>
        <v>9605</v>
      </c>
      <c r="AL457" s="2">
        <f t="shared" si="3562"/>
        <v>0.91772020725388603</v>
      </c>
      <c r="AM457" s="2">
        <f t="shared" si="3562"/>
        <v>0.89459132538448249</v>
      </c>
      <c r="AN457" s="2">
        <f t="shared" si="3562"/>
        <v>0.90510742555597434</v>
      </c>
      <c r="AO457" s="2">
        <f t="shared" si="3563"/>
        <v>0.2128497409326425</v>
      </c>
      <c r="AP457" s="2">
        <f t="shared" si="3563"/>
        <v>0.1565578019699326</v>
      </c>
      <c r="AQ457" s="2">
        <f t="shared" si="3563"/>
        <v>0.18215228043724085</v>
      </c>
      <c r="AR457" s="2">
        <f t="shared" si="3555"/>
        <v>3.5854922279792749E-2</v>
      </c>
      <c r="AS457" s="2">
        <f t="shared" si="3564"/>
        <v>2.9894591325384481E-2</v>
      </c>
      <c r="AT457" s="2">
        <f t="shared" si="3564"/>
        <v>2.7798718431963815E-2</v>
      </c>
      <c r="AU457" s="2">
        <f t="shared" si="3556"/>
        <v>1.8710595891803947E-2</v>
      </c>
      <c r="AV457" s="2">
        <f t="shared" si="3556"/>
        <v>1.6986580601324953E-2</v>
      </c>
      <c r="AW457" s="2">
        <f t="shared" si="3556"/>
        <v>1.7771195853387635E-2</v>
      </c>
    </row>
    <row r="458" spans="1:49" ht="15.75" customHeight="1" x14ac:dyDescent="0.15">
      <c r="A458" s="1">
        <v>2025</v>
      </c>
      <c r="C458" s="3" t="s">
        <v>89</v>
      </c>
      <c r="D458" t="s">
        <v>271</v>
      </c>
      <c r="E458">
        <v>409</v>
      </c>
      <c r="F458">
        <v>407</v>
      </c>
      <c r="G458">
        <v>816</v>
      </c>
      <c r="H458">
        <v>1479</v>
      </c>
      <c r="I458">
        <v>1790</v>
      </c>
      <c r="J458">
        <v>3269</v>
      </c>
      <c r="K458">
        <v>389</v>
      </c>
      <c r="L458">
        <v>539</v>
      </c>
      <c r="M458">
        <v>928</v>
      </c>
      <c r="N458">
        <v>198</v>
      </c>
      <c r="O458">
        <v>337</v>
      </c>
      <c r="P458">
        <v>535</v>
      </c>
      <c r="Q458">
        <v>172</v>
      </c>
      <c r="R458">
        <v>262</v>
      </c>
      <c r="S458">
        <v>434</v>
      </c>
      <c r="T458">
        <v>36</v>
      </c>
      <c r="U458">
        <v>31</v>
      </c>
      <c r="V458">
        <v>67</v>
      </c>
      <c r="W458" s="1">
        <f t="shared" si="3557"/>
        <v>2683</v>
      </c>
      <c r="X458" s="1">
        <f t="shared" si="3557"/>
        <v>3366</v>
      </c>
      <c r="Y458" s="1">
        <f t="shared" si="3551"/>
        <v>6049</v>
      </c>
      <c r="Z458" s="1">
        <f t="shared" si="3558"/>
        <v>2647</v>
      </c>
      <c r="AA458" s="1">
        <f t="shared" si="3558"/>
        <v>3335</v>
      </c>
      <c r="AB458" s="1">
        <f t="shared" si="3552"/>
        <v>5982</v>
      </c>
      <c r="AC458" s="1">
        <f t="shared" si="3559"/>
        <v>2475</v>
      </c>
      <c r="AD458" s="1">
        <f t="shared" si="3559"/>
        <v>3073</v>
      </c>
      <c r="AE458" s="1">
        <f t="shared" si="3553"/>
        <v>5548</v>
      </c>
      <c r="AF458" s="2">
        <f t="shared" si="3560"/>
        <v>0.93502077823951646</v>
      </c>
      <c r="AG458" s="2">
        <f t="shared" si="3560"/>
        <v>0.92143928035982015</v>
      </c>
      <c r="AH458" s="2">
        <f t="shared" si="3560"/>
        <v>0.92744901370778998</v>
      </c>
      <c r="AI458" s="1">
        <f t="shared" si="3561"/>
        <v>2277</v>
      </c>
      <c r="AJ458" s="1">
        <f t="shared" si="3561"/>
        <v>2736</v>
      </c>
      <c r="AK458" s="1">
        <f t="shared" si="3554"/>
        <v>5013</v>
      </c>
      <c r="AL458" s="2">
        <f t="shared" si="3562"/>
        <v>0.86021911598035516</v>
      </c>
      <c r="AM458" s="2">
        <f t="shared" si="3562"/>
        <v>0.8203898050974513</v>
      </c>
      <c r="AN458" s="2">
        <f t="shared" si="3562"/>
        <v>0.83801404212637909</v>
      </c>
      <c r="AO458" s="2">
        <f t="shared" si="3563"/>
        <v>0.15451454476766149</v>
      </c>
      <c r="AP458" s="2">
        <f t="shared" si="3563"/>
        <v>0.12203898050974513</v>
      </c>
      <c r="AQ458" s="2">
        <f t="shared" si="3563"/>
        <v>0.13640922768304914</v>
      </c>
      <c r="AR458" s="2">
        <f t="shared" si="3555"/>
        <v>9.8979977332829622E-2</v>
      </c>
      <c r="AS458" s="2">
        <f t="shared" si="3564"/>
        <v>7.856071964017991E-2</v>
      </c>
      <c r="AT458" s="2">
        <f t="shared" si="3564"/>
        <v>7.2550986292209962E-2</v>
      </c>
      <c r="AU458" s="2">
        <f t="shared" si="3556"/>
        <v>1.3417815877748788E-2</v>
      </c>
      <c r="AV458" s="2">
        <f t="shared" si="3556"/>
        <v>9.2097445038621505E-3</v>
      </c>
      <c r="AW458" s="2">
        <f t="shared" si="3556"/>
        <v>1.1076210943957679E-2</v>
      </c>
    </row>
    <row r="459" spans="1:49" ht="15.75" customHeight="1" x14ac:dyDescent="0.15">
      <c r="A459" s="1">
        <v>2025</v>
      </c>
      <c r="C459" s="3" t="s">
        <v>89</v>
      </c>
      <c r="D459" t="s">
        <v>272</v>
      </c>
      <c r="E459">
        <v>300</v>
      </c>
      <c r="F459">
        <v>195</v>
      </c>
      <c r="G459">
        <v>495</v>
      </c>
      <c r="H459">
        <v>1609</v>
      </c>
      <c r="I459">
        <v>1908</v>
      </c>
      <c r="J459">
        <v>3517</v>
      </c>
      <c r="K459">
        <v>696</v>
      </c>
      <c r="L459">
        <v>964</v>
      </c>
      <c r="M459">
        <v>1660</v>
      </c>
      <c r="N459">
        <v>405</v>
      </c>
      <c r="O459">
        <v>523</v>
      </c>
      <c r="P459">
        <v>928</v>
      </c>
      <c r="Q459">
        <v>348</v>
      </c>
      <c r="R459">
        <v>393</v>
      </c>
      <c r="S459">
        <v>741</v>
      </c>
      <c r="T459">
        <v>34</v>
      </c>
      <c r="U459">
        <v>41</v>
      </c>
      <c r="V459">
        <v>75</v>
      </c>
      <c r="W459" s="1">
        <f t="shared" si="3557"/>
        <v>3392</v>
      </c>
      <c r="X459" s="1">
        <f t="shared" si="3557"/>
        <v>4024</v>
      </c>
      <c r="Y459" s="1">
        <f t="shared" si="3551"/>
        <v>7416</v>
      </c>
      <c r="Z459" s="1">
        <f t="shared" si="3558"/>
        <v>3358</v>
      </c>
      <c r="AA459" s="1">
        <f t="shared" si="3558"/>
        <v>3983</v>
      </c>
      <c r="AB459" s="1">
        <f t="shared" si="3552"/>
        <v>7341</v>
      </c>
      <c r="AC459" s="1">
        <f t="shared" si="3559"/>
        <v>3010</v>
      </c>
      <c r="AD459" s="1">
        <f t="shared" si="3559"/>
        <v>3590</v>
      </c>
      <c r="AE459" s="1">
        <f t="shared" si="3553"/>
        <v>6600</v>
      </c>
      <c r="AF459" s="2">
        <f t="shared" si="3560"/>
        <v>0.89636688505062534</v>
      </c>
      <c r="AG459" s="2">
        <f t="shared" si="3560"/>
        <v>0.90133065528496104</v>
      </c>
      <c r="AH459" s="2">
        <f t="shared" si="3560"/>
        <v>0.8990600735594606</v>
      </c>
      <c r="AI459" s="1">
        <f t="shared" si="3561"/>
        <v>2605</v>
      </c>
      <c r="AJ459" s="1">
        <f t="shared" si="3561"/>
        <v>3067</v>
      </c>
      <c r="AK459" s="1">
        <f t="shared" si="3554"/>
        <v>5672</v>
      </c>
      <c r="AL459" s="2">
        <f t="shared" si="3562"/>
        <v>0.77575938058368077</v>
      </c>
      <c r="AM459" s="2">
        <f t="shared" si="3562"/>
        <v>0.77002259603314083</v>
      </c>
      <c r="AN459" s="2">
        <f t="shared" si="3562"/>
        <v>0.77264677836806972</v>
      </c>
      <c r="AO459" s="2">
        <f t="shared" si="3563"/>
        <v>8.9338892197736747E-2</v>
      </c>
      <c r="AP459" s="2">
        <f t="shared" si="3563"/>
        <v>4.8958071805171983E-2</v>
      </c>
      <c r="AQ459" s="2">
        <f t="shared" si="3563"/>
        <v>6.7429505516959545E-2</v>
      </c>
      <c r="AR459" s="2">
        <f t="shared" si="3555"/>
        <v>0.11703394877903514</v>
      </c>
      <c r="AS459" s="2">
        <f t="shared" si="3564"/>
        <v>9.8669344715038909E-2</v>
      </c>
      <c r="AT459" s="2">
        <f t="shared" si="3564"/>
        <v>0.10093992644053944</v>
      </c>
      <c r="AU459" s="2">
        <f t="shared" si="3556"/>
        <v>1.0023584905660377E-2</v>
      </c>
      <c r="AV459" s="2">
        <f t="shared" si="3556"/>
        <v>1.0188866799204771E-2</v>
      </c>
      <c r="AW459" s="2">
        <f t="shared" si="3556"/>
        <v>1.0113268608414239E-2</v>
      </c>
    </row>
    <row r="460" spans="1:49" ht="15.75" customHeight="1" x14ac:dyDescent="0.15">
      <c r="A460" s="1">
        <v>2025</v>
      </c>
      <c r="C460" s="3" t="s">
        <v>75</v>
      </c>
      <c r="D460" t="s">
        <v>273</v>
      </c>
      <c r="E460">
        <v>7</v>
      </c>
      <c r="F460">
        <v>1</v>
      </c>
      <c r="G460">
        <v>8</v>
      </c>
      <c r="H460">
        <v>219</v>
      </c>
      <c r="I460">
        <v>109</v>
      </c>
      <c r="J460">
        <v>328</v>
      </c>
      <c r="K460">
        <v>110</v>
      </c>
      <c r="L460">
        <v>116</v>
      </c>
      <c r="M460">
        <v>226</v>
      </c>
      <c r="N460">
        <v>47</v>
      </c>
      <c r="O460">
        <v>32</v>
      </c>
      <c r="P460">
        <v>79</v>
      </c>
      <c r="Q460">
        <v>27</v>
      </c>
      <c r="R460">
        <v>44</v>
      </c>
      <c r="S460">
        <v>71</v>
      </c>
      <c r="T460">
        <v>5</v>
      </c>
      <c r="U460">
        <v>2</v>
      </c>
      <c r="V460">
        <v>7</v>
      </c>
      <c r="W460" s="1">
        <f t="shared" si="3557"/>
        <v>415</v>
      </c>
      <c r="X460" s="1">
        <f t="shared" si="3557"/>
        <v>304</v>
      </c>
      <c r="Y460" s="1">
        <f t="shared" si="3551"/>
        <v>719</v>
      </c>
      <c r="Z460" s="1">
        <f t="shared" si="3558"/>
        <v>410</v>
      </c>
      <c r="AA460" s="1">
        <f t="shared" si="3558"/>
        <v>302</v>
      </c>
      <c r="AB460" s="1">
        <f t="shared" si="3552"/>
        <v>712</v>
      </c>
      <c r="AC460" s="1">
        <f t="shared" si="3559"/>
        <v>383</v>
      </c>
      <c r="AD460" s="1">
        <f t="shared" si="3559"/>
        <v>258</v>
      </c>
      <c r="AE460" s="1">
        <f t="shared" si="3553"/>
        <v>641</v>
      </c>
      <c r="AF460" s="2">
        <f t="shared" si="3560"/>
        <v>0.93414634146341469</v>
      </c>
      <c r="AG460" s="2">
        <f t="shared" si="3560"/>
        <v>0.85430463576158944</v>
      </c>
      <c r="AH460" s="2">
        <f t="shared" si="3560"/>
        <v>0.9002808988764045</v>
      </c>
      <c r="AI460" s="1">
        <f t="shared" si="3561"/>
        <v>336</v>
      </c>
      <c r="AJ460" s="1">
        <f t="shared" si="3561"/>
        <v>226</v>
      </c>
      <c r="AK460" s="1">
        <f t="shared" si="3554"/>
        <v>562</v>
      </c>
      <c r="AL460" s="2">
        <f t="shared" si="3562"/>
        <v>0.81951219512195117</v>
      </c>
      <c r="AM460" s="2">
        <f t="shared" si="3562"/>
        <v>0.7483443708609272</v>
      </c>
      <c r="AN460" s="2">
        <f t="shared" si="3562"/>
        <v>0.7893258426966292</v>
      </c>
      <c r="AO460" s="2">
        <f t="shared" si="3563"/>
        <v>1.7073170731707318E-2</v>
      </c>
      <c r="AP460" s="2">
        <f t="shared" si="3563"/>
        <v>3.3112582781456954E-3</v>
      </c>
      <c r="AQ460" s="2">
        <f t="shared" si="3563"/>
        <v>1.1235955056179775E-2</v>
      </c>
      <c r="AR460" s="2">
        <f t="shared" si="3555"/>
        <v>0.10731707317073171</v>
      </c>
      <c r="AS460" s="2">
        <f t="shared" si="3564"/>
        <v>0.14569536423841059</v>
      </c>
      <c r="AT460" s="2">
        <f t="shared" si="3564"/>
        <v>9.9719101123595499E-2</v>
      </c>
      <c r="AU460" s="2">
        <f t="shared" si="3556"/>
        <v>1.2048192771084338E-2</v>
      </c>
      <c r="AV460" s="2">
        <f t="shared" si="3556"/>
        <v>6.5789473684210523E-3</v>
      </c>
      <c r="AW460" s="2">
        <f t="shared" si="3556"/>
        <v>9.7357440890125171E-3</v>
      </c>
    </row>
    <row r="461" spans="1:49" ht="15.75" customHeight="1" x14ac:dyDescent="0.15">
      <c r="A461" s="1">
        <v>2025</v>
      </c>
      <c r="D461" t="s">
        <v>274</v>
      </c>
      <c r="E461">
        <v>360</v>
      </c>
      <c r="F461">
        <v>341</v>
      </c>
      <c r="G461">
        <v>701</v>
      </c>
      <c r="H461">
        <v>412</v>
      </c>
      <c r="I461">
        <v>490</v>
      </c>
      <c r="J461">
        <v>902</v>
      </c>
      <c r="K461">
        <v>67</v>
      </c>
      <c r="L461">
        <v>107</v>
      </c>
      <c r="M461">
        <v>174</v>
      </c>
      <c r="N461">
        <v>29</v>
      </c>
      <c r="O461">
        <v>44</v>
      </c>
      <c r="P461">
        <v>73</v>
      </c>
      <c r="Q461">
        <v>19</v>
      </c>
      <c r="R461">
        <v>26</v>
      </c>
      <c r="S461">
        <v>45</v>
      </c>
      <c r="T461">
        <v>5</v>
      </c>
      <c r="U461">
        <v>1</v>
      </c>
      <c r="V461">
        <v>6</v>
      </c>
      <c r="W461" s="1">
        <f t="shared" si="3557"/>
        <v>892</v>
      </c>
      <c r="X461" s="1">
        <f t="shared" si="3557"/>
        <v>1009</v>
      </c>
      <c r="Y461" s="1">
        <f t="shared" si="3551"/>
        <v>1901</v>
      </c>
      <c r="Z461" s="1">
        <f t="shared" si="3558"/>
        <v>887</v>
      </c>
      <c r="AA461" s="1">
        <f t="shared" si="3558"/>
        <v>1008</v>
      </c>
      <c r="AB461" s="1">
        <f t="shared" si="3552"/>
        <v>1895</v>
      </c>
      <c r="AC461" s="1">
        <f t="shared" si="3559"/>
        <v>868</v>
      </c>
      <c r="AD461" s="1">
        <f t="shared" si="3559"/>
        <v>982</v>
      </c>
      <c r="AE461" s="1">
        <f t="shared" si="3553"/>
        <v>1850</v>
      </c>
      <c r="AF461" s="2">
        <f t="shared" si="3560"/>
        <v>0.97857948139797069</v>
      </c>
      <c r="AG461" s="2">
        <f t="shared" si="3560"/>
        <v>0.97420634920634919</v>
      </c>
      <c r="AH461" s="2">
        <f t="shared" si="3560"/>
        <v>0.9762532981530343</v>
      </c>
      <c r="AI461" s="1">
        <f t="shared" si="3561"/>
        <v>839</v>
      </c>
      <c r="AJ461" s="1">
        <f t="shared" si="3561"/>
        <v>938</v>
      </c>
      <c r="AK461" s="1">
        <f t="shared" si="3554"/>
        <v>1777</v>
      </c>
      <c r="AL461" s="2">
        <f t="shared" si="3562"/>
        <v>0.94588500563697853</v>
      </c>
      <c r="AM461" s="2">
        <f t="shared" si="3562"/>
        <v>0.93055555555555558</v>
      </c>
      <c r="AN461" s="2">
        <f t="shared" si="3562"/>
        <v>0.93773087071240102</v>
      </c>
      <c r="AO461" s="2">
        <f t="shared" si="3563"/>
        <v>0.40586245772266066</v>
      </c>
      <c r="AP461" s="2">
        <f t="shared" si="3563"/>
        <v>0.33829365079365081</v>
      </c>
      <c r="AQ461" s="2">
        <f t="shared" si="3563"/>
        <v>0.36992084432717676</v>
      </c>
      <c r="AR461" s="2">
        <f t="shared" si="3555"/>
        <v>2.9312288613303268E-2</v>
      </c>
      <c r="AS461" s="2">
        <f t="shared" si="3564"/>
        <v>2.5793650793650792E-2</v>
      </c>
      <c r="AT461" s="2">
        <f t="shared" si="3564"/>
        <v>2.3746701846965697E-2</v>
      </c>
      <c r="AU461" s="2">
        <f t="shared" si="3556"/>
        <v>5.6053811659192822E-3</v>
      </c>
      <c r="AV461" s="2">
        <f t="shared" si="3556"/>
        <v>9.9108027750247768E-4</v>
      </c>
      <c r="AW461" s="2">
        <f t="shared" si="3556"/>
        <v>3.1562335612835349E-3</v>
      </c>
    </row>
    <row r="462" spans="1:49" ht="15.75" customHeight="1" x14ac:dyDescent="0.15">
      <c r="A462" s="1">
        <v>2025</v>
      </c>
      <c r="D462" t="s">
        <v>275</v>
      </c>
      <c r="E462">
        <v>141</v>
      </c>
      <c r="F462">
        <v>78</v>
      </c>
      <c r="G462">
        <v>219</v>
      </c>
      <c r="H462">
        <v>847</v>
      </c>
      <c r="I462">
        <v>991</v>
      </c>
      <c r="J462">
        <v>1838</v>
      </c>
      <c r="K462">
        <v>306</v>
      </c>
      <c r="L462">
        <v>467</v>
      </c>
      <c r="M462">
        <v>773</v>
      </c>
      <c r="N462">
        <v>126</v>
      </c>
      <c r="O462">
        <v>247</v>
      </c>
      <c r="P462">
        <v>373</v>
      </c>
      <c r="Q462">
        <v>83</v>
      </c>
      <c r="R462">
        <v>123</v>
      </c>
      <c r="S462">
        <v>206</v>
      </c>
      <c r="T462">
        <v>29</v>
      </c>
      <c r="U462">
        <v>29</v>
      </c>
      <c r="V462">
        <v>58</v>
      </c>
      <c r="W462" s="1">
        <f t="shared" si="3557"/>
        <v>1532</v>
      </c>
      <c r="X462" s="1">
        <f t="shared" si="3557"/>
        <v>1935</v>
      </c>
      <c r="Y462" s="1">
        <f t="shared" si="3551"/>
        <v>3467</v>
      </c>
      <c r="Z462" s="1">
        <f t="shared" si="3558"/>
        <v>1503</v>
      </c>
      <c r="AA462" s="1">
        <f t="shared" si="3558"/>
        <v>1906</v>
      </c>
      <c r="AB462" s="1">
        <f t="shared" si="3552"/>
        <v>3409</v>
      </c>
      <c r="AC462" s="1">
        <f t="shared" si="3559"/>
        <v>1420</v>
      </c>
      <c r="AD462" s="1">
        <f t="shared" si="3559"/>
        <v>1783</v>
      </c>
      <c r="AE462" s="1">
        <f t="shared" si="3553"/>
        <v>3203</v>
      </c>
      <c r="AF462" s="2">
        <f t="shared" si="3560"/>
        <v>0.94477711244178308</v>
      </c>
      <c r="AG462" s="2">
        <f t="shared" si="3560"/>
        <v>0.9354669464847849</v>
      </c>
      <c r="AH462" s="2">
        <f t="shared" si="3560"/>
        <v>0.93957172191258431</v>
      </c>
      <c r="AI462" s="1">
        <f t="shared" si="3561"/>
        <v>1294</v>
      </c>
      <c r="AJ462" s="1">
        <f t="shared" si="3561"/>
        <v>1536</v>
      </c>
      <c r="AK462" s="1">
        <f t="shared" si="3554"/>
        <v>2830</v>
      </c>
      <c r="AL462" s="2">
        <f t="shared" si="3562"/>
        <v>0.86094477711244177</v>
      </c>
      <c r="AM462" s="2">
        <f t="shared" si="3562"/>
        <v>0.80587618048268628</v>
      </c>
      <c r="AN462" s="2">
        <f t="shared" si="3562"/>
        <v>0.83015547081255503</v>
      </c>
      <c r="AO462" s="2">
        <f t="shared" si="3563"/>
        <v>9.3812375249500993E-2</v>
      </c>
      <c r="AP462" s="2">
        <f t="shared" si="3563"/>
        <v>4.0923399790136414E-2</v>
      </c>
      <c r="AQ462" s="2">
        <f t="shared" si="3563"/>
        <v>6.4241713112349663E-2</v>
      </c>
      <c r="AR462" s="2">
        <f t="shared" si="3555"/>
        <v>8.1836327345309379E-2</v>
      </c>
      <c r="AS462" s="2">
        <f t="shared" si="3564"/>
        <v>6.4533053515215114E-2</v>
      </c>
      <c r="AT462" s="2">
        <f t="shared" si="3564"/>
        <v>6.0428278087415667E-2</v>
      </c>
      <c r="AU462" s="2">
        <f t="shared" si="3556"/>
        <v>1.8929503916449087E-2</v>
      </c>
      <c r="AV462" s="2">
        <f t="shared" si="3556"/>
        <v>1.4987080103359173E-2</v>
      </c>
      <c r="AW462" s="2">
        <f t="shared" si="3556"/>
        <v>1.6729160657629073E-2</v>
      </c>
    </row>
    <row r="463" spans="1:49" ht="15.75" customHeight="1" x14ac:dyDescent="0.15">
      <c r="A463" s="1">
        <v>2025</v>
      </c>
      <c r="D463" t="s">
        <v>276</v>
      </c>
      <c r="E463">
        <v>65</v>
      </c>
      <c r="F463">
        <v>54</v>
      </c>
      <c r="G463">
        <v>119</v>
      </c>
      <c r="H463">
        <v>782</v>
      </c>
      <c r="I463">
        <v>889</v>
      </c>
      <c r="J463">
        <v>1671</v>
      </c>
      <c r="K463">
        <v>382</v>
      </c>
      <c r="L463">
        <v>473</v>
      </c>
      <c r="M463">
        <v>855</v>
      </c>
      <c r="N463">
        <v>269</v>
      </c>
      <c r="O463">
        <v>328</v>
      </c>
      <c r="P463">
        <v>597</v>
      </c>
      <c r="Q463">
        <v>295</v>
      </c>
      <c r="R463">
        <v>358</v>
      </c>
      <c r="S463">
        <v>653</v>
      </c>
      <c r="T463">
        <v>48</v>
      </c>
      <c r="U463">
        <v>48</v>
      </c>
      <c r="V463">
        <v>96</v>
      </c>
      <c r="W463" s="1">
        <f t="shared" si="3557"/>
        <v>1841</v>
      </c>
      <c r="X463" s="1">
        <f t="shared" si="3557"/>
        <v>2150</v>
      </c>
      <c r="Y463" s="1">
        <f t="shared" si="3551"/>
        <v>3991</v>
      </c>
      <c r="Z463" s="1">
        <f t="shared" si="3558"/>
        <v>1793</v>
      </c>
      <c r="AA463" s="1">
        <f t="shared" si="3558"/>
        <v>2102</v>
      </c>
      <c r="AB463" s="1">
        <f t="shared" si="3552"/>
        <v>3895</v>
      </c>
      <c r="AC463" s="1">
        <f t="shared" si="3559"/>
        <v>1498</v>
      </c>
      <c r="AD463" s="1">
        <f t="shared" si="3559"/>
        <v>1744</v>
      </c>
      <c r="AE463" s="1">
        <f t="shared" si="3553"/>
        <v>3242</v>
      </c>
      <c r="AF463" s="2">
        <f t="shared" si="3560"/>
        <v>0.83547127718906855</v>
      </c>
      <c r="AG463" s="2">
        <f t="shared" si="3560"/>
        <v>0.82968601332064695</v>
      </c>
      <c r="AH463" s="2">
        <f t="shared" si="3560"/>
        <v>0.83234916559691907</v>
      </c>
      <c r="AI463" s="1">
        <f t="shared" si="3561"/>
        <v>1229</v>
      </c>
      <c r="AJ463" s="1">
        <f t="shared" si="3561"/>
        <v>1416</v>
      </c>
      <c r="AK463" s="1">
        <f t="shared" si="3554"/>
        <v>2645</v>
      </c>
      <c r="AL463" s="2">
        <f t="shared" si="3562"/>
        <v>0.6854433909648634</v>
      </c>
      <c r="AM463" s="2">
        <f t="shared" si="3562"/>
        <v>0.67364414843006659</v>
      </c>
      <c r="AN463" s="2">
        <f t="shared" si="3562"/>
        <v>0.67907573812580235</v>
      </c>
      <c r="AO463" s="2">
        <f t="shared" si="3563"/>
        <v>3.6252091466815392E-2</v>
      </c>
      <c r="AP463" s="2">
        <f t="shared" si="3563"/>
        <v>2.5689819219790674E-2</v>
      </c>
      <c r="AQ463" s="2">
        <f t="shared" si="3563"/>
        <v>3.0551989730423619E-2</v>
      </c>
      <c r="AR463" s="2">
        <f t="shared" si="3555"/>
        <v>0.1996653653095371</v>
      </c>
      <c r="AS463" s="2">
        <f t="shared" si="3564"/>
        <v>0.17031398667935299</v>
      </c>
      <c r="AT463" s="2">
        <f t="shared" si="3564"/>
        <v>0.16765083440308087</v>
      </c>
      <c r="AU463" s="2">
        <f t="shared" si="3556"/>
        <v>2.6072786529060293E-2</v>
      </c>
      <c r="AV463" s="2">
        <f t="shared" si="3556"/>
        <v>2.2325581395348838E-2</v>
      </c>
      <c r="AW463" s="2">
        <f t="shared" si="3556"/>
        <v>2.405412177399148E-2</v>
      </c>
    </row>
    <row r="464" spans="1:49" ht="15.75" customHeight="1" x14ac:dyDescent="0.15">
      <c r="A464" s="1">
        <v>2025</v>
      </c>
      <c r="D464" t="s">
        <v>277</v>
      </c>
      <c r="E464">
        <v>14</v>
      </c>
      <c r="F464">
        <v>3</v>
      </c>
      <c r="G464">
        <v>17</v>
      </c>
      <c r="H464">
        <v>407</v>
      </c>
      <c r="I464">
        <v>319</v>
      </c>
      <c r="J464">
        <v>726</v>
      </c>
      <c r="K464">
        <v>389</v>
      </c>
      <c r="L464">
        <v>370</v>
      </c>
      <c r="M464">
        <v>759</v>
      </c>
      <c r="N464">
        <v>103</v>
      </c>
      <c r="O464">
        <v>151</v>
      </c>
      <c r="P464">
        <v>254</v>
      </c>
      <c r="Q464">
        <v>59</v>
      </c>
      <c r="R464">
        <v>70</v>
      </c>
      <c r="S464">
        <v>129</v>
      </c>
      <c r="T464">
        <v>2</v>
      </c>
      <c r="U464">
        <v>0</v>
      </c>
      <c r="V464">
        <v>2</v>
      </c>
      <c r="W464" s="1">
        <f t="shared" si="3557"/>
        <v>974</v>
      </c>
      <c r="X464" s="1">
        <f t="shared" si="3557"/>
        <v>913</v>
      </c>
      <c r="Y464" s="1">
        <f t="shared" si="3551"/>
        <v>1887</v>
      </c>
      <c r="Z464" s="1">
        <f t="shared" si="3558"/>
        <v>972</v>
      </c>
      <c r="AA464" s="1">
        <f t="shared" si="3558"/>
        <v>913</v>
      </c>
      <c r="AB464" s="1">
        <f t="shared" si="3552"/>
        <v>1885</v>
      </c>
      <c r="AC464" s="1">
        <f t="shared" si="3559"/>
        <v>913</v>
      </c>
      <c r="AD464" s="1">
        <f t="shared" si="3559"/>
        <v>843</v>
      </c>
      <c r="AE464" s="1">
        <f t="shared" si="3553"/>
        <v>1756</v>
      </c>
      <c r="AF464" s="2">
        <f t="shared" si="3560"/>
        <v>0.93930041152263377</v>
      </c>
      <c r="AG464" s="2">
        <f t="shared" si="3560"/>
        <v>0.92332968236582691</v>
      </c>
      <c r="AH464" s="2">
        <f t="shared" si="3560"/>
        <v>0.93156498673740051</v>
      </c>
      <c r="AI464" s="1">
        <f t="shared" si="3561"/>
        <v>810</v>
      </c>
      <c r="AJ464" s="1">
        <f t="shared" si="3561"/>
        <v>692</v>
      </c>
      <c r="AK464" s="1">
        <f t="shared" si="3554"/>
        <v>1502</v>
      </c>
      <c r="AL464" s="2">
        <f t="shared" si="3562"/>
        <v>0.83333333333333337</v>
      </c>
      <c r="AM464" s="2">
        <f t="shared" si="3562"/>
        <v>0.75794085432639646</v>
      </c>
      <c r="AN464" s="2">
        <f t="shared" si="3562"/>
        <v>0.79681697612732094</v>
      </c>
      <c r="AO464" s="2">
        <f t="shared" si="3563"/>
        <v>1.4403292181069959E-2</v>
      </c>
      <c r="AP464" s="2">
        <f t="shared" si="3563"/>
        <v>3.2858707557502738E-3</v>
      </c>
      <c r="AQ464" s="2">
        <f t="shared" si="3563"/>
        <v>9.0185676392572946E-3</v>
      </c>
      <c r="AR464" s="2">
        <f t="shared" si="3555"/>
        <v>7.2016460905349799E-2</v>
      </c>
      <c r="AS464" s="2">
        <f t="shared" si="3564"/>
        <v>7.6670317634173049E-2</v>
      </c>
      <c r="AT464" s="2">
        <f t="shared" si="3564"/>
        <v>6.8435013262599473E-2</v>
      </c>
      <c r="AU464" s="2">
        <f t="shared" si="3556"/>
        <v>2.0533880903490761E-3</v>
      </c>
      <c r="AV464" s="2">
        <f t="shared" si="3556"/>
        <v>0</v>
      </c>
      <c r="AW464" s="2">
        <f t="shared" si="3556"/>
        <v>1.0598834128245894E-3</v>
      </c>
    </row>
    <row r="465" spans="1:49" ht="15.75" customHeight="1" x14ac:dyDescent="0.15">
      <c r="A465" s="1">
        <v>2025</v>
      </c>
      <c r="C465" s="3" t="s">
        <v>99</v>
      </c>
      <c r="D465" t="s">
        <v>278</v>
      </c>
      <c r="E465">
        <v>219</v>
      </c>
      <c r="F465">
        <v>143</v>
      </c>
      <c r="G465">
        <v>362</v>
      </c>
      <c r="H465">
        <v>1930</v>
      </c>
      <c r="I465">
        <v>2206</v>
      </c>
      <c r="J465">
        <v>4136</v>
      </c>
      <c r="K465">
        <v>819</v>
      </c>
      <c r="L465">
        <v>962</v>
      </c>
      <c r="M465">
        <v>1781</v>
      </c>
      <c r="N465">
        <v>381</v>
      </c>
      <c r="O465">
        <v>481</v>
      </c>
      <c r="P465">
        <v>862</v>
      </c>
      <c r="Q465">
        <v>194</v>
      </c>
      <c r="R465">
        <v>296</v>
      </c>
      <c r="S465">
        <v>490</v>
      </c>
      <c r="T465">
        <v>75</v>
      </c>
      <c r="U465">
        <v>83</v>
      </c>
      <c r="V465">
        <v>158</v>
      </c>
      <c r="W465" s="1">
        <f t="shared" si="3557"/>
        <v>3618</v>
      </c>
      <c r="X465" s="1">
        <f t="shared" si="3557"/>
        <v>4171</v>
      </c>
      <c r="Y465" s="1">
        <f t="shared" si="3551"/>
        <v>7789</v>
      </c>
      <c r="Z465" s="1">
        <f t="shared" si="3558"/>
        <v>3543</v>
      </c>
      <c r="AA465" s="1">
        <f t="shared" si="3558"/>
        <v>4088</v>
      </c>
      <c r="AB465" s="1">
        <f t="shared" si="3552"/>
        <v>7631</v>
      </c>
      <c r="AC465" s="1">
        <f t="shared" si="3559"/>
        <v>3349</v>
      </c>
      <c r="AD465" s="1">
        <f t="shared" si="3559"/>
        <v>3792</v>
      </c>
      <c r="AE465" s="1">
        <f t="shared" si="3553"/>
        <v>7141</v>
      </c>
      <c r="AF465" s="2">
        <f t="shared" si="3560"/>
        <v>0.94524414338131524</v>
      </c>
      <c r="AG465" s="2">
        <f t="shared" si="3560"/>
        <v>0.92759295499021521</v>
      </c>
      <c r="AH465" s="2">
        <f t="shared" si="3560"/>
        <v>0.93578823221071938</v>
      </c>
      <c r="AI465" s="1">
        <f t="shared" si="3561"/>
        <v>2968</v>
      </c>
      <c r="AJ465" s="1">
        <f t="shared" si="3561"/>
        <v>3311</v>
      </c>
      <c r="AK465" s="1">
        <f t="shared" si="3554"/>
        <v>6279</v>
      </c>
      <c r="AL465" s="2">
        <f t="shared" si="3562"/>
        <v>0.83770815692915612</v>
      </c>
      <c r="AM465" s="2">
        <f t="shared" si="3562"/>
        <v>0.80993150684931503</v>
      </c>
      <c r="AN465" s="2">
        <f t="shared" si="3562"/>
        <v>0.82282793867120951</v>
      </c>
      <c r="AO465" s="2">
        <f t="shared" si="3563"/>
        <v>6.1812023708721422E-2</v>
      </c>
      <c r="AP465" s="2">
        <f t="shared" si="3563"/>
        <v>3.4980430528375732E-2</v>
      </c>
      <c r="AQ465" s="2">
        <f t="shared" si="3563"/>
        <v>4.7438081509631767E-2</v>
      </c>
      <c r="AR465" s="2">
        <f t="shared" si="3555"/>
        <v>8.3545018346034436E-2</v>
      </c>
      <c r="AS465" s="2">
        <f t="shared" si="3564"/>
        <v>7.2407045009784732E-2</v>
      </c>
      <c r="AT465" s="2">
        <f t="shared" si="3564"/>
        <v>6.4211767789280561E-2</v>
      </c>
      <c r="AU465" s="2">
        <f t="shared" si="3556"/>
        <v>2.0729684908789386E-2</v>
      </c>
      <c r="AV465" s="2">
        <f t="shared" si="3556"/>
        <v>1.9899304723087988E-2</v>
      </c>
      <c r="AW465" s="2">
        <f t="shared" si="3556"/>
        <v>2.0285017332135061E-2</v>
      </c>
    </row>
    <row r="466" spans="1:49" ht="15.75" customHeight="1" x14ac:dyDescent="0.15">
      <c r="A466" s="1">
        <v>2025</v>
      </c>
      <c r="C466" s="3" t="s">
        <v>99</v>
      </c>
      <c r="D466" t="s">
        <v>279</v>
      </c>
      <c r="E466">
        <v>191</v>
      </c>
      <c r="F466">
        <v>148</v>
      </c>
      <c r="G466">
        <v>339</v>
      </c>
      <c r="H466">
        <v>1239</v>
      </c>
      <c r="I466">
        <v>1217</v>
      </c>
      <c r="J466">
        <v>2456</v>
      </c>
      <c r="K466">
        <v>538</v>
      </c>
      <c r="L466">
        <v>643</v>
      </c>
      <c r="M466">
        <v>1181</v>
      </c>
      <c r="N466">
        <v>266</v>
      </c>
      <c r="O466">
        <v>330</v>
      </c>
      <c r="P466">
        <v>596</v>
      </c>
      <c r="Q466">
        <v>179</v>
      </c>
      <c r="R466">
        <v>270</v>
      </c>
      <c r="S466">
        <v>449</v>
      </c>
      <c r="T466">
        <v>35</v>
      </c>
      <c r="U466">
        <v>40</v>
      </c>
      <c r="V466">
        <v>75</v>
      </c>
      <c r="W466" s="1">
        <f t="shared" si="3557"/>
        <v>2448</v>
      </c>
      <c r="X466" s="1">
        <f t="shared" si="3557"/>
        <v>2648</v>
      </c>
      <c r="Y466" s="1">
        <f t="shared" si="3551"/>
        <v>5096</v>
      </c>
      <c r="Z466" s="1">
        <f t="shared" si="3558"/>
        <v>2413</v>
      </c>
      <c r="AA466" s="1">
        <f t="shared" si="3558"/>
        <v>2608</v>
      </c>
      <c r="AB466" s="1">
        <f t="shared" si="3552"/>
        <v>5021</v>
      </c>
      <c r="AC466" s="1">
        <f t="shared" si="3559"/>
        <v>2234</v>
      </c>
      <c r="AD466" s="1">
        <f t="shared" si="3559"/>
        <v>2338</v>
      </c>
      <c r="AE466" s="1">
        <f t="shared" si="3553"/>
        <v>4572</v>
      </c>
      <c r="AF466" s="2">
        <f t="shared" si="3560"/>
        <v>0.92581848321591376</v>
      </c>
      <c r="AG466" s="2">
        <f t="shared" si="3560"/>
        <v>0.8964723926380368</v>
      </c>
      <c r="AH466" s="2">
        <f t="shared" si="3560"/>
        <v>0.9105755825532762</v>
      </c>
      <c r="AI466" s="1">
        <f t="shared" si="3561"/>
        <v>1968</v>
      </c>
      <c r="AJ466" s="1">
        <f t="shared" si="3561"/>
        <v>2008</v>
      </c>
      <c r="AK466" s="1">
        <f t="shared" si="3554"/>
        <v>3976</v>
      </c>
      <c r="AL466" s="2">
        <f t="shared" si="3562"/>
        <v>0.8155822627434729</v>
      </c>
      <c r="AM466" s="2">
        <f t="shared" si="3562"/>
        <v>0.76993865030674846</v>
      </c>
      <c r="AN466" s="2">
        <f t="shared" si="3562"/>
        <v>0.79187412865962958</v>
      </c>
      <c r="AO466" s="2">
        <f t="shared" si="3563"/>
        <v>7.9154579361790309E-2</v>
      </c>
      <c r="AP466" s="2">
        <f t="shared" si="3563"/>
        <v>5.674846625766871E-2</v>
      </c>
      <c r="AQ466" s="2">
        <f t="shared" si="3563"/>
        <v>6.7516430989842655E-2</v>
      </c>
      <c r="AR466" s="2">
        <f t="shared" si="3555"/>
        <v>0.11189390799834231</v>
      </c>
      <c r="AS466" s="2">
        <f t="shared" si="3564"/>
        <v>0.10352760736196319</v>
      </c>
      <c r="AT466" s="2">
        <f t="shared" si="3564"/>
        <v>8.9424417446723761E-2</v>
      </c>
      <c r="AU466" s="2">
        <f t="shared" si="3556"/>
        <v>1.4297385620915032E-2</v>
      </c>
      <c r="AV466" s="2">
        <f t="shared" si="3556"/>
        <v>1.5105740181268883E-2</v>
      </c>
      <c r="AW466" s="2">
        <f t="shared" si="3556"/>
        <v>1.4717425431711145E-2</v>
      </c>
    </row>
    <row r="467" spans="1:49" ht="15.75" customHeight="1" x14ac:dyDescent="0.15">
      <c r="A467" s="1">
        <v>2025</v>
      </c>
      <c r="D467" t="s">
        <v>280</v>
      </c>
      <c r="E467">
        <v>10</v>
      </c>
      <c r="F467">
        <v>4</v>
      </c>
      <c r="G467">
        <v>14</v>
      </c>
      <c r="H467">
        <v>361</v>
      </c>
      <c r="I467">
        <v>243</v>
      </c>
      <c r="J467">
        <v>604</v>
      </c>
      <c r="K467">
        <v>370</v>
      </c>
      <c r="L467">
        <v>347</v>
      </c>
      <c r="M467">
        <v>717</v>
      </c>
      <c r="N467">
        <v>142</v>
      </c>
      <c r="O467">
        <v>190</v>
      </c>
      <c r="P467">
        <v>332</v>
      </c>
      <c r="Q467">
        <v>108</v>
      </c>
      <c r="R467">
        <v>175</v>
      </c>
      <c r="S467">
        <v>283</v>
      </c>
      <c r="T467">
        <v>0</v>
      </c>
      <c r="U467">
        <v>3</v>
      </c>
      <c r="V467">
        <v>3</v>
      </c>
      <c r="W467" s="1">
        <f t="shared" si="3557"/>
        <v>991</v>
      </c>
      <c r="X467" s="1">
        <f t="shared" si="3557"/>
        <v>962</v>
      </c>
      <c r="Y467" s="1">
        <f t="shared" si="3551"/>
        <v>1953</v>
      </c>
      <c r="Z467" s="1">
        <f t="shared" si="3558"/>
        <v>991</v>
      </c>
      <c r="AA467" s="1">
        <f t="shared" si="3558"/>
        <v>959</v>
      </c>
      <c r="AB467" s="1">
        <f t="shared" si="3552"/>
        <v>1950</v>
      </c>
      <c r="AC467" s="1">
        <f t="shared" si="3559"/>
        <v>883</v>
      </c>
      <c r="AD467" s="1">
        <f t="shared" si="3559"/>
        <v>784</v>
      </c>
      <c r="AE467" s="1">
        <f t="shared" si="3553"/>
        <v>1667</v>
      </c>
      <c r="AF467" s="2">
        <f t="shared" si="3560"/>
        <v>0.8910191725529768</v>
      </c>
      <c r="AG467" s="2">
        <f t="shared" si="3560"/>
        <v>0.81751824817518248</v>
      </c>
      <c r="AH467" s="2">
        <f t="shared" si="3560"/>
        <v>0.85487179487179488</v>
      </c>
      <c r="AI467" s="1">
        <f t="shared" si="3561"/>
        <v>741</v>
      </c>
      <c r="AJ467" s="1">
        <f t="shared" si="3561"/>
        <v>594</v>
      </c>
      <c r="AK467" s="1">
        <f t="shared" si="3554"/>
        <v>1335</v>
      </c>
      <c r="AL467" s="2">
        <f t="shared" si="3562"/>
        <v>0.74772956609485364</v>
      </c>
      <c r="AM467" s="2">
        <f t="shared" si="3562"/>
        <v>0.6193952033368092</v>
      </c>
      <c r="AN467" s="2">
        <f t="shared" si="3562"/>
        <v>0.68461538461538463</v>
      </c>
      <c r="AO467" s="2">
        <f t="shared" si="3563"/>
        <v>1.0090817356205853E-2</v>
      </c>
      <c r="AP467" s="2">
        <f t="shared" si="3563"/>
        <v>4.1710114702815434E-3</v>
      </c>
      <c r="AQ467" s="2">
        <f t="shared" si="3563"/>
        <v>7.1794871794871795E-3</v>
      </c>
      <c r="AR467" s="2">
        <f t="shared" si="3555"/>
        <v>0.17658930373360243</v>
      </c>
      <c r="AS467" s="2">
        <f t="shared" si="3564"/>
        <v>0.18248175182481752</v>
      </c>
      <c r="AT467" s="2">
        <f t="shared" si="3564"/>
        <v>0.14512820512820512</v>
      </c>
      <c r="AU467" s="2">
        <f t="shared" si="3556"/>
        <v>0</v>
      </c>
      <c r="AV467" s="2">
        <f t="shared" si="3556"/>
        <v>3.1185031185031187E-3</v>
      </c>
      <c r="AW467" s="2">
        <f t="shared" si="3556"/>
        <v>1.5360983102918587E-3</v>
      </c>
    </row>
    <row r="468" spans="1:49" ht="15.75" customHeight="1" x14ac:dyDescent="0.15">
      <c r="A468" s="1">
        <v>2025</v>
      </c>
      <c r="D468" t="s">
        <v>281</v>
      </c>
      <c r="E468">
        <v>53</v>
      </c>
      <c r="F468">
        <v>31</v>
      </c>
      <c r="G468">
        <v>84</v>
      </c>
      <c r="H468">
        <v>171</v>
      </c>
      <c r="I468">
        <v>201</v>
      </c>
      <c r="J468">
        <v>372</v>
      </c>
      <c r="K468">
        <v>26</v>
      </c>
      <c r="L468">
        <v>30</v>
      </c>
      <c r="M468">
        <v>56</v>
      </c>
      <c r="N468">
        <v>9</v>
      </c>
      <c r="O468">
        <v>21</v>
      </c>
      <c r="P468">
        <v>30</v>
      </c>
      <c r="Q468">
        <v>2</v>
      </c>
      <c r="R468">
        <v>4</v>
      </c>
      <c r="S468">
        <v>6</v>
      </c>
      <c r="T468">
        <v>5</v>
      </c>
      <c r="U468">
        <v>3</v>
      </c>
      <c r="V468">
        <v>8</v>
      </c>
      <c r="W468" s="1">
        <f t="shared" si="3557"/>
        <v>266</v>
      </c>
      <c r="X468" s="1">
        <f t="shared" si="3557"/>
        <v>290</v>
      </c>
      <c r="Y468" s="1">
        <f t="shared" si="3551"/>
        <v>556</v>
      </c>
      <c r="Z468" s="1">
        <f t="shared" si="3558"/>
        <v>261</v>
      </c>
      <c r="AA468" s="1">
        <f t="shared" si="3558"/>
        <v>287</v>
      </c>
      <c r="AB468" s="1">
        <f t="shared" si="3552"/>
        <v>548</v>
      </c>
      <c r="AC468" s="1">
        <f t="shared" si="3559"/>
        <v>259</v>
      </c>
      <c r="AD468" s="1">
        <f t="shared" si="3559"/>
        <v>283</v>
      </c>
      <c r="AE468" s="1">
        <f t="shared" si="3553"/>
        <v>542</v>
      </c>
      <c r="AF468" s="2">
        <f t="shared" si="3560"/>
        <v>0.9923371647509579</v>
      </c>
      <c r="AG468" s="2">
        <f t="shared" si="3560"/>
        <v>0.98606271777003485</v>
      </c>
      <c r="AH468" s="2">
        <f t="shared" si="3560"/>
        <v>0.98905109489051091</v>
      </c>
      <c r="AI468" s="1">
        <f t="shared" si="3561"/>
        <v>250</v>
      </c>
      <c r="AJ468" s="1">
        <f t="shared" si="3561"/>
        <v>262</v>
      </c>
      <c r="AK468" s="1">
        <f t="shared" si="3554"/>
        <v>512</v>
      </c>
      <c r="AL468" s="2">
        <f t="shared" si="3562"/>
        <v>0.95785440613026818</v>
      </c>
      <c r="AM468" s="2">
        <f t="shared" si="3562"/>
        <v>0.91289198606271782</v>
      </c>
      <c r="AN468" s="2">
        <f t="shared" si="3562"/>
        <v>0.93430656934306566</v>
      </c>
      <c r="AO468" s="2">
        <f t="shared" si="3563"/>
        <v>0.20306513409961685</v>
      </c>
      <c r="AP468" s="2">
        <f t="shared" si="3563"/>
        <v>0.10801393728222997</v>
      </c>
      <c r="AQ468" s="2">
        <f t="shared" si="3563"/>
        <v>0.15328467153284672</v>
      </c>
      <c r="AR468" s="2">
        <f t="shared" si="3555"/>
        <v>1.532567049808429E-2</v>
      </c>
      <c r="AS468" s="2">
        <f t="shared" si="3564"/>
        <v>1.3937282229965157E-2</v>
      </c>
      <c r="AT468" s="2">
        <f t="shared" si="3564"/>
        <v>1.0948905109489052E-2</v>
      </c>
      <c r="AU468" s="2">
        <f t="shared" si="3556"/>
        <v>1.8796992481203006E-2</v>
      </c>
      <c r="AV468" s="2">
        <f t="shared" si="3556"/>
        <v>1.0344827586206896E-2</v>
      </c>
      <c r="AW468" s="2">
        <f t="shared" si="3556"/>
        <v>1.4388489208633094E-2</v>
      </c>
    </row>
    <row r="469" spans="1:49" ht="15.75" customHeight="1" x14ac:dyDescent="0.15">
      <c r="A469" s="1">
        <v>2025</v>
      </c>
      <c r="C469" s="3" t="s">
        <v>89</v>
      </c>
      <c r="D469" t="s">
        <v>282</v>
      </c>
      <c r="E469">
        <v>77</v>
      </c>
      <c r="F469">
        <v>70</v>
      </c>
      <c r="G469">
        <v>147</v>
      </c>
      <c r="H469">
        <v>834</v>
      </c>
      <c r="I469">
        <v>941</v>
      </c>
      <c r="J469">
        <v>1775</v>
      </c>
      <c r="K469">
        <v>650</v>
      </c>
      <c r="L469">
        <v>729</v>
      </c>
      <c r="M469">
        <v>1379</v>
      </c>
      <c r="N469">
        <v>419</v>
      </c>
      <c r="O469">
        <v>487</v>
      </c>
      <c r="P469">
        <v>906</v>
      </c>
      <c r="Q469">
        <v>355</v>
      </c>
      <c r="R469">
        <v>427</v>
      </c>
      <c r="S469">
        <v>782</v>
      </c>
      <c r="T469">
        <v>19</v>
      </c>
      <c r="U469">
        <v>18</v>
      </c>
      <c r="V469">
        <v>37</v>
      </c>
      <c r="W469" s="1">
        <f t="shared" si="3557"/>
        <v>2354</v>
      </c>
      <c r="X469" s="1">
        <f t="shared" si="3557"/>
        <v>2672</v>
      </c>
      <c r="Y469" s="1">
        <f t="shared" si="3551"/>
        <v>5026</v>
      </c>
      <c r="Z469" s="1">
        <f t="shared" si="3558"/>
        <v>2335</v>
      </c>
      <c r="AA469" s="1">
        <f t="shared" si="3558"/>
        <v>2654</v>
      </c>
      <c r="AB469" s="1">
        <f t="shared" si="3552"/>
        <v>4989</v>
      </c>
      <c r="AC469" s="1">
        <f t="shared" si="3559"/>
        <v>1980</v>
      </c>
      <c r="AD469" s="1">
        <f t="shared" si="3559"/>
        <v>2227</v>
      </c>
      <c r="AE469" s="1">
        <f t="shared" si="3553"/>
        <v>4207</v>
      </c>
      <c r="AF469" s="2">
        <f t="shared" si="3560"/>
        <v>0.84796573875802994</v>
      </c>
      <c r="AG469" s="2">
        <f t="shared" si="3560"/>
        <v>0.83911077618688767</v>
      </c>
      <c r="AH469" s="2">
        <f t="shared" si="3560"/>
        <v>0.84325516135498091</v>
      </c>
      <c r="AI469" s="1">
        <f t="shared" si="3561"/>
        <v>1561</v>
      </c>
      <c r="AJ469" s="1">
        <f t="shared" si="3561"/>
        <v>1740</v>
      </c>
      <c r="AK469" s="1">
        <f t="shared" si="3554"/>
        <v>3301</v>
      </c>
      <c r="AL469" s="2">
        <f t="shared" si="3562"/>
        <v>0.66852248394004288</v>
      </c>
      <c r="AM469" s="2">
        <f t="shared" si="3562"/>
        <v>0.65561416729464961</v>
      </c>
      <c r="AN469" s="2">
        <f t="shared" si="3562"/>
        <v>0.66165564241330932</v>
      </c>
      <c r="AO469" s="2">
        <f t="shared" si="3563"/>
        <v>3.2976445396145609E-2</v>
      </c>
      <c r="AP469" s="2">
        <f t="shared" si="3563"/>
        <v>2.637528259231349E-2</v>
      </c>
      <c r="AQ469" s="2">
        <f t="shared" si="3563"/>
        <v>2.9464822609741433E-2</v>
      </c>
      <c r="AR469" s="2">
        <f t="shared" si="3555"/>
        <v>0.18286937901498929</v>
      </c>
      <c r="AS469" s="2">
        <f t="shared" si="3564"/>
        <v>0.16088922381311227</v>
      </c>
      <c r="AT469" s="2">
        <f t="shared" si="3564"/>
        <v>0.15674483864501904</v>
      </c>
      <c r="AU469" s="2">
        <f t="shared" si="3556"/>
        <v>8.0713678844519972E-3</v>
      </c>
      <c r="AV469" s="2">
        <f t="shared" si="3556"/>
        <v>6.7365269461077846E-3</v>
      </c>
      <c r="AW469" s="2">
        <f t="shared" si="3556"/>
        <v>7.361719060883406E-3</v>
      </c>
    </row>
    <row r="470" spans="1:49" ht="15.75" customHeight="1" x14ac:dyDescent="0.15">
      <c r="A470" s="1">
        <v>2025</v>
      </c>
      <c r="D470" t="s">
        <v>283</v>
      </c>
      <c r="E470">
        <v>326</v>
      </c>
      <c r="F470">
        <v>417</v>
      </c>
      <c r="G470">
        <v>743</v>
      </c>
      <c r="H470">
        <v>1453</v>
      </c>
      <c r="I470">
        <v>1875</v>
      </c>
      <c r="J470">
        <v>3328</v>
      </c>
      <c r="K470">
        <v>436</v>
      </c>
      <c r="L470">
        <v>562</v>
      </c>
      <c r="M470">
        <v>998</v>
      </c>
      <c r="N470">
        <v>212</v>
      </c>
      <c r="O470">
        <v>229</v>
      </c>
      <c r="P470">
        <v>441</v>
      </c>
      <c r="Q470">
        <v>138</v>
      </c>
      <c r="R470">
        <v>150</v>
      </c>
      <c r="S470">
        <v>288</v>
      </c>
      <c r="T470">
        <v>51</v>
      </c>
      <c r="U470">
        <v>46</v>
      </c>
      <c r="V470">
        <v>97</v>
      </c>
      <c r="W470" s="1">
        <f t="shared" si="3557"/>
        <v>2616</v>
      </c>
      <c r="X470" s="1">
        <f t="shared" si="3557"/>
        <v>3279</v>
      </c>
      <c r="Y470" s="1">
        <f t="shared" si="3551"/>
        <v>5895</v>
      </c>
      <c r="Z470" s="1">
        <f t="shared" si="3558"/>
        <v>2565</v>
      </c>
      <c r="AA470" s="1">
        <f t="shared" si="3558"/>
        <v>3233</v>
      </c>
      <c r="AB470" s="1">
        <f t="shared" si="3552"/>
        <v>5798</v>
      </c>
      <c r="AC470" s="1">
        <f t="shared" si="3559"/>
        <v>2427</v>
      </c>
      <c r="AD470" s="1">
        <f t="shared" si="3559"/>
        <v>3083</v>
      </c>
      <c r="AE470" s="1">
        <f t="shared" si="3553"/>
        <v>5510</v>
      </c>
      <c r="AF470" s="2">
        <f t="shared" si="3560"/>
        <v>0.94619883040935671</v>
      </c>
      <c r="AG470" s="2">
        <f t="shared" si="3560"/>
        <v>0.95360346427466747</v>
      </c>
      <c r="AH470" s="2">
        <f t="shared" si="3560"/>
        <v>0.95032769920662297</v>
      </c>
      <c r="AI470" s="1">
        <f t="shared" si="3561"/>
        <v>2215</v>
      </c>
      <c r="AJ470" s="1">
        <f t="shared" si="3561"/>
        <v>2854</v>
      </c>
      <c r="AK470" s="1">
        <f t="shared" si="3554"/>
        <v>5069</v>
      </c>
      <c r="AL470" s="2">
        <f t="shared" si="3562"/>
        <v>0.8635477582846004</v>
      </c>
      <c r="AM470" s="2">
        <f t="shared" si="3562"/>
        <v>0.8827714197339932</v>
      </c>
      <c r="AN470" s="2">
        <f t="shared" si="3562"/>
        <v>0.87426698861676444</v>
      </c>
      <c r="AO470" s="2">
        <f t="shared" si="3563"/>
        <v>0.12709551656920079</v>
      </c>
      <c r="AP470" s="2">
        <f t="shared" si="3563"/>
        <v>0.12898236931642437</v>
      </c>
      <c r="AQ470" s="2">
        <f t="shared" si="3563"/>
        <v>0.12814763711624699</v>
      </c>
      <c r="AR470" s="2">
        <f t="shared" si="3555"/>
        <v>5.8479532163742687E-2</v>
      </c>
      <c r="AS470" s="2">
        <f t="shared" si="3564"/>
        <v>4.6396535725332512E-2</v>
      </c>
      <c r="AT470" s="2">
        <f t="shared" si="3564"/>
        <v>4.9672300793377026E-2</v>
      </c>
      <c r="AU470" s="2">
        <f t="shared" si="3556"/>
        <v>1.9495412844036698E-2</v>
      </c>
      <c r="AV470" s="2">
        <f t="shared" si="3556"/>
        <v>1.4028667276608722E-2</v>
      </c>
      <c r="AW470" s="2">
        <f t="shared" si="3556"/>
        <v>1.6454622561492792E-2</v>
      </c>
    </row>
    <row r="471" spans="1:49" ht="15.75" customHeight="1" x14ac:dyDescent="0.15">
      <c r="A471" s="1">
        <v>2025</v>
      </c>
      <c r="D471" t="s">
        <v>284</v>
      </c>
      <c r="E471">
        <v>4249</v>
      </c>
      <c r="F471">
        <v>4091</v>
      </c>
      <c r="G471">
        <v>8340</v>
      </c>
      <c r="H471">
        <v>7895</v>
      </c>
      <c r="I471">
        <v>9143</v>
      </c>
      <c r="J471">
        <v>17038</v>
      </c>
      <c r="K471">
        <v>1550</v>
      </c>
      <c r="L471">
        <v>1849</v>
      </c>
      <c r="M471">
        <v>3399</v>
      </c>
      <c r="N471">
        <v>648</v>
      </c>
      <c r="O471">
        <v>962</v>
      </c>
      <c r="P471">
        <v>1610</v>
      </c>
      <c r="Q471">
        <v>510</v>
      </c>
      <c r="R471">
        <v>592</v>
      </c>
      <c r="S471">
        <v>1102</v>
      </c>
      <c r="T471">
        <v>115</v>
      </c>
      <c r="U471">
        <v>155</v>
      </c>
      <c r="V471">
        <v>270</v>
      </c>
      <c r="W471" s="1">
        <f t="shared" si="3557"/>
        <v>14967</v>
      </c>
      <c r="X471" s="1">
        <f t="shared" si="3557"/>
        <v>16792</v>
      </c>
      <c r="Y471" s="1">
        <f t="shared" si="3551"/>
        <v>31759</v>
      </c>
      <c r="Z471" s="1">
        <f t="shared" si="3558"/>
        <v>14852</v>
      </c>
      <c r="AA471" s="1">
        <f t="shared" si="3558"/>
        <v>16637</v>
      </c>
      <c r="AB471" s="1">
        <f t="shared" si="3552"/>
        <v>31489</v>
      </c>
      <c r="AC471" s="1">
        <f t="shared" si="3559"/>
        <v>14342</v>
      </c>
      <c r="AD471" s="1">
        <f t="shared" si="3559"/>
        <v>16045</v>
      </c>
      <c r="AE471" s="1">
        <f t="shared" si="3553"/>
        <v>30387</v>
      </c>
      <c r="AF471" s="2">
        <f t="shared" si="3560"/>
        <v>0.96566119041206566</v>
      </c>
      <c r="AG471" s="2">
        <f t="shared" si="3560"/>
        <v>0.96441666165775075</v>
      </c>
      <c r="AH471" s="2">
        <f t="shared" si="3560"/>
        <v>0.96500365206897643</v>
      </c>
      <c r="AI471" s="1">
        <f t="shared" si="3561"/>
        <v>13694</v>
      </c>
      <c r="AJ471" s="1">
        <f t="shared" si="3561"/>
        <v>15083</v>
      </c>
      <c r="AK471" s="1">
        <f t="shared" si="3554"/>
        <v>28777</v>
      </c>
      <c r="AL471" s="2">
        <f t="shared" si="3562"/>
        <v>0.92203070293563161</v>
      </c>
      <c r="AM471" s="2">
        <f t="shared" si="3562"/>
        <v>0.90659373685159583</v>
      </c>
      <c r="AN471" s="2">
        <f t="shared" si="3562"/>
        <v>0.91387468639842484</v>
      </c>
      <c r="AO471" s="2">
        <f t="shared" si="3563"/>
        <v>0.28608941556692702</v>
      </c>
      <c r="AP471" s="2">
        <f t="shared" si="3563"/>
        <v>0.24589769790226604</v>
      </c>
      <c r="AQ471" s="2">
        <f t="shared" si="3563"/>
        <v>0.2648543935977643</v>
      </c>
      <c r="AR471" s="2">
        <f t="shared" si="3555"/>
        <v>3.9859951521680578E-2</v>
      </c>
      <c r="AS471" s="2">
        <f t="shared" si="3564"/>
        <v>3.55833383422492E-2</v>
      </c>
      <c r="AT471" s="2">
        <f t="shared" si="3564"/>
        <v>3.4996347931023533E-2</v>
      </c>
      <c r="AU471" s="2">
        <f t="shared" si="3556"/>
        <v>7.683570521814659E-3</v>
      </c>
      <c r="AV471" s="2">
        <f t="shared" si="3556"/>
        <v>9.2305859933301572E-3</v>
      </c>
      <c r="AW471" s="2">
        <f t="shared" si="3556"/>
        <v>8.5015271261689607E-3</v>
      </c>
    </row>
    <row r="472" spans="1:49" ht="15.75" customHeight="1" x14ac:dyDescent="0.15">
      <c r="A472" s="1">
        <v>2025</v>
      </c>
      <c r="C472" s="3" t="s">
        <v>89</v>
      </c>
      <c r="D472" t="s">
        <v>285</v>
      </c>
      <c r="E472">
        <v>157</v>
      </c>
      <c r="F472">
        <v>198</v>
      </c>
      <c r="G472">
        <v>355</v>
      </c>
      <c r="H472">
        <v>513</v>
      </c>
      <c r="I472">
        <v>604</v>
      </c>
      <c r="J472">
        <v>1117</v>
      </c>
      <c r="K472">
        <v>171</v>
      </c>
      <c r="L472">
        <v>226</v>
      </c>
      <c r="M472">
        <v>397</v>
      </c>
      <c r="N472">
        <v>90</v>
      </c>
      <c r="O472">
        <v>102</v>
      </c>
      <c r="P472">
        <v>192</v>
      </c>
      <c r="Q472">
        <v>125</v>
      </c>
      <c r="R472">
        <v>254</v>
      </c>
      <c r="S472">
        <v>379</v>
      </c>
      <c r="T472">
        <v>6</v>
      </c>
      <c r="U472">
        <v>8</v>
      </c>
      <c r="V472">
        <v>14</v>
      </c>
      <c r="W472" s="1">
        <f t="shared" si="3557"/>
        <v>1062</v>
      </c>
      <c r="X472" s="1">
        <f t="shared" si="3557"/>
        <v>1392</v>
      </c>
      <c r="Y472" s="1">
        <f t="shared" si="3551"/>
        <v>2454</v>
      </c>
      <c r="Z472" s="1">
        <f t="shared" si="3558"/>
        <v>1056</v>
      </c>
      <c r="AA472" s="1">
        <f t="shared" si="3558"/>
        <v>1384</v>
      </c>
      <c r="AB472" s="1">
        <f t="shared" si="3552"/>
        <v>2440</v>
      </c>
      <c r="AC472" s="1">
        <f t="shared" si="3559"/>
        <v>931</v>
      </c>
      <c r="AD472" s="1">
        <f t="shared" si="3559"/>
        <v>1130</v>
      </c>
      <c r="AE472" s="1">
        <f t="shared" si="3553"/>
        <v>2061</v>
      </c>
      <c r="AF472" s="2">
        <f t="shared" si="3560"/>
        <v>0.88162878787878785</v>
      </c>
      <c r="AG472" s="2">
        <f t="shared" si="3560"/>
        <v>0.81647398843930641</v>
      </c>
      <c r="AH472" s="2">
        <f t="shared" si="3560"/>
        <v>0.84467213114754103</v>
      </c>
      <c r="AI472" s="1">
        <f t="shared" si="3561"/>
        <v>841</v>
      </c>
      <c r="AJ472" s="1">
        <f t="shared" si="3561"/>
        <v>1028</v>
      </c>
      <c r="AK472" s="1">
        <f t="shared" si="3554"/>
        <v>1869</v>
      </c>
      <c r="AL472" s="2">
        <f t="shared" si="3562"/>
        <v>0.79640151515151514</v>
      </c>
      <c r="AM472" s="2">
        <f t="shared" si="3562"/>
        <v>0.74277456647398843</v>
      </c>
      <c r="AN472" s="2">
        <f t="shared" si="3562"/>
        <v>0.76598360655737707</v>
      </c>
      <c r="AO472" s="2">
        <f t="shared" si="3563"/>
        <v>0.14867424242424243</v>
      </c>
      <c r="AP472" s="2">
        <f t="shared" si="3563"/>
        <v>0.1430635838150289</v>
      </c>
      <c r="AQ472" s="2">
        <f t="shared" si="3563"/>
        <v>0.14549180327868852</v>
      </c>
      <c r="AR472" s="2">
        <f t="shared" si="3555"/>
        <v>0.24053030303030304</v>
      </c>
      <c r="AS472" s="2">
        <f t="shared" si="3564"/>
        <v>0.18352601156069365</v>
      </c>
      <c r="AT472" s="2">
        <f t="shared" si="3564"/>
        <v>0.15532786885245903</v>
      </c>
      <c r="AU472" s="2">
        <f t="shared" si="3556"/>
        <v>5.6497175141242938E-3</v>
      </c>
      <c r="AV472" s="2">
        <f t="shared" si="3556"/>
        <v>5.7471264367816091E-3</v>
      </c>
      <c r="AW472" s="2">
        <f t="shared" si="3556"/>
        <v>5.7049714751426246E-3</v>
      </c>
    </row>
    <row r="473" spans="1:49" ht="15.75" customHeight="1" x14ac:dyDescent="0.15">
      <c r="A473" s="1">
        <v>2025</v>
      </c>
      <c r="C473" s="3" t="s">
        <v>89</v>
      </c>
      <c r="D473" t="s">
        <v>286</v>
      </c>
      <c r="E473">
        <v>314</v>
      </c>
      <c r="F473">
        <v>244</v>
      </c>
      <c r="G473">
        <v>558</v>
      </c>
      <c r="H473">
        <v>2317</v>
      </c>
      <c r="I473">
        <v>2606</v>
      </c>
      <c r="J473">
        <v>4923</v>
      </c>
      <c r="K473">
        <v>1155</v>
      </c>
      <c r="L473">
        <v>1373</v>
      </c>
      <c r="M473">
        <v>2528</v>
      </c>
      <c r="N473">
        <v>556</v>
      </c>
      <c r="O473">
        <v>776</v>
      </c>
      <c r="P473">
        <v>1332</v>
      </c>
      <c r="Q473">
        <v>427</v>
      </c>
      <c r="R473">
        <v>541</v>
      </c>
      <c r="S473">
        <v>968</v>
      </c>
      <c r="T473">
        <v>42</v>
      </c>
      <c r="U473">
        <v>39</v>
      </c>
      <c r="V473">
        <v>81</v>
      </c>
      <c r="W473" s="1">
        <f t="shared" si="3557"/>
        <v>4811</v>
      </c>
      <c r="X473" s="1">
        <f t="shared" si="3557"/>
        <v>5579</v>
      </c>
      <c r="Y473" s="1">
        <f t="shared" si="3551"/>
        <v>10390</v>
      </c>
      <c r="Z473" s="1">
        <f t="shared" si="3558"/>
        <v>4769</v>
      </c>
      <c r="AA473" s="1">
        <f t="shared" si="3558"/>
        <v>5540</v>
      </c>
      <c r="AB473" s="1">
        <f t="shared" si="3552"/>
        <v>10309</v>
      </c>
      <c r="AC473" s="1">
        <f t="shared" si="3559"/>
        <v>4342</v>
      </c>
      <c r="AD473" s="1">
        <f t="shared" si="3559"/>
        <v>4999</v>
      </c>
      <c r="AE473" s="1">
        <f t="shared" si="3553"/>
        <v>9341</v>
      </c>
      <c r="AF473" s="2">
        <f t="shared" si="3560"/>
        <v>0.91046340951981553</v>
      </c>
      <c r="AG473" s="2">
        <f t="shared" si="3560"/>
        <v>0.90234657039711186</v>
      </c>
      <c r="AH473" s="2">
        <f t="shared" si="3560"/>
        <v>0.906101464739548</v>
      </c>
      <c r="AI473" s="1">
        <f t="shared" si="3561"/>
        <v>3786</v>
      </c>
      <c r="AJ473" s="1">
        <f t="shared" si="3561"/>
        <v>4223</v>
      </c>
      <c r="AK473" s="1">
        <f t="shared" si="3554"/>
        <v>8009</v>
      </c>
      <c r="AL473" s="2">
        <f t="shared" si="3562"/>
        <v>0.79387712308660097</v>
      </c>
      <c r="AM473" s="2">
        <f t="shared" si="3562"/>
        <v>0.76227436823104688</v>
      </c>
      <c r="AN473" s="2">
        <f t="shared" si="3562"/>
        <v>0.77689397613735567</v>
      </c>
      <c r="AO473" s="2">
        <f t="shared" si="3563"/>
        <v>6.5841895575592363E-2</v>
      </c>
      <c r="AP473" s="2">
        <f t="shared" si="3563"/>
        <v>4.4043321299638991E-2</v>
      </c>
      <c r="AQ473" s="2">
        <f t="shared" si="3563"/>
        <v>5.412746144145892E-2</v>
      </c>
      <c r="AR473" s="2">
        <f t="shared" si="3555"/>
        <v>0.11344097295030404</v>
      </c>
      <c r="AS473" s="2">
        <f t="shared" si="3564"/>
        <v>9.7653429602888087E-2</v>
      </c>
      <c r="AT473" s="2">
        <f t="shared" si="3564"/>
        <v>9.3898535260452026E-2</v>
      </c>
      <c r="AU473" s="2">
        <f t="shared" si="3556"/>
        <v>8.7299937642901677E-3</v>
      </c>
      <c r="AV473" s="2">
        <f t="shared" si="3556"/>
        <v>6.9905000896217963E-3</v>
      </c>
      <c r="AW473" s="2">
        <f t="shared" si="3556"/>
        <v>7.7959576515880657E-3</v>
      </c>
    </row>
    <row r="474" spans="1:49" ht="15.75" customHeight="1" x14ac:dyDescent="0.15">
      <c r="A474" s="1">
        <v>2025</v>
      </c>
      <c r="D474" t="s">
        <v>287</v>
      </c>
      <c r="E474">
        <v>298</v>
      </c>
      <c r="F474">
        <v>218</v>
      </c>
      <c r="G474">
        <v>516</v>
      </c>
      <c r="H474">
        <v>1439</v>
      </c>
      <c r="I474">
        <v>1560</v>
      </c>
      <c r="J474">
        <v>2999</v>
      </c>
      <c r="K474">
        <v>382</v>
      </c>
      <c r="L474">
        <v>517</v>
      </c>
      <c r="M474">
        <v>899</v>
      </c>
      <c r="N474">
        <v>158</v>
      </c>
      <c r="O474">
        <v>220</v>
      </c>
      <c r="P474">
        <v>378</v>
      </c>
      <c r="Q474">
        <v>54</v>
      </c>
      <c r="R474">
        <v>115</v>
      </c>
      <c r="S474">
        <v>169</v>
      </c>
      <c r="T474">
        <v>23</v>
      </c>
      <c r="U474">
        <v>41</v>
      </c>
      <c r="V474">
        <v>64</v>
      </c>
      <c r="W474" s="1">
        <f t="shared" si="3557"/>
        <v>2354</v>
      </c>
      <c r="X474" s="1">
        <f t="shared" si="3557"/>
        <v>2671</v>
      </c>
      <c r="Y474" s="1">
        <f t="shared" si="3551"/>
        <v>5025</v>
      </c>
      <c r="Z474" s="1">
        <f t="shared" si="3558"/>
        <v>2331</v>
      </c>
      <c r="AA474" s="1">
        <f t="shared" si="3558"/>
        <v>2630</v>
      </c>
      <c r="AB474" s="1">
        <f t="shared" si="3552"/>
        <v>4961</v>
      </c>
      <c r="AC474" s="1">
        <f t="shared" si="3559"/>
        <v>2277</v>
      </c>
      <c r="AD474" s="1">
        <f t="shared" si="3559"/>
        <v>2515</v>
      </c>
      <c r="AE474" s="1">
        <f t="shared" si="3553"/>
        <v>4792</v>
      </c>
      <c r="AF474" s="2">
        <f t="shared" si="3560"/>
        <v>0.97683397683397688</v>
      </c>
      <c r="AG474" s="2">
        <f t="shared" si="3560"/>
        <v>0.95627376425855515</v>
      </c>
      <c r="AH474" s="2">
        <f t="shared" si="3560"/>
        <v>0.96593428744204801</v>
      </c>
      <c r="AI474" s="1">
        <f t="shared" si="3561"/>
        <v>2119</v>
      </c>
      <c r="AJ474" s="1">
        <f t="shared" si="3561"/>
        <v>2295</v>
      </c>
      <c r="AK474" s="1">
        <f t="shared" si="3554"/>
        <v>4414</v>
      </c>
      <c r="AL474" s="2">
        <f t="shared" si="3562"/>
        <v>0.90905190905190902</v>
      </c>
      <c r="AM474" s="2">
        <f t="shared" si="3562"/>
        <v>0.87262357414448666</v>
      </c>
      <c r="AN474" s="2">
        <f t="shared" si="3562"/>
        <v>0.88973997177988307</v>
      </c>
      <c r="AO474" s="2">
        <f t="shared" si="3563"/>
        <v>0.12784212784212784</v>
      </c>
      <c r="AP474" s="2">
        <f t="shared" si="3563"/>
        <v>8.2889733840304181E-2</v>
      </c>
      <c r="AQ474" s="2">
        <f t="shared" si="3563"/>
        <v>0.10401128804676477</v>
      </c>
      <c r="AR474" s="2">
        <f t="shared" si="3555"/>
        <v>4.9335049335049334E-2</v>
      </c>
      <c r="AS474" s="2">
        <f t="shared" si="3564"/>
        <v>4.3726235741444866E-2</v>
      </c>
      <c r="AT474" s="2">
        <f t="shared" si="3564"/>
        <v>3.4065712557952023E-2</v>
      </c>
      <c r="AU474" s="2">
        <f t="shared" si="3556"/>
        <v>9.7706032285471544E-3</v>
      </c>
      <c r="AV474" s="2">
        <f t="shared" si="3556"/>
        <v>1.5350056158742045E-2</v>
      </c>
      <c r="AW474" s="2">
        <f t="shared" si="3556"/>
        <v>1.2736318407960199E-2</v>
      </c>
    </row>
    <row r="475" spans="1:49" ht="15.75" customHeight="1" x14ac:dyDescent="0.15">
      <c r="A475" s="1">
        <v>2025</v>
      </c>
      <c r="D475" t="s">
        <v>288</v>
      </c>
      <c r="E475">
        <v>303</v>
      </c>
      <c r="F475">
        <v>269</v>
      </c>
      <c r="G475">
        <v>572</v>
      </c>
      <c r="H475">
        <v>1218</v>
      </c>
      <c r="I475">
        <v>1357</v>
      </c>
      <c r="J475">
        <v>2575</v>
      </c>
      <c r="K475">
        <v>605</v>
      </c>
      <c r="L475">
        <v>715</v>
      </c>
      <c r="M475">
        <v>1320</v>
      </c>
      <c r="N475">
        <v>279</v>
      </c>
      <c r="O475">
        <v>421</v>
      </c>
      <c r="P475">
        <v>700</v>
      </c>
      <c r="Q475">
        <v>175</v>
      </c>
      <c r="R475">
        <v>304</v>
      </c>
      <c r="S475">
        <v>479</v>
      </c>
      <c r="T475">
        <v>25</v>
      </c>
      <c r="U475">
        <v>56</v>
      </c>
      <c r="V475">
        <v>81</v>
      </c>
      <c r="W475" s="1">
        <f t="shared" si="3557"/>
        <v>2605</v>
      </c>
      <c r="X475" s="1">
        <f t="shared" si="3557"/>
        <v>3122</v>
      </c>
      <c r="Y475" s="1">
        <f t="shared" ref="Y475:Y538" si="3565">SUM(W475:X475)</f>
        <v>5727</v>
      </c>
      <c r="Z475" s="1">
        <f t="shared" si="3558"/>
        <v>2580</v>
      </c>
      <c r="AA475" s="1">
        <f t="shared" si="3558"/>
        <v>3066</v>
      </c>
      <c r="AB475" s="1">
        <f t="shared" ref="AB475:AB538" si="3566">SUM(Z475:AA475)</f>
        <v>5646</v>
      </c>
      <c r="AC475" s="1">
        <f t="shared" si="3559"/>
        <v>2405</v>
      </c>
      <c r="AD475" s="1">
        <f t="shared" si="3559"/>
        <v>2762</v>
      </c>
      <c r="AE475" s="1">
        <f t="shared" ref="AE475:AE538" si="3567">SUM(AC475:AD475)</f>
        <v>5167</v>
      </c>
      <c r="AF475" s="2">
        <f t="shared" si="3560"/>
        <v>0.93217054263565891</v>
      </c>
      <c r="AG475" s="2">
        <f t="shared" si="3560"/>
        <v>0.90084801043705154</v>
      </c>
      <c r="AH475" s="2">
        <f t="shared" si="3560"/>
        <v>0.91516117605384339</v>
      </c>
      <c r="AI475" s="1">
        <f t="shared" si="3561"/>
        <v>2126</v>
      </c>
      <c r="AJ475" s="1">
        <f t="shared" si="3561"/>
        <v>2341</v>
      </c>
      <c r="AK475" s="1">
        <f t="shared" ref="AK475:AK538" si="3568">SUM(AI475:AJ475)</f>
        <v>4467</v>
      </c>
      <c r="AL475" s="2">
        <f t="shared" si="3562"/>
        <v>0.82403100775193794</v>
      </c>
      <c r="AM475" s="2">
        <f t="shared" si="3562"/>
        <v>0.76353555120678407</v>
      </c>
      <c r="AN475" s="2">
        <f t="shared" si="3562"/>
        <v>0.79117959617428268</v>
      </c>
      <c r="AO475" s="2">
        <f t="shared" si="3563"/>
        <v>0.11744186046511627</v>
      </c>
      <c r="AP475" s="2">
        <f t="shared" si="3563"/>
        <v>8.7736464448793211E-2</v>
      </c>
      <c r="AQ475" s="2">
        <f t="shared" si="3563"/>
        <v>0.10131066241586964</v>
      </c>
      <c r="AR475" s="2">
        <f t="shared" ref="AR475:AR538" si="3569">R475/Z475</f>
        <v>0.11782945736434108</v>
      </c>
      <c r="AS475" s="2">
        <f t="shared" si="3564"/>
        <v>9.9151989562948462E-2</v>
      </c>
      <c r="AT475" s="2">
        <f t="shared" si="3564"/>
        <v>8.4838823946156577E-2</v>
      </c>
      <c r="AU475" s="2">
        <f t="shared" ref="AU475:AW538" si="3570">T475/W475</f>
        <v>9.5969289827255271E-3</v>
      </c>
      <c r="AV475" s="2">
        <f t="shared" si="3570"/>
        <v>1.7937219730941704E-2</v>
      </c>
      <c r="AW475" s="2">
        <f t="shared" si="3570"/>
        <v>1.4143530644316397E-2</v>
      </c>
    </row>
    <row r="476" spans="1:49" ht="15.75" customHeight="1" x14ac:dyDescent="0.15">
      <c r="A476" s="1">
        <v>2025</v>
      </c>
      <c r="D476" t="s">
        <v>289</v>
      </c>
      <c r="E476">
        <v>113</v>
      </c>
      <c r="F476">
        <v>103</v>
      </c>
      <c r="G476">
        <v>216</v>
      </c>
      <c r="H476">
        <v>448</v>
      </c>
      <c r="I476">
        <v>488</v>
      </c>
      <c r="J476">
        <v>936</v>
      </c>
      <c r="K476">
        <v>180</v>
      </c>
      <c r="L476">
        <v>176</v>
      </c>
      <c r="M476">
        <v>356</v>
      </c>
      <c r="N476">
        <v>123</v>
      </c>
      <c r="O476">
        <v>189</v>
      </c>
      <c r="P476">
        <v>312</v>
      </c>
      <c r="Q476">
        <v>107</v>
      </c>
      <c r="R476">
        <v>168</v>
      </c>
      <c r="S476">
        <v>275</v>
      </c>
      <c r="T476">
        <v>1</v>
      </c>
      <c r="U476">
        <v>3</v>
      </c>
      <c r="V476">
        <v>4</v>
      </c>
      <c r="W476" s="1">
        <f t="shared" si="3557"/>
        <v>972</v>
      </c>
      <c r="X476" s="1">
        <f t="shared" si="3557"/>
        <v>1127</v>
      </c>
      <c r="Y476" s="1">
        <f t="shared" si="3565"/>
        <v>2099</v>
      </c>
      <c r="Z476" s="1">
        <f t="shared" si="3558"/>
        <v>971</v>
      </c>
      <c r="AA476" s="1">
        <f t="shared" si="3558"/>
        <v>1124</v>
      </c>
      <c r="AB476" s="1">
        <f t="shared" si="3566"/>
        <v>2095</v>
      </c>
      <c r="AC476" s="1">
        <f t="shared" si="3559"/>
        <v>864</v>
      </c>
      <c r="AD476" s="1">
        <f t="shared" si="3559"/>
        <v>956</v>
      </c>
      <c r="AE476" s="1">
        <f t="shared" si="3567"/>
        <v>1820</v>
      </c>
      <c r="AF476" s="2">
        <f t="shared" si="3560"/>
        <v>0.88980432543769306</v>
      </c>
      <c r="AG476" s="2">
        <f t="shared" si="3560"/>
        <v>0.85053380782918153</v>
      </c>
      <c r="AH476" s="2">
        <f t="shared" si="3560"/>
        <v>0.86873508353221962</v>
      </c>
      <c r="AI476" s="1">
        <f t="shared" si="3561"/>
        <v>741</v>
      </c>
      <c r="AJ476" s="1">
        <f t="shared" si="3561"/>
        <v>767</v>
      </c>
      <c r="AK476" s="1">
        <f t="shared" si="3568"/>
        <v>1508</v>
      </c>
      <c r="AL476" s="2">
        <f t="shared" si="3562"/>
        <v>0.76313079299691045</v>
      </c>
      <c r="AM476" s="2">
        <f t="shared" si="3562"/>
        <v>0.68238434163701067</v>
      </c>
      <c r="AN476" s="2">
        <f t="shared" si="3562"/>
        <v>0.7198090692124105</v>
      </c>
      <c r="AO476" s="2">
        <f t="shared" si="3563"/>
        <v>0.11637487126673532</v>
      </c>
      <c r="AP476" s="2">
        <f t="shared" si="3563"/>
        <v>9.163701067615658E-2</v>
      </c>
      <c r="AQ476" s="2">
        <f t="shared" si="3563"/>
        <v>0.10310262529832935</v>
      </c>
      <c r="AR476" s="2">
        <f t="shared" si="3569"/>
        <v>0.17301750772399588</v>
      </c>
      <c r="AS476" s="2">
        <f t="shared" si="3564"/>
        <v>0.1494661921708185</v>
      </c>
      <c r="AT476" s="2">
        <f t="shared" si="3564"/>
        <v>0.13126491646778043</v>
      </c>
      <c r="AU476" s="2">
        <f t="shared" si="3570"/>
        <v>1.02880658436214E-3</v>
      </c>
      <c r="AV476" s="2">
        <f t="shared" si="3570"/>
        <v>2.6619343389529724E-3</v>
      </c>
      <c r="AW476" s="2">
        <f t="shared" si="3570"/>
        <v>1.9056693663649356E-3</v>
      </c>
    </row>
    <row r="477" spans="1:49" ht="15.75" customHeight="1" x14ac:dyDescent="0.15">
      <c r="A477" s="1">
        <v>2025</v>
      </c>
      <c r="D477" t="s">
        <v>290</v>
      </c>
      <c r="E477">
        <v>11</v>
      </c>
      <c r="F477">
        <v>9</v>
      </c>
      <c r="G477">
        <v>20</v>
      </c>
      <c r="H477">
        <v>217</v>
      </c>
      <c r="I477">
        <v>205</v>
      </c>
      <c r="J477">
        <v>422</v>
      </c>
      <c r="K477">
        <v>186</v>
      </c>
      <c r="L477">
        <v>233</v>
      </c>
      <c r="M477">
        <v>419</v>
      </c>
      <c r="N477">
        <v>130</v>
      </c>
      <c r="O477">
        <v>156</v>
      </c>
      <c r="P477">
        <v>286</v>
      </c>
      <c r="Q477">
        <v>163</v>
      </c>
      <c r="R477">
        <v>186</v>
      </c>
      <c r="S477">
        <v>349</v>
      </c>
      <c r="T477">
        <v>4</v>
      </c>
      <c r="U477">
        <v>6</v>
      </c>
      <c r="V477">
        <v>10</v>
      </c>
      <c r="W477" s="1">
        <f t="shared" si="3557"/>
        <v>711</v>
      </c>
      <c r="X477" s="1">
        <f t="shared" si="3557"/>
        <v>795</v>
      </c>
      <c r="Y477" s="1">
        <f t="shared" si="3565"/>
        <v>1506</v>
      </c>
      <c r="Z477" s="1">
        <f t="shared" si="3558"/>
        <v>707</v>
      </c>
      <c r="AA477" s="1">
        <f t="shared" si="3558"/>
        <v>789</v>
      </c>
      <c r="AB477" s="1">
        <f t="shared" si="3566"/>
        <v>1496</v>
      </c>
      <c r="AC477" s="1">
        <f t="shared" si="3559"/>
        <v>544</v>
      </c>
      <c r="AD477" s="1">
        <f t="shared" si="3559"/>
        <v>603</v>
      </c>
      <c r="AE477" s="1">
        <f t="shared" si="3567"/>
        <v>1147</v>
      </c>
      <c r="AF477" s="2">
        <f t="shared" si="3560"/>
        <v>0.76944837340876948</v>
      </c>
      <c r="AG477" s="2">
        <f t="shared" si="3560"/>
        <v>0.76425855513307983</v>
      </c>
      <c r="AH477" s="2">
        <f t="shared" si="3560"/>
        <v>0.76671122994652408</v>
      </c>
      <c r="AI477" s="1">
        <f t="shared" si="3561"/>
        <v>414</v>
      </c>
      <c r="AJ477" s="1">
        <f t="shared" si="3561"/>
        <v>447</v>
      </c>
      <c r="AK477" s="1">
        <f t="shared" si="3568"/>
        <v>861</v>
      </c>
      <c r="AL477" s="2">
        <f t="shared" si="3562"/>
        <v>0.58557284299858559</v>
      </c>
      <c r="AM477" s="2">
        <f t="shared" si="3562"/>
        <v>0.56653992395437258</v>
      </c>
      <c r="AN477" s="2">
        <f t="shared" si="3562"/>
        <v>0.57553475935828879</v>
      </c>
      <c r="AO477" s="2">
        <f t="shared" si="3563"/>
        <v>1.5558698727015558E-2</v>
      </c>
      <c r="AP477" s="2">
        <f t="shared" si="3563"/>
        <v>1.1406844106463879E-2</v>
      </c>
      <c r="AQ477" s="2">
        <f t="shared" si="3563"/>
        <v>1.3368983957219251E-2</v>
      </c>
      <c r="AR477" s="2">
        <f t="shared" si="3569"/>
        <v>0.26308345120226306</v>
      </c>
      <c r="AS477" s="2">
        <f t="shared" si="3564"/>
        <v>0.23574144486692014</v>
      </c>
      <c r="AT477" s="2">
        <f t="shared" si="3564"/>
        <v>0.23328877005347592</v>
      </c>
      <c r="AU477" s="2">
        <f t="shared" si="3570"/>
        <v>5.6258790436005627E-3</v>
      </c>
      <c r="AV477" s="2">
        <f t="shared" si="3570"/>
        <v>7.5471698113207548E-3</v>
      </c>
      <c r="AW477" s="2">
        <f t="shared" si="3570"/>
        <v>6.6401062416998674E-3</v>
      </c>
    </row>
    <row r="478" spans="1:49" ht="15.75" customHeight="1" x14ac:dyDescent="0.15">
      <c r="A478" s="1">
        <v>2025</v>
      </c>
      <c r="D478" t="s">
        <v>291</v>
      </c>
      <c r="E478">
        <v>21</v>
      </c>
      <c r="F478">
        <v>7</v>
      </c>
      <c r="G478">
        <v>28</v>
      </c>
      <c r="H478">
        <v>462</v>
      </c>
      <c r="I478">
        <v>356</v>
      </c>
      <c r="J478">
        <v>818</v>
      </c>
      <c r="K478">
        <v>256</v>
      </c>
      <c r="L478">
        <v>235</v>
      </c>
      <c r="M478">
        <v>491</v>
      </c>
      <c r="N478">
        <v>62</v>
      </c>
      <c r="O478">
        <v>96</v>
      </c>
      <c r="P478">
        <v>158</v>
      </c>
      <c r="Q478">
        <v>40</v>
      </c>
      <c r="R478">
        <v>65</v>
      </c>
      <c r="S478">
        <v>105</v>
      </c>
      <c r="T478">
        <v>12</v>
      </c>
      <c r="U478">
        <v>11</v>
      </c>
      <c r="V478">
        <v>23</v>
      </c>
      <c r="W478" s="1">
        <f t="shared" si="3557"/>
        <v>853</v>
      </c>
      <c r="X478" s="1">
        <f t="shared" si="3557"/>
        <v>770</v>
      </c>
      <c r="Y478" s="1">
        <f t="shared" si="3565"/>
        <v>1623</v>
      </c>
      <c r="Z478" s="1">
        <f t="shared" si="3558"/>
        <v>841</v>
      </c>
      <c r="AA478" s="1">
        <f t="shared" si="3558"/>
        <v>759</v>
      </c>
      <c r="AB478" s="1">
        <f t="shared" si="3566"/>
        <v>1600</v>
      </c>
      <c r="AC478" s="1">
        <f t="shared" si="3559"/>
        <v>801</v>
      </c>
      <c r="AD478" s="1">
        <f t="shared" si="3559"/>
        <v>694</v>
      </c>
      <c r="AE478" s="1">
        <f t="shared" si="3567"/>
        <v>1495</v>
      </c>
      <c r="AF478" s="2">
        <f t="shared" si="3560"/>
        <v>0.95243757431629017</v>
      </c>
      <c r="AG478" s="2">
        <f t="shared" si="3560"/>
        <v>0.91436100131752307</v>
      </c>
      <c r="AH478" s="2">
        <f t="shared" si="3560"/>
        <v>0.93437499999999996</v>
      </c>
      <c r="AI478" s="1">
        <f t="shared" si="3561"/>
        <v>739</v>
      </c>
      <c r="AJ478" s="1">
        <f t="shared" si="3561"/>
        <v>598</v>
      </c>
      <c r="AK478" s="1">
        <f t="shared" si="3568"/>
        <v>1337</v>
      </c>
      <c r="AL478" s="2">
        <f t="shared" si="3562"/>
        <v>0.87871581450653979</v>
      </c>
      <c r="AM478" s="2">
        <f t="shared" si="3562"/>
        <v>0.78787878787878785</v>
      </c>
      <c r="AN478" s="2">
        <f t="shared" si="3562"/>
        <v>0.83562499999999995</v>
      </c>
      <c r="AO478" s="2">
        <f t="shared" si="3563"/>
        <v>2.4970273483947682E-2</v>
      </c>
      <c r="AP478" s="2">
        <f t="shared" si="3563"/>
        <v>9.22266139657444E-3</v>
      </c>
      <c r="AQ478" s="2">
        <f t="shared" si="3563"/>
        <v>1.7500000000000002E-2</v>
      </c>
      <c r="AR478" s="2">
        <f t="shared" si="3569"/>
        <v>7.7288941736028544E-2</v>
      </c>
      <c r="AS478" s="2">
        <f t="shared" si="3564"/>
        <v>8.5638998682476944E-2</v>
      </c>
      <c r="AT478" s="2">
        <f t="shared" si="3564"/>
        <v>6.5625000000000003E-2</v>
      </c>
      <c r="AU478" s="2">
        <f t="shared" si="3570"/>
        <v>1.4067995310668231E-2</v>
      </c>
      <c r="AV478" s="2">
        <f t="shared" si="3570"/>
        <v>1.4285714285714285E-2</v>
      </c>
      <c r="AW478" s="2">
        <f t="shared" si="3570"/>
        <v>1.4171287738755391E-2</v>
      </c>
    </row>
    <row r="479" spans="1:49" ht="15.75" customHeight="1" x14ac:dyDescent="0.15">
      <c r="A479" s="1">
        <v>2025</v>
      </c>
      <c r="C479" s="3" t="s">
        <v>75</v>
      </c>
      <c r="D479" t="s">
        <v>292</v>
      </c>
      <c r="E479">
        <v>17</v>
      </c>
      <c r="F479">
        <v>0</v>
      </c>
      <c r="G479">
        <v>17</v>
      </c>
      <c r="H479">
        <v>212</v>
      </c>
      <c r="I479">
        <v>80</v>
      </c>
      <c r="J479">
        <v>292</v>
      </c>
      <c r="K479">
        <v>135</v>
      </c>
      <c r="L479">
        <v>86</v>
      </c>
      <c r="M479">
        <v>221</v>
      </c>
      <c r="N479">
        <v>33</v>
      </c>
      <c r="O479">
        <v>39</v>
      </c>
      <c r="P479">
        <v>72</v>
      </c>
      <c r="Q479">
        <v>22</v>
      </c>
      <c r="R479">
        <v>41</v>
      </c>
      <c r="S479">
        <v>63</v>
      </c>
      <c r="T479">
        <v>6</v>
      </c>
      <c r="U479">
        <v>2</v>
      </c>
      <c r="V479">
        <v>8</v>
      </c>
      <c r="W479" s="1">
        <f t="shared" si="3557"/>
        <v>425</v>
      </c>
      <c r="X479" s="1">
        <f t="shared" si="3557"/>
        <v>248</v>
      </c>
      <c r="Y479" s="1">
        <f t="shared" si="3565"/>
        <v>673</v>
      </c>
      <c r="Z479" s="1">
        <f t="shared" si="3558"/>
        <v>419</v>
      </c>
      <c r="AA479" s="1">
        <f t="shared" si="3558"/>
        <v>246</v>
      </c>
      <c r="AB479" s="1">
        <f t="shared" si="3566"/>
        <v>665</v>
      </c>
      <c r="AC479" s="1">
        <f t="shared" si="3559"/>
        <v>397</v>
      </c>
      <c r="AD479" s="1">
        <f t="shared" si="3559"/>
        <v>205</v>
      </c>
      <c r="AE479" s="1">
        <f t="shared" si="3567"/>
        <v>602</v>
      </c>
      <c r="AF479" s="2">
        <f t="shared" si="3560"/>
        <v>0.94749403341288785</v>
      </c>
      <c r="AG479" s="2">
        <f t="shared" si="3560"/>
        <v>0.83333333333333337</v>
      </c>
      <c r="AH479" s="2">
        <f t="shared" si="3560"/>
        <v>0.90526315789473688</v>
      </c>
      <c r="AI479" s="1">
        <f t="shared" si="3561"/>
        <v>364</v>
      </c>
      <c r="AJ479" s="1">
        <f t="shared" si="3561"/>
        <v>166</v>
      </c>
      <c r="AK479" s="1">
        <f t="shared" si="3568"/>
        <v>530</v>
      </c>
      <c r="AL479" s="2">
        <f t="shared" si="3562"/>
        <v>0.86873508353221962</v>
      </c>
      <c r="AM479" s="2">
        <f t="shared" si="3562"/>
        <v>0.67479674796747968</v>
      </c>
      <c r="AN479" s="2">
        <f t="shared" si="3562"/>
        <v>0.79699248120300747</v>
      </c>
      <c r="AO479" s="2">
        <f t="shared" si="3563"/>
        <v>4.0572792362768499E-2</v>
      </c>
      <c r="AP479" s="2">
        <f t="shared" si="3563"/>
        <v>0</v>
      </c>
      <c r="AQ479" s="2">
        <f t="shared" si="3563"/>
        <v>2.5563909774436091E-2</v>
      </c>
      <c r="AR479" s="2">
        <f t="shared" si="3569"/>
        <v>9.7852028639618144E-2</v>
      </c>
      <c r="AS479" s="2">
        <f t="shared" si="3564"/>
        <v>0.16666666666666666</v>
      </c>
      <c r="AT479" s="2">
        <f t="shared" si="3564"/>
        <v>9.4736842105263161E-2</v>
      </c>
      <c r="AU479" s="2">
        <f t="shared" si="3570"/>
        <v>1.411764705882353E-2</v>
      </c>
      <c r="AV479" s="2">
        <f t="shared" si="3570"/>
        <v>8.0645161290322578E-3</v>
      </c>
      <c r="AW479" s="2">
        <f t="shared" si="3570"/>
        <v>1.188707280832095E-2</v>
      </c>
    </row>
    <row r="480" spans="1:49" ht="15.75" customHeight="1" x14ac:dyDescent="0.15">
      <c r="A480" s="1">
        <v>2025</v>
      </c>
      <c r="D480" t="s">
        <v>293</v>
      </c>
      <c r="E480">
        <v>539</v>
      </c>
      <c r="F480">
        <v>554</v>
      </c>
      <c r="G480">
        <v>1093</v>
      </c>
      <c r="H480">
        <v>816</v>
      </c>
      <c r="I480">
        <v>989</v>
      </c>
      <c r="J480">
        <v>1805</v>
      </c>
      <c r="K480">
        <v>96</v>
      </c>
      <c r="L480">
        <v>112</v>
      </c>
      <c r="M480">
        <v>208</v>
      </c>
      <c r="N480">
        <v>20</v>
      </c>
      <c r="O480">
        <v>27</v>
      </c>
      <c r="P480">
        <v>47</v>
      </c>
      <c r="Q480">
        <v>11</v>
      </c>
      <c r="R480">
        <v>22</v>
      </c>
      <c r="S480">
        <v>33</v>
      </c>
      <c r="T480">
        <v>6</v>
      </c>
      <c r="U480">
        <v>12</v>
      </c>
      <c r="V480">
        <v>18</v>
      </c>
      <c r="W480" s="1">
        <f t="shared" si="3557"/>
        <v>1488</v>
      </c>
      <c r="X480" s="1">
        <f t="shared" si="3557"/>
        <v>1716</v>
      </c>
      <c r="Y480" s="1">
        <f t="shared" si="3565"/>
        <v>3204</v>
      </c>
      <c r="Z480" s="1">
        <f t="shared" si="3558"/>
        <v>1482</v>
      </c>
      <c r="AA480" s="1">
        <f t="shared" si="3558"/>
        <v>1704</v>
      </c>
      <c r="AB480" s="1">
        <f t="shared" si="3566"/>
        <v>3186</v>
      </c>
      <c r="AC480" s="1">
        <f t="shared" si="3559"/>
        <v>1471</v>
      </c>
      <c r="AD480" s="1">
        <f t="shared" si="3559"/>
        <v>1682</v>
      </c>
      <c r="AE480" s="1">
        <f t="shared" si="3567"/>
        <v>3153</v>
      </c>
      <c r="AF480" s="2">
        <f t="shared" si="3560"/>
        <v>0.99257759784075572</v>
      </c>
      <c r="AG480" s="2">
        <f t="shared" si="3560"/>
        <v>0.98708920187793425</v>
      </c>
      <c r="AH480" s="2">
        <f t="shared" si="3560"/>
        <v>0.9896421845574388</v>
      </c>
      <c r="AI480" s="1">
        <f t="shared" si="3561"/>
        <v>1451</v>
      </c>
      <c r="AJ480" s="1">
        <f t="shared" si="3561"/>
        <v>1655</v>
      </c>
      <c r="AK480" s="1">
        <f t="shared" si="3568"/>
        <v>3106</v>
      </c>
      <c r="AL480" s="2">
        <f t="shared" si="3562"/>
        <v>0.97908232118758431</v>
      </c>
      <c r="AM480" s="2">
        <f t="shared" si="3562"/>
        <v>0.97124413145539901</v>
      </c>
      <c r="AN480" s="2">
        <f t="shared" si="3562"/>
        <v>0.97489014438166977</v>
      </c>
      <c r="AO480" s="2">
        <f t="shared" si="3563"/>
        <v>0.36369770580296895</v>
      </c>
      <c r="AP480" s="2">
        <f t="shared" si="3563"/>
        <v>0.32511737089201875</v>
      </c>
      <c r="AQ480" s="2">
        <f t="shared" si="3563"/>
        <v>0.34306340238543631</v>
      </c>
      <c r="AR480" s="2">
        <f t="shared" si="3569"/>
        <v>1.4844804318488529E-2</v>
      </c>
      <c r="AS480" s="2">
        <f t="shared" si="3564"/>
        <v>1.2910798122065728E-2</v>
      </c>
      <c r="AT480" s="2">
        <f t="shared" si="3564"/>
        <v>1.0357815442561206E-2</v>
      </c>
      <c r="AU480" s="2">
        <f t="shared" si="3570"/>
        <v>4.0322580645161289E-3</v>
      </c>
      <c r="AV480" s="2">
        <f t="shared" si="3570"/>
        <v>6.993006993006993E-3</v>
      </c>
      <c r="AW480" s="2">
        <f t="shared" si="3570"/>
        <v>5.6179775280898875E-3</v>
      </c>
    </row>
    <row r="481" spans="1:49" ht="15.75" customHeight="1" x14ac:dyDescent="0.15">
      <c r="A481" s="1">
        <v>2025</v>
      </c>
      <c r="D481" t="s">
        <v>294</v>
      </c>
      <c r="E481">
        <v>426</v>
      </c>
      <c r="F481">
        <v>448</v>
      </c>
      <c r="G481">
        <v>874</v>
      </c>
      <c r="H481">
        <v>3296</v>
      </c>
      <c r="I481">
        <v>3709</v>
      </c>
      <c r="J481">
        <v>7005</v>
      </c>
      <c r="K481">
        <v>1367</v>
      </c>
      <c r="L481">
        <v>1554</v>
      </c>
      <c r="M481">
        <v>2921</v>
      </c>
      <c r="N481">
        <v>543</v>
      </c>
      <c r="O481">
        <v>641</v>
      </c>
      <c r="P481">
        <v>1184</v>
      </c>
      <c r="Q481">
        <v>475</v>
      </c>
      <c r="R481">
        <v>434</v>
      </c>
      <c r="S481">
        <v>909</v>
      </c>
      <c r="T481">
        <v>88</v>
      </c>
      <c r="U481">
        <v>97</v>
      </c>
      <c r="V481">
        <v>185</v>
      </c>
      <c r="W481" s="1">
        <f t="shared" si="3557"/>
        <v>6195</v>
      </c>
      <c r="X481" s="1">
        <f t="shared" si="3557"/>
        <v>6883</v>
      </c>
      <c r="Y481" s="1">
        <f t="shared" si="3565"/>
        <v>13078</v>
      </c>
      <c r="Z481" s="1">
        <f t="shared" si="3558"/>
        <v>6107</v>
      </c>
      <c r="AA481" s="1">
        <f t="shared" si="3558"/>
        <v>6786</v>
      </c>
      <c r="AB481" s="1">
        <f t="shared" si="3566"/>
        <v>12893</v>
      </c>
      <c r="AC481" s="1">
        <f t="shared" si="3559"/>
        <v>5632</v>
      </c>
      <c r="AD481" s="1">
        <f t="shared" si="3559"/>
        <v>6352</v>
      </c>
      <c r="AE481" s="1">
        <f t="shared" si="3567"/>
        <v>11984</v>
      </c>
      <c r="AF481" s="2">
        <f t="shared" si="3560"/>
        <v>0.92222040281644013</v>
      </c>
      <c r="AG481" s="2">
        <f t="shared" si="3560"/>
        <v>0.93604479811376362</v>
      </c>
      <c r="AH481" s="2">
        <f t="shared" si="3560"/>
        <v>0.92949662607616534</v>
      </c>
      <c r="AI481" s="1">
        <f t="shared" si="3561"/>
        <v>5089</v>
      </c>
      <c r="AJ481" s="1">
        <f t="shared" si="3561"/>
        <v>5711</v>
      </c>
      <c r="AK481" s="1">
        <f t="shared" si="3568"/>
        <v>10800</v>
      </c>
      <c r="AL481" s="2">
        <f t="shared" si="3562"/>
        <v>0.83330604224660221</v>
      </c>
      <c r="AM481" s="2">
        <f t="shared" si="3562"/>
        <v>0.84158561744768645</v>
      </c>
      <c r="AN481" s="2">
        <f t="shared" si="3562"/>
        <v>0.83766384860001553</v>
      </c>
      <c r="AO481" s="2">
        <f t="shared" si="3563"/>
        <v>6.9756017684624208E-2</v>
      </c>
      <c r="AP481" s="2">
        <f t="shared" si="3563"/>
        <v>6.6018272914824636E-2</v>
      </c>
      <c r="AQ481" s="2">
        <f t="shared" si="3563"/>
        <v>6.7788722562630882E-2</v>
      </c>
      <c r="AR481" s="2">
        <f t="shared" si="3569"/>
        <v>7.1065989847715741E-2</v>
      </c>
      <c r="AS481" s="2">
        <f t="shared" si="3564"/>
        <v>6.3955201886236365E-2</v>
      </c>
      <c r="AT481" s="2">
        <f t="shared" si="3564"/>
        <v>7.0503373923834642E-2</v>
      </c>
      <c r="AU481" s="2">
        <f t="shared" si="3570"/>
        <v>1.420500403551251E-2</v>
      </c>
      <c r="AV481" s="2">
        <f t="shared" si="3570"/>
        <v>1.4092692140055209E-2</v>
      </c>
      <c r="AW481" s="2">
        <f t="shared" si="3570"/>
        <v>1.4145893867563849E-2</v>
      </c>
    </row>
    <row r="482" spans="1:49" ht="15.75" customHeight="1" x14ac:dyDescent="0.15">
      <c r="A482" s="1">
        <v>2025</v>
      </c>
      <c r="D482" t="s">
        <v>295</v>
      </c>
      <c r="E482">
        <v>325</v>
      </c>
      <c r="F482">
        <v>395</v>
      </c>
      <c r="G482">
        <v>720</v>
      </c>
      <c r="H482">
        <v>1755</v>
      </c>
      <c r="I482">
        <v>2236</v>
      </c>
      <c r="J482">
        <v>3991</v>
      </c>
      <c r="K482">
        <v>377</v>
      </c>
      <c r="L482">
        <v>521</v>
      </c>
      <c r="M482">
        <v>898</v>
      </c>
      <c r="N482">
        <v>128</v>
      </c>
      <c r="O482">
        <v>147</v>
      </c>
      <c r="P482">
        <v>275</v>
      </c>
      <c r="Q482">
        <v>81</v>
      </c>
      <c r="R482">
        <v>93</v>
      </c>
      <c r="S482">
        <v>174</v>
      </c>
      <c r="T482">
        <v>38</v>
      </c>
      <c r="U482">
        <v>47</v>
      </c>
      <c r="V482">
        <v>85</v>
      </c>
      <c r="W482" s="1">
        <f t="shared" si="3557"/>
        <v>2704</v>
      </c>
      <c r="X482" s="1">
        <f t="shared" si="3557"/>
        <v>3439</v>
      </c>
      <c r="Y482" s="1">
        <f t="shared" si="3565"/>
        <v>6143</v>
      </c>
      <c r="Z482" s="1">
        <f t="shared" si="3558"/>
        <v>2666</v>
      </c>
      <c r="AA482" s="1">
        <f t="shared" si="3558"/>
        <v>3392</v>
      </c>
      <c r="AB482" s="1">
        <f t="shared" si="3566"/>
        <v>6058</v>
      </c>
      <c r="AC482" s="1">
        <f t="shared" si="3559"/>
        <v>2585</v>
      </c>
      <c r="AD482" s="1">
        <f t="shared" si="3559"/>
        <v>3299</v>
      </c>
      <c r="AE482" s="1">
        <f t="shared" si="3567"/>
        <v>5884</v>
      </c>
      <c r="AF482" s="2">
        <f t="shared" si="3560"/>
        <v>0.96961740435108779</v>
      </c>
      <c r="AG482" s="2">
        <f t="shared" si="3560"/>
        <v>0.9725825471698113</v>
      </c>
      <c r="AH482" s="2">
        <f t="shared" si="3560"/>
        <v>0.97127764938923733</v>
      </c>
      <c r="AI482" s="1">
        <f t="shared" si="3561"/>
        <v>2457</v>
      </c>
      <c r="AJ482" s="1">
        <f t="shared" si="3561"/>
        <v>3152</v>
      </c>
      <c r="AK482" s="1">
        <f t="shared" si="3568"/>
        <v>5609</v>
      </c>
      <c r="AL482" s="2">
        <f t="shared" si="3562"/>
        <v>0.92160540135033764</v>
      </c>
      <c r="AM482" s="2">
        <f t="shared" si="3562"/>
        <v>0.92924528301886788</v>
      </c>
      <c r="AN482" s="2">
        <f t="shared" si="3562"/>
        <v>0.92588312974579068</v>
      </c>
      <c r="AO482" s="2">
        <f t="shared" si="3563"/>
        <v>0.12190547636909227</v>
      </c>
      <c r="AP482" s="2">
        <f t="shared" si="3563"/>
        <v>0.11645047169811321</v>
      </c>
      <c r="AQ482" s="2">
        <f t="shared" si="3563"/>
        <v>0.1188511059755695</v>
      </c>
      <c r="AR482" s="2">
        <f t="shared" si="3569"/>
        <v>3.4883720930232558E-2</v>
      </c>
      <c r="AS482" s="2">
        <f t="shared" si="3564"/>
        <v>2.741745283018868E-2</v>
      </c>
      <c r="AT482" s="2">
        <f t="shared" si="3564"/>
        <v>2.8722350610762629E-2</v>
      </c>
      <c r="AU482" s="2">
        <f t="shared" si="3570"/>
        <v>1.4053254437869823E-2</v>
      </c>
      <c r="AV482" s="2">
        <f t="shared" si="3570"/>
        <v>1.3666763594068043E-2</v>
      </c>
      <c r="AW482" s="2">
        <f t="shared" si="3570"/>
        <v>1.3836887514243855E-2</v>
      </c>
    </row>
    <row r="483" spans="1:49" ht="15.75" customHeight="1" x14ac:dyDescent="0.15">
      <c r="A483" s="1">
        <v>2025</v>
      </c>
      <c r="D483" t="s">
        <v>296</v>
      </c>
      <c r="E483">
        <v>88</v>
      </c>
      <c r="F483">
        <v>40</v>
      </c>
      <c r="G483">
        <v>128</v>
      </c>
      <c r="H483">
        <v>694</v>
      </c>
      <c r="I483">
        <v>631</v>
      </c>
      <c r="J483">
        <v>1325</v>
      </c>
      <c r="K483">
        <v>354</v>
      </c>
      <c r="L483">
        <v>373</v>
      </c>
      <c r="M483">
        <v>727</v>
      </c>
      <c r="N483">
        <v>190</v>
      </c>
      <c r="O483">
        <v>201</v>
      </c>
      <c r="P483">
        <v>391</v>
      </c>
      <c r="Q483">
        <v>180</v>
      </c>
      <c r="R483">
        <v>189</v>
      </c>
      <c r="S483">
        <v>369</v>
      </c>
      <c r="T483">
        <v>14</v>
      </c>
      <c r="U483">
        <v>16</v>
      </c>
      <c r="V483">
        <v>30</v>
      </c>
      <c r="W483" s="1">
        <f t="shared" si="3557"/>
        <v>1520</v>
      </c>
      <c r="X483" s="1">
        <f t="shared" si="3557"/>
        <v>1450</v>
      </c>
      <c r="Y483" s="1">
        <f t="shared" si="3565"/>
        <v>2970</v>
      </c>
      <c r="Z483" s="1">
        <f t="shared" si="3558"/>
        <v>1506</v>
      </c>
      <c r="AA483" s="1">
        <f t="shared" si="3558"/>
        <v>1434</v>
      </c>
      <c r="AB483" s="1">
        <f t="shared" si="3566"/>
        <v>2940</v>
      </c>
      <c r="AC483" s="1">
        <f t="shared" si="3559"/>
        <v>1326</v>
      </c>
      <c r="AD483" s="1">
        <f t="shared" si="3559"/>
        <v>1245</v>
      </c>
      <c r="AE483" s="1">
        <f t="shared" si="3567"/>
        <v>2571</v>
      </c>
      <c r="AF483" s="2">
        <f t="shared" si="3560"/>
        <v>0.88047808764940239</v>
      </c>
      <c r="AG483" s="2">
        <f t="shared" si="3560"/>
        <v>0.86820083682008364</v>
      </c>
      <c r="AH483" s="2">
        <f t="shared" si="3560"/>
        <v>0.8744897959183674</v>
      </c>
      <c r="AI483" s="1">
        <f t="shared" si="3561"/>
        <v>1136</v>
      </c>
      <c r="AJ483" s="1">
        <f t="shared" si="3561"/>
        <v>1044</v>
      </c>
      <c r="AK483" s="1">
        <f t="shared" si="3568"/>
        <v>2180</v>
      </c>
      <c r="AL483" s="2">
        <f t="shared" si="3562"/>
        <v>0.75431606905710491</v>
      </c>
      <c r="AM483" s="2">
        <f t="shared" si="3562"/>
        <v>0.72803347280334729</v>
      </c>
      <c r="AN483" s="2">
        <f t="shared" si="3562"/>
        <v>0.74149659863945583</v>
      </c>
      <c r="AO483" s="2">
        <f t="shared" si="3563"/>
        <v>5.8432934926958828E-2</v>
      </c>
      <c r="AP483" s="2">
        <f t="shared" si="3563"/>
        <v>2.7894002789400279E-2</v>
      </c>
      <c r="AQ483" s="2">
        <f t="shared" si="3563"/>
        <v>4.3537414965986392E-2</v>
      </c>
      <c r="AR483" s="2">
        <f t="shared" si="3569"/>
        <v>0.12549800796812749</v>
      </c>
      <c r="AS483" s="2">
        <f t="shared" si="3564"/>
        <v>0.13179916317991633</v>
      </c>
      <c r="AT483" s="2">
        <f t="shared" si="3564"/>
        <v>0.12551020408163266</v>
      </c>
      <c r="AU483" s="2">
        <f t="shared" si="3570"/>
        <v>9.2105263157894728E-3</v>
      </c>
      <c r="AV483" s="2">
        <f t="shared" si="3570"/>
        <v>1.1034482758620689E-2</v>
      </c>
      <c r="AW483" s="2">
        <f t="shared" si="3570"/>
        <v>1.0101010101010102E-2</v>
      </c>
    </row>
    <row r="484" spans="1:49" ht="15.75" customHeight="1" x14ac:dyDescent="0.15">
      <c r="A484" s="1">
        <v>2025</v>
      </c>
      <c r="D484" t="s">
        <v>297</v>
      </c>
      <c r="E484">
        <v>241</v>
      </c>
      <c r="F484">
        <v>225</v>
      </c>
      <c r="G484">
        <v>466</v>
      </c>
      <c r="H484">
        <v>2053</v>
      </c>
      <c r="I484">
        <v>2381</v>
      </c>
      <c r="J484">
        <v>4434</v>
      </c>
      <c r="K484">
        <v>836</v>
      </c>
      <c r="L484">
        <v>1052</v>
      </c>
      <c r="M484">
        <v>1888</v>
      </c>
      <c r="N484">
        <v>485</v>
      </c>
      <c r="O484">
        <v>600</v>
      </c>
      <c r="P484">
        <v>1085</v>
      </c>
      <c r="Q484">
        <v>366</v>
      </c>
      <c r="R484">
        <v>506</v>
      </c>
      <c r="S484">
        <v>872</v>
      </c>
      <c r="T484">
        <v>71</v>
      </c>
      <c r="U484">
        <v>94</v>
      </c>
      <c r="V484">
        <v>165</v>
      </c>
      <c r="W484" s="1">
        <f t="shared" si="3557"/>
        <v>4052</v>
      </c>
      <c r="X484" s="1">
        <f t="shared" si="3557"/>
        <v>4858</v>
      </c>
      <c r="Y484" s="1">
        <f t="shared" si="3565"/>
        <v>8910</v>
      </c>
      <c r="Z484" s="1">
        <f t="shared" si="3558"/>
        <v>3981</v>
      </c>
      <c r="AA484" s="1">
        <f t="shared" si="3558"/>
        <v>4764</v>
      </c>
      <c r="AB484" s="1">
        <f t="shared" si="3566"/>
        <v>8745</v>
      </c>
      <c r="AC484" s="1">
        <f t="shared" si="3559"/>
        <v>3615</v>
      </c>
      <c r="AD484" s="1">
        <f t="shared" si="3559"/>
        <v>4258</v>
      </c>
      <c r="AE484" s="1">
        <f t="shared" si="3567"/>
        <v>7873</v>
      </c>
      <c r="AF484" s="2">
        <f t="shared" si="3560"/>
        <v>0.90806330067822161</v>
      </c>
      <c r="AG484" s="2">
        <f t="shared" si="3560"/>
        <v>0.89378673383711171</v>
      </c>
      <c r="AH484" s="2">
        <f t="shared" si="3560"/>
        <v>0.90028587764436818</v>
      </c>
      <c r="AI484" s="1">
        <f t="shared" si="3561"/>
        <v>3130</v>
      </c>
      <c r="AJ484" s="1">
        <f t="shared" si="3561"/>
        <v>3658</v>
      </c>
      <c r="AK484" s="1">
        <f t="shared" si="3568"/>
        <v>6788</v>
      </c>
      <c r="AL484" s="2">
        <f t="shared" si="3562"/>
        <v>0.78623461441848785</v>
      </c>
      <c r="AM484" s="2">
        <f t="shared" si="3562"/>
        <v>0.76784214945424012</v>
      </c>
      <c r="AN484" s="2">
        <f t="shared" si="3562"/>
        <v>0.77621497998856492</v>
      </c>
      <c r="AO484" s="2">
        <f t="shared" si="3563"/>
        <v>6.0537553378548103E-2</v>
      </c>
      <c r="AP484" s="2">
        <f t="shared" si="3563"/>
        <v>4.7229219143576827E-2</v>
      </c>
      <c r="AQ484" s="2">
        <f t="shared" si="3563"/>
        <v>5.3287592910234417E-2</v>
      </c>
      <c r="AR484" s="2">
        <f t="shared" si="3569"/>
        <v>0.12710374277819644</v>
      </c>
      <c r="AS484" s="2">
        <f t="shared" si="3564"/>
        <v>0.10621326616288833</v>
      </c>
      <c r="AT484" s="2">
        <f t="shared" si="3564"/>
        <v>9.971412235563179E-2</v>
      </c>
      <c r="AU484" s="2">
        <f t="shared" si="3570"/>
        <v>1.7522211253701875E-2</v>
      </c>
      <c r="AV484" s="2">
        <f t="shared" si="3570"/>
        <v>1.9349526554137506E-2</v>
      </c>
      <c r="AW484" s="2">
        <f t="shared" si="3570"/>
        <v>1.8518518518518517E-2</v>
      </c>
    </row>
    <row r="485" spans="1:49" ht="15.75" customHeight="1" x14ac:dyDescent="0.15">
      <c r="A485" s="1">
        <v>2025</v>
      </c>
      <c r="C485" s="3" t="s">
        <v>54</v>
      </c>
      <c r="D485" t="s">
        <v>298</v>
      </c>
      <c r="E485">
        <v>395</v>
      </c>
      <c r="F485">
        <v>367</v>
      </c>
      <c r="G485">
        <v>762</v>
      </c>
      <c r="H485">
        <v>1011</v>
      </c>
      <c r="I485">
        <v>1212</v>
      </c>
      <c r="J485">
        <v>2223</v>
      </c>
      <c r="K485">
        <v>98</v>
      </c>
      <c r="L485">
        <v>155</v>
      </c>
      <c r="M485">
        <v>253</v>
      </c>
      <c r="N485">
        <v>42</v>
      </c>
      <c r="O485">
        <v>49</v>
      </c>
      <c r="P485">
        <v>91</v>
      </c>
      <c r="Q485">
        <v>25</v>
      </c>
      <c r="R485">
        <v>25</v>
      </c>
      <c r="S485">
        <v>50</v>
      </c>
      <c r="T485">
        <v>25</v>
      </c>
      <c r="U485">
        <v>25</v>
      </c>
      <c r="V485">
        <v>50</v>
      </c>
      <c r="W485" s="1">
        <f t="shared" si="3557"/>
        <v>1596</v>
      </c>
      <c r="X485" s="1">
        <f t="shared" si="3557"/>
        <v>1833</v>
      </c>
      <c r="Y485" s="1">
        <f t="shared" si="3565"/>
        <v>3429</v>
      </c>
      <c r="Z485" s="1">
        <f t="shared" si="3558"/>
        <v>1571</v>
      </c>
      <c r="AA485" s="1">
        <f t="shared" si="3558"/>
        <v>1808</v>
      </c>
      <c r="AB485" s="1">
        <f t="shared" si="3566"/>
        <v>3379</v>
      </c>
      <c r="AC485" s="1">
        <f t="shared" si="3559"/>
        <v>1546</v>
      </c>
      <c r="AD485" s="1">
        <f t="shared" si="3559"/>
        <v>1783</v>
      </c>
      <c r="AE485" s="1">
        <f t="shared" si="3567"/>
        <v>3329</v>
      </c>
      <c r="AF485" s="2">
        <f t="shared" si="3560"/>
        <v>0.98408656906429026</v>
      </c>
      <c r="AG485" s="2">
        <f t="shared" si="3560"/>
        <v>0.98617256637168138</v>
      </c>
      <c r="AH485" s="2">
        <f t="shared" si="3560"/>
        <v>0.98520272269902343</v>
      </c>
      <c r="AI485" s="1">
        <f t="shared" si="3561"/>
        <v>1504</v>
      </c>
      <c r="AJ485" s="1">
        <f t="shared" si="3561"/>
        <v>1734</v>
      </c>
      <c r="AK485" s="1">
        <f t="shared" si="3568"/>
        <v>3238</v>
      </c>
      <c r="AL485" s="2">
        <f t="shared" si="3562"/>
        <v>0.9573520050922979</v>
      </c>
      <c r="AM485" s="2">
        <f t="shared" si="3562"/>
        <v>0.95907079646017701</v>
      </c>
      <c r="AN485" s="2">
        <f t="shared" si="3562"/>
        <v>0.95827167801124591</v>
      </c>
      <c r="AO485" s="2">
        <f t="shared" si="3563"/>
        <v>0.25143220878421385</v>
      </c>
      <c r="AP485" s="2">
        <f t="shared" si="3563"/>
        <v>0.20298672566371681</v>
      </c>
      <c r="AQ485" s="2">
        <f t="shared" si="3563"/>
        <v>0.22551050606688369</v>
      </c>
      <c r="AR485" s="2">
        <f t="shared" si="3569"/>
        <v>1.5913430935709738E-2</v>
      </c>
      <c r="AS485" s="2">
        <f t="shared" si="3564"/>
        <v>1.3827433628318585E-2</v>
      </c>
      <c r="AT485" s="2">
        <f t="shared" si="3564"/>
        <v>1.479727730097662E-2</v>
      </c>
      <c r="AU485" s="2">
        <f t="shared" si="3570"/>
        <v>1.5664160401002505E-2</v>
      </c>
      <c r="AV485" s="2">
        <f t="shared" si="3570"/>
        <v>1.3638843426077468E-2</v>
      </c>
      <c r="AW485" s="2">
        <f t="shared" si="3570"/>
        <v>1.4581510644502771E-2</v>
      </c>
    </row>
    <row r="486" spans="1:49" ht="15.75" customHeight="1" x14ac:dyDescent="0.15">
      <c r="A486" s="1">
        <v>2025</v>
      </c>
      <c r="C486" s="3" t="s">
        <v>99</v>
      </c>
      <c r="D486" t="s">
        <v>299</v>
      </c>
      <c r="E486">
        <v>113</v>
      </c>
      <c r="F486">
        <v>107</v>
      </c>
      <c r="G486">
        <v>220</v>
      </c>
      <c r="H486">
        <v>606</v>
      </c>
      <c r="I486">
        <v>692</v>
      </c>
      <c r="J486">
        <v>1298</v>
      </c>
      <c r="K486">
        <v>258</v>
      </c>
      <c r="L486">
        <v>379</v>
      </c>
      <c r="M486">
        <v>637</v>
      </c>
      <c r="N486">
        <v>101</v>
      </c>
      <c r="O486">
        <v>151</v>
      </c>
      <c r="P486">
        <v>252</v>
      </c>
      <c r="Q486">
        <v>92</v>
      </c>
      <c r="R486">
        <v>115</v>
      </c>
      <c r="S486">
        <v>207</v>
      </c>
      <c r="T486">
        <v>4</v>
      </c>
      <c r="U486">
        <v>5</v>
      </c>
      <c r="V486">
        <v>9</v>
      </c>
      <c r="W486" s="1">
        <f t="shared" si="3557"/>
        <v>1174</v>
      </c>
      <c r="X486" s="1">
        <f t="shared" si="3557"/>
        <v>1449</v>
      </c>
      <c r="Y486" s="1">
        <f t="shared" si="3565"/>
        <v>2623</v>
      </c>
      <c r="Z486" s="1">
        <f t="shared" si="3558"/>
        <v>1170</v>
      </c>
      <c r="AA486" s="1">
        <f t="shared" si="3558"/>
        <v>1444</v>
      </c>
      <c r="AB486" s="1">
        <f t="shared" si="3566"/>
        <v>2614</v>
      </c>
      <c r="AC486" s="1">
        <f t="shared" si="3559"/>
        <v>1078</v>
      </c>
      <c r="AD486" s="1">
        <f t="shared" si="3559"/>
        <v>1329</v>
      </c>
      <c r="AE486" s="1">
        <f t="shared" si="3567"/>
        <v>2407</v>
      </c>
      <c r="AF486" s="2">
        <f t="shared" si="3560"/>
        <v>0.92136752136752131</v>
      </c>
      <c r="AG486" s="2">
        <f t="shared" si="3560"/>
        <v>0.92036011080332414</v>
      </c>
      <c r="AH486" s="2">
        <f t="shared" si="3560"/>
        <v>0.92081101759755168</v>
      </c>
      <c r="AI486" s="1">
        <f t="shared" si="3561"/>
        <v>977</v>
      </c>
      <c r="AJ486" s="1">
        <f t="shared" si="3561"/>
        <v>1178</v>
      </c>
      <c r="AK486" s="1">
        <f t="shared" si="3568"/>
        <v>2155</v>
      </c>
      <c r="AL486" s="2">
        <f t="shared" si="3562"/>
        <v>0.83504273504273507</v>
      </c>
      <c r="AM486" s="2">
        <f t="shared" si="3562"/>
        <v>0.81578947368421051</v>
      </c>
      <c r="AN486" s="2">
        <f t="shared" si="3562"/>
        <v>0.82440703902065804</v>
      </c>
      <c r="AO486" s="2">
        <f t="shared" si="3563"/>
        <v>9.6581196581196585E-2</v>
      </c>
      <c r="AP486" s="2">
        <f t="shared" si="3563"/>
        <v>7.4099722991689751E-2</v>
      </c>
      <c r="AQ486" s="2">
        <f t="shared" si="3563"/>
        <v>8.4162203519510329E-2</v>
      </c>
      <c r="AR486" s="2">
        <f t="shared" si="3569"/>
        <v>9.8290598290598288E-2</v>
      </c>
      <c r="AS486" s="2">
        <f t="shared" si="3564"/>
        <v>7.9639889196675903E-2</v>
      </c>
      <c r="AT486" s="2">
        <f t="shared" si="3564"/>
        <v>7.9188982402448357E-2</v>
      </c>
      <c r="AU486" s="2">
        <f t="shared" si="3570"/>
        <v>3.4071550255536627E-3</v>
      </c>
      <c r="AV486" s="2">
        <f t="shared" si="3570"/>
        <v>3.450655624568668E-3</v>
      </c>
      <c r="AW486" s="2">
        <f t="shared" si="3570"/>
        <v>3.4311856652687761E-3</v>
      </c>
    </row>
    <row r="487" spans="1:49" ht="15.75" customHeight="1" x14ac:dyDescent="0.15">
      <c r="A487" s="1">
        <v>2025</v>
      </c>
      <c r="D487" t="s">
        <v>300</v>
      </c>
      <c r="E487">
        <v>155</v>
      </c>
      <c r="F487">
        <v>121</v>
      </c>
      <c r="G487">
        <v>276</v>
      </c>
      <c r="H487">
        <v>813</v>
      </c>
      <c r="I487">
        <v>1000</v>
      </c>
      <c r="J487">
        <v>1813</v>
      </c>
      <c r="K487">
        <v>311</v>
      </c>
      <c r="L487">
        <v>402</v>
      </c>
      <c r="M487">
        <v>713</v>
      </c>
      <c r="N487">
        <v>134</v>
      </c>
      <c r="O487">
        <v>204</v>
      </c>
      <c r="P487">
        <v>338</v>
      </c>
      <c r="Q487">
        <v>98</v>
      </c>
      <c r="R487">
        <v>138</v>
      </c>
      <c r="S487">
        <v>236</v>
      </c>
      <c r="T487">
        <v>37</v>
      </c>
      <c r="U487">
        <v>35</v>
      </c>
      <c r="V487">
        <v>72</v>
      </c>
      <c r="W487" s="1">
        <f t="shared" si="3557"/>
        <v>1548</v>
      </c>
      <c r="X487" s="1">
        <f t="shared" si="3557"/>
        <v>1900</v>
      </c>
      <c r="Y487" s="1">
        <f t="shared" si="3565"/>
        <v>3448</v>
      </c>
      <c r="Z487" s="1">
        <f t="shared" si="3558"/>
        <v>1511</v>
      </c>
      <c r="AA487" s="1">
        <f t="shared" si="3558"/>
        <v>1865</v>
      </c>
      <c r="AB487" s="1">
        <f t="shared" si="3566"/>
        <v>3376</v>
      </c>
      <c r="AC487" s="1">
        <f t="shared" si="3559"/>
        <v>1413</v>
      </c>
      <c r="AD487" s="1">
        <f t="shared" si="3559"/>
        <v>1727</v>
      </c>
      <c r="AE487" s="1">
        <f t="shared" si="3567"/>
        <v>3140</v>
      </c>
      <c r="AF487" s="2">
        <f t="shared" si="3560"/>
        <v>0.93514228987425541</v>
      </c>
      <c r="AG487" s="2">
        <f t="shared" si="3560"/>
        <v>0.92600536193029492</v>
      </c>
      <c r="AH487" s="2">
        <f t="shared" si="3560"/>
        <v>0.93009478672985779</v>
      </c>
      <c r="AI487" s="1">
        <f t="shared" si="3561"/>
        <v>1279</v>
      </c>
      <c r="AJ487" s="1">
        <f t="shared" si="3561"/>
        <v>1523</v>
      </c>
      <c r="AK487" s="1">
        <f t="shared" si="3568"/>
        <v>2802</v>
      </c>
      <c r="AL487" s="2">
        <f t="shared" si="3562"/>
        <v>0.8464592984778293</v>
      </c>
      <c r="AM487" s="2">
        <f t="shared" si="3562"/>
        <v>0.81662198391420915</v>
      </c>
      <c r="AN487" s="2">
        <f t="shared" si="3562"/>
        <v>0.82997630331753558</v>
      </c>
      <c r="AO487" s="2">
        <f t="shared" si="3563"/>
        <v>0.10258107213765719</v>
      </c>
      <c r="AP487" s="2">
        <f t="shared" si="3563"/>
        <v>6.4879356568364605E-2</v>
      </c>
      <c r="AQ487" s="2">
        <f t="shared" si="3563"/>
        <v>8.1753554502369666E-2</v>
      </c>
      <c r="AR487" s="2">
        <f t="shared" si="3569"/>
        <v>9.1330244870946389E-2</v>
      </c>
      <c r="AS487" s="2">
        <f t="shared" si="3564"/>
        <v>7.399463806970509E-2</v>
      </c>
      <c r="AT487" s="2">
        <f t="shared" si="3564"/>
        <v>6.990521327014218E-2</v>
      </c>
      <c r="AU487" s="2">
        <f t="shared" si="3570"/>
        <v>2.3901808785529714E-2</v>
      </c>
      <c r="AV487" s="2">
        <f t="shared" si="3570"/>
        <v>1.8421052631578946E-2</v>
      </c>
      <c r="AW487" s="2">
        <f t="shared" si="3570"/>
        <v>2.0881670533642691E-2</v>
      </c>
    </row>
    <row r="488" spans="1:49" ht="15.75" customHeight="1" x14ac:dyDescent="0.15">
      <c r="A488" s="1">
        <v>2025</v>
      </c>
      <c r="D488" t="s">
        <v>301</v>
      </c>
      <c r="E488">
        <v>89</v>
      </c>
      <c r="F488">
        <v>44</v>
      </c>
      <c r="G488">
        <v>133</v>
      </c>
      <c r="H488">
        <v>841</v>
      </c>
      <c r="I488">
        <v>744</v>
      </c>
      <c r="J488">
        <v>1585</v>
      </c>
      <c r="K488">
        <v>703</v>
      </c>
      <c r="L488">
        <v>763</v>
      </c>
      <c r="M488">
        <v>1466</v>
      </c>
      <c r="N488">
        <v>487</v>
      </c>
      <c r="O488">
        <v>610</v>
      </c>
      <c r="P488">
        <v>1097</v>
      </c>
      <c r="Q488">
        <v>330</v>
      </c>
      <c r="R488">
        <v>411</v>
      </c>
      <c r="S488">
        <v>741</v>
      </c>
      <c r="T488">
        <v>19</v>
      </c>
      <c r="U488">
        <v>34</v>
      </c>
      <c r="V488">
        <v>53</v>
      </c>
      <c r="W488" s="1">
        <f t="shared" si="3557"/>
        <v>2469</v>
      </c>
      <c r="X488" s="1">
        <f t="shared" si="3557"/>
        <v>2606</v>
      </c>
      <c r="Y488" s="1">
        <f t="shared" si="3565"/>
        <v>5075</v>
      </c>
      <c r="Z488" s="1">
        <f t="shared" si="3558"/>
        <v>2450</v>
      </c>
      <c r="AA488" s="1">
        <f t="shared" si="3558"/>
        <v>2572</v>
      </c>
      <c r="AB488" s="1">
        <f t="shared" si="3566"/>
        <v>5022</v>
      </c>
      <c r="AC488" s="1">
        <f t="shared" si="3559"/>
        <v>2120</v>
      </c>
      <c r="AD488" s="1">
        <f t="shared" si="3559"/>
        <v>2161</v>
      </c>
      <c r="AE488" s="1">
        <f t="shared" si="3567"/>
        <v>4281</v>
      </c>
      <c r="AF488" s="2">
        <f t="shared" si="3560"/>
        <v>0.86530612244897964</v>
      </c>
      <c r="AG488" s="2">
        <f t="shared" si="3560"/>
        <v>0.84020217729393465</v>
      </c>
      <c r="AH488" s="2">
        <f t="shared" si="3560"/>
        <v>0.85244922341696538</v>
      </c>
      <c r="AI488" s="1">
        <f t="shared" si="3561"/>
        <v>1633</v>
      </c>
      <c r="AJ488" s="1">
        <f t="shared" si="3561"/>
        <v>1551</v>
      </c>
      <c r="AK488" s="1">
        <f t="shared" si="3568"/>
        <v>3184</v>
      </c>
      <c r="AL488" s="2">
        <f t="shared" si="3562"/>
        <v>0.66653061224489796</v>
      </c>
      <c r="AM488" s="2">
        <f t="shared" si="3562"/>
        <v>0.60303265940902018</v>
      </c>
      <c r="AN488" s="2">
        <f t="shared" si="3562"/>
        <v>0.63401035444046194</v>
      </c>
      <c r="AO488" s="2">
        <f t="shared" si="3563"/>
        <v>3.6326530612244896E-2</v>
      </c>
      <c r="AP488" s="2">
        <f t="shared" si="3563"/>
        <v>1.7107309486780714E-2</v>
      </c>
      <c r="AQ488" s="2">
        <f t="shared" si="3563"/>
        <v>2.6483472720031861E-2</v>
      </c>
      <c r="AR488" s="2">
        <f t="shared" si="3569"/>
        <v>0.16775510204081634</v>
      </c>
      <c r="AS488" s="2">
        <f t="shared" si="3564"/>
        <v>0.15979782270606532</v>
      </c>
      <c r="AT488" s="2">
        <f t="shared" si="3564"/>
        <v>0.14755077658303464</v>
      </c>
      <c r="AU488" s="2">
        <f t="shared" si="3570"/>
        <v>7.6954232482786553E-3</v>
      </c>
      <c r="AV488" s="2">
        <f t="shared" si="3570"/>
        <v>1.3046815042210284E-2</v>
      </c>
      <c r="AW488" s="2">
        <f t="shared" si="3570"/>
        <v>1.0443349753694582E-2</v>
      </c>
    </row>
    <row r="489" spans="1:49" ht="15.75" customHeight="1" x14ac:dyDescent="0.15">
      <c r="A489" s="1">
        <v>2025</v>
      </c>
      <c r="C489" s="3" t="s">
        <v>99</v>
      </c>
      <c r="D489" t="s">
        <v>302</v>
      </c>
      <c r="E489">
        <v>156</v>
      </c>
      <c r="F489">
        <v>88</v>
      </c>
      <c r="G489">
        <v>244</v>
      </c>
      <c r="H489">
        <v>1055</v>
      </c>
      <c r="I489">
        <v>894</v>
      </c>
      <c r="J489">
        <v>1949</v>
      </c>
      <c r="K489">
        <v>547</v>
      </c>
      <c r="L489">
        <v>602</v>
      </c>
      <c r="M489">
        <v>1149</v>
      </c>
      <c r="N489">
        <v>260</v>
      </c>
      <c r="O489">
        <v>365</v>
      </c>
      <c r="P489">
        <v>625</v>
      </c>
      <c r="Q489">
        <v>262</v>
      </c>
      <c r="R489">
        <v>354</v>
      </c>
      <c r="S489">
        <v>616</v>
      </c>
      <c r="T489">
        <v>60</v>
      </c>
      <c r="U489">
        <v>73</v>
      </c>
      <c r="V489">
        <v>133</v>
      </c>
      <c r="W489" s="1">
        <f t="shared" ref="W489:X552" si="3571">SUM(E489,H489,K489,N489,Q489,T489)</f>
        <v>2340</v>
      </c>
      <c r="X489" s="1">
        <f t="shared" si="3571"/>
        <v>2376</v>
      </c>
      <c r="Y489" s="1">
        <f t="shared" si="3565"/>
        <v>4716</v>
      </c>
      <c r="Z489" s="1">
        <f t="shared" ref="Z489:AA552" si="3572">W489-T489</f>
        <v>2280</v>
      </c>
      <c r="AA489" s="1">
        <f t="shared" si="3572"/>
        <v>2303</v>
      </c>
      <c r="AB489" s="1">
        <f t="shared" si="3566"/>
        <v>4583</v>
      </c>
      <c r="AC489" s="1">
        <f t="shared" ref="AC489:AD552" si="3573">SUM(E489,H489,K489,N489)</f>
        <v>2018</v>
      </c>
      <c r="AD489" s="1">
        <f t="shared" si="3573"/>
        <v>1949</v>
      </c>
      <c r="AE489" s="1">
        <f t="shared" si="3567"/>
        <v>3967</v>
      </c>
      <c r="AF489" s="2">
        <f t="shared" ref="AF489:AH552" si="3574">AC489/Z489</f>
        <v>0.88508771929824559</v>
      </c>
      <c r="AG489" s="2">
        <f t="shared" si="3574"/>
        <v>0.84628745115067305</v>
      </c>
      <c r="AH489" s="2">
        <f t="shared" si="3574"/>
        <v>0.86559022474361769</v>
      </c>
      <c r="AI489" s="1">
        <f t="shared" ref="AI489:AJ552" si="3575">SUM(E489,H489,K489)</f>
        <v>1758</v>
      </c>
      <c r="AJ489" s="1">
        <f t="shared" si="3575"/>
        <v>1584</v>
      </c>
      <c r="AK489" s="1">
        <f t="shared" si="3568"/>
        <v>3342</v>
      </c>
      <c r="AL489" s="2">
        <f t="shared" ref="AL489:AN552" si="3576">AI489/Z489</f>
        <v>0.77105263157894732</v>
      </c>
      <c r="AM489" s="2">
        <f t="shared" si="3576"/>
        <v>0.68779852366478511</v>
      </c>
      <c r="AN489" s="2">
        <f t="shared" si="3576"/>
        <v>0.72921667030329473</v>
      </c>
      <c r="AO489" s="2">
        <f t="shared" ref="AO489:AQ552" si="3577">E489/Z489</f>
        <v>6.8421052631578952E-2</v>
      </c>
      <c r="AP489" s="2">
        <f t="shared" si="3577"/>
        <v>3.8211029092488059E-2</v>
      </c>
      <c r="AQ489" s="2">
        <f t="shared" si="3577"/>
        <v>5.3240235653502076E-2</v>
      </c>
      <c r="AR489" s="2">
        <f t="shared" si="3569"/>
        <v>0.15526315789473685</v>
      </c>
      <c r="AS489" s="2">
        <f t="shared" ref="AS489:AT552" si="3578">R489/AA489</f>
        <v>0.15371254884932697</v>
      </c>
      <c r="AT489" s="2">
        <f t="shared" si="3578"/>
        <v>0.13440977525638229</v>
      </c>
      <c r="AU489" s="2">
        <f t="shared" si="3570"/>
        <v>2.564102564102564E-2</v>
      </c>
      <c r="AV489" s="2">
        <f t="shared" si="3570"/>
        <v>3.0723905723905723E-2</v>
      </c>
      <c r="AW489" s="2">
        <f t="shared" si="3570"/>
        <v>2.8201865988125529E-2</v>
      </c>
    </row>
    <row r="490" spans="1:49" ht="15.75" customHeight="1" x14ac:dyDescent="0.15">
      <c r="A490" s="1">
        <v>2025</v>
      </c>
      <c r="D490" t="s">
        <v>303</v>
      </c>
      <c r="E490">
        <v>1249</v>
      </c>
      <c r="F490">
        <v>1301</v>
      </c>
      <c r="G490">
        <v>2550</v>
      </c>
      <c r="H490">
        <v>1940</v>
      </c>
      <c r="I490">
        <v>2442</v>
      </c>
      <c r="J490">
        <v>4382</v>
      </c>
      <c r="K490">
        <v>364</v>
      </c>
      <c r="L490">
        <v>427</v>
      </c>
      <c r="M490">
        <v>791</v>
      </c>
      <c r="N490">
        <v>166</v>
      </c>
      <c r="O490">
        <v>232</v>
      </c>
      <c r="P490">
        <v>398</v>
      </c>
      <c r="Q490">
        <v>124</v>
      </c>
      <c r="R490">
        <v>137</v>
      </c>
      <c r="S490">
        <v>261</v>
      </c>
      <c r="T490">
        <v>26</v>
      </c>
      <c r="U490">
        <v>42</v>
      </c>
      <c r="V490">
        <v>68</v>
      </c>
      <c r="W490" s="1">
        <f t="shared" si="3571"/>
        <v>3869</v>
      </c>
      <c r="X490" s="1">
        <f t="shared" si="3571"/>
        <v>4581</v>
      </c>
      <c r="Y490" s="1">
        <f t="shared" si="3565"/>
        <v>8450</v>
      </c>
      <c r="Z490" s="1">
        <f t="shared" si="3572"/>
        <v>3843</v>
      </c>
      <c r="AA490" s="1">
        <f t="shared" si="3572"/>
        <v>4539</v>
      </c>
      <c r="AB490" s="1">
        <f t="shared" si="3566"/>
        <v>8382</v>
      </c>
      <c r="AC490" s="1">
        <f t="shared" si="3573"/>
        <v>3719</v>
      </c>
      <c r="AD490" s="1">
        <f t="shared" si="3573"/>
        <v>4402</v>
      </c>
      <c r="AE490" s="1">
        <f t="shared" si="3567"/>
        <v>8121</v>
      </c>
      <c r="AF490" s="2">
        <f t="shared" si="3574"/>
        <v>0.96773354150403335</v>
      </c>
      <c r="AG490" s="2">
        <f t="shared" si="3574"/>
        <v>0.96981714033928179</v>
      </c>
      <c r="AH490" s="2">
        <f t="shared" si="3574"/>
        <v>0.96886184681460275</v>
      </c>
      <c r="AI490" s="1">
        <f t="shared" si="3575"/>
        <v>3553</v>
      </c>
      <c r="AJ490" s="1">
        <f t="shared" si="3575"/>
        <v>4170</v>
      </c>
      <c r="AK490" s="1">
        <f t="shared" si="3568"/>
        <v>7723</v>
      </c>
      <c r="AL490" s="2">
        <f t="shared" si="3576"/>
        <v>0.92453812125943269</v>
      </c>
      <c r="AM490" s="2">
        <f t="shared" si="3576"/>
        <v>0.91870456047587579</v>
      </c>
      <c r="AN490" s="2">
        <f t="shared" si="3576"/>
        <v>0.92137914578859459</v>
      </c>
      <c r="AO490" s="2">
        <f t="shared" si="3577"/>
        <v>0.3250065053343742</v>
      </c>
      <c r="AP490" s="2">
        <f t="shared" si="3577"/>
        <v>0.28662701035470367</v>
      </c>
      <c r="AQ490" s="2">
        <f t="shared" si="3577"/>
        <v>0.30422333571939869</v>
      </c>
      <c r="AR490" s="2">
        <f t="shared" si="3569"/>
        <v>3.5649232370543849E-2</v>
      </c>
      <c r="AS490" s="2">
        <f t="shared" si="3578"/>
        <v>3.0182859660718219E-2</v>
      </c>
      <c r="AT490" s="2">
        <f t="shared" si="3578"/>
        <v>3.1138153185397279E-2</v>
      </c>
      <c r="AU490" s="2">
        <f t="shared" si="3570"/>
        <v>6.7200827087102611E-3</v>
      </c>
      <c r="AV490" s="2">
        <f t="shared" si="3570"/>
        <v>9.1683038637852005E-3</v>
      </c>
      <c r="AW490" s="2">
        <f t="shared" si="3570"/>
        <v>8.0473372781065082E-3</v>
      </c>
    </row>
    <row r="491" spans="1:49" ht="15.75" customHeight="1" x14ac:dyDescent="0.15">
      <c r="A491" s="1">
        <v>2025</v>
      </c>
      <c r="C491" s="3" t="s">
        <v>54</v>
      </c>
      <c r="D491" t="s">
        <v>304</v>
      </c>
      <c r="E491">
        <v>308</v>
      </c>
      <c r="F491">
        <v>284</v>
      </c>
      <c r="G491">
        <v>592</v>
      </c>
      <c r="H491">
        <v>1126</v>
      </c>
      <c r="I491">
        <v>1218</v>
      </c>
      <c r="J491">
        <v>2344</v>
      </c>
      <c r="K491">
        <v>115</v>
      </c>
      <c r="L491">
        <v>171</v>
      </c>
      <c r="M491">
        <v>286</v>
      </c>
      <c r="N491">
        <v>35</v>
      </c>
      <c r="O491">
        <v>42</v>
      </c>
      <c r="P491">
        <v>77</v>
      </c>
      <c r="Q491">
        <v>4</v>
      </c>
      <c r="R491">
        <v>18</v>
      </c>
      <c r="S491">
        <v>22</v>
      </c>
      <c r="T491">
        <v>14</v>
      </c>
      <c r="U491">
        <v>23</v>
      </c>
      <c r="V491">
        <v>37</v>
      </c>
      <c r="W491" s="1">
        <f t="shared" si="3571"/>
        <v>1602</v>
      </c>
      <c r="X491" s="1">
        <f t="shared" si="3571"/>
        <v>1756</v>
      </c>
      <c r="Y491" s="1">
        <f t="shared" si="3565"/>
        <v>3358</v>
      </c>
      <c r="Z491" s="1">
        <f t="shared" si="3572"/>
        <v>1588</v>
      </c>
      <c r="AA491" s="1">
        <f t="shared" si="3572"/>
        <v>1733</v>
      </c>
      <c r="AB491" s="1">
        <f t="shared" si="3566"/>
        <v>3321</v>
      </c>
      <c r="AC491" s="1">
        <f t="shared" si="3573"/>
        <v>1584</v>
      </c>
      <c r="AD491" s="1">
        <f t="shared" si="3573"/>
        <v>1715</v>
      </c>
      <c r="AE491" s="1">
        <f t="shared" si="3567"/>
        <v>3299</v>
      </c>
      <c r="AF491" s="2">
        <f t="shared" si="3574"/>
        <v>0.9974811083123426</v>
      </c>
      <c r="AG491" s="2">
        <f t="shared" si="3574"/>
        <v>0.98961338718984415</v>
      </c>
      <c r="AH491" s="2">
        <f t="shared" si="3574"/>
        <v>0.99337548931044861</v>
      </c>
      <c r="AI491" s="1">
        <f t="shared" si="3575"/>
        <v>1549</v>
      </c>
      <c r="AJ491" s="1">
        <f t="shared" si="3575"/>
        <v>1673</v>
      </c>
      <c r="AK491" s="1">
        <f t="shared" si="3568"/>
        <v>3222</v>
      </c>
      <c r="AL491" s="2">
        <f t="shared" si="3576"/>
        <v>0.97544080604534</v>
      </c>
      <c r="AM491" s="2">
        <f t="shared" si="3576"/>
        <v>0.96537795729948062</v>
      </c>
      <c r="AN491" s="2">
        <f t="shared" si="3576"/>
        <v>0.97018970189701892</v>
      </c>
      <c r="AO491" s="2">
        <f t="shared" si="3577"/>
        <v>0.19395465994962216</v>
      </c>
      <c r="AP491" s="2">
        <f t="shared" si="3577"/>
        <v>0.16387766878245816</v>
      </c>
      <c r="AQ491" s="2">
        <f t="shared" si="3577"/>
        <v>0.1782595603733815</v>
      </c>
      <c r="AR491" s="2">
        <f t="shared" si="3569"/>
        <v>1.1335012594458438E-2</v>
      </c>
      <c r="AS491" s="2">
        <f t="shared" si="3578"/>
        <v>1.03866128101558E-2</v>
      </c>
      <c r="AT491" s="2">
        <f t="shared" si="3578"/>
        <v>6.6245106895513398E-3</v>
      </c>
      <c r="AU491" s="2">
        <f t="shared" si="3570"/>
        <v>8.7390761548064924E-3</v>
      </c>
      <c r="AV491" s="2">
        <f t="shared" si="3570"/>
        <v>1.3097949886104784E-2</v>
      </c>
      <c r="AW491" s="2">
        <f t="shared" si="3570"/>
        <v>1.1018463371054199E-2</v>
      </c>
    </row>
    <row r="492" spans="1:49" ht="15.75" customHeight="1" x14ac:dyDescent="0.15">
      <c r="A492" s="1">
        <v>2025</v>
      </c>
      <c r="D492" t="s">
        <v>305</v>
      </c>
      <c r="E492">
        <v>232</v>
      </c>
      <c r="F492">
        <v>114</v>
      </c>
      <c r="G492">
        <v>346</v>
      </c>
      <c r="H492">
        <v>1479</v>
      </c>
      <c r="I492">
        <v>1024</v>
      </c>
      <c r="J492">
        <v>2503</v>
      </c>
      <c r="K492">
        <v>756</v>
      </c>
      <c r="L492">
        <v>787</v>
      </c>
      <c r="M492">
        <v>1543</v>
      </c>
      <c r="N492">
        <v>291</v>
      </c>
      <c r="O492">
        <v>299</v>
      </c>
      <c r="P492">
        <v>590</v>
      </c>
      <c r="Q492">
        <v>255</v>
      </c>
      <c r="R492">
        <v>378</v>
      </c>
      <c r="S492">
        <v>633</v>
      </c>
      <c r="T492">
        <v>19</v>
      </c>
      <c r="U492">
        <v>22</v>
      </c>
      <c r="V492">
        <v>41</v>
      </c>
      <c r="W492" s="1">
        <f t="shared" si="3571"/>
        <v>3032</v>
      </c>
      <c r="X492" s="1">
        <f t="shared" si="3571"/>
        <v>2624</v>
      </c>
      <c r="Y492" s="1">
        <f t="shared" si="3565"/>
        <v>5656</v>
      </c>
      <c r="Z492" s="1">
        <f t="shared" si="3572"/>
        <v>3013</v>
      </c>
      <c r="AA492" s="1">
        <f t="shared" si="3572"/>
        <v>2602</v>
      </c>
      <c r="AB492" s="1">
        <f t="shared" si="3566"/>
        <v>5615</v>
      </c>
      <c r="AC492" s="1">
        <f t="shared" si="3573"/>
        <v>2758</v>
      </c>
      <c r="AD492" s="1">
        <f t="shared" si="3573"/>
        <v>2224</v>
      </c>
      <c r="AE492" s="1">
        <f t="shared" si="3567"/>
        <v>4982</v>
      </c>
      <c r="AF492" s="2">
        <f t="shared" si="3574"/>
        <v>0.91536674410886165</v>
      </c>
      <c r="AG492" s="2">
        <f t="shared" si="3574"/>
        <v>0.85472713297463487</v>
      </c>
      <c r="AH492" s="2">
        <f t="shared" si="3574"/>
        <v>0.88726625111308999</v>
      </c>
      <c r="AI492" s="1">
        <f t="shared" si="3575"/>
        <v>2467</v>
      </c>
      <c r="AJ492" s="1">
        <f t="shared" si="3575"/>
        <v>1925</v>
      </c>
      <c r="AK492" s="1">
        <f t="shared" si="3568"/>
        <v>4392</v>
      </c>
      <c r="AL492" s="2">
        <f t="shared" si="3576"/>
        <v>0.81878526385662131</v>
      </c>
      <c r="AM492" s="2">
        <f t="shared" si="3576"/>
        <v>0.73981552651806304</v>
      </c>
      <c r="AN492" s="2">
        <f t="shared" si="3576"/>
        <v>0.78219056099732853</v>
      </c>
      <c r="AO492" s="2">
        <f t="shared" si="3577"/>
        <v>7.6999668104878863E-2</v>
      </c>
      <c r="AP492" s="2">
        <f t="shared" si="3577"/>
        <v>4.3812451960030745E-2</v>
      </c>
      <c r="AQ492" s="2">
        <f t="shared" si="3577"/>
        <v>6.1620658949243096E-2</v>
      </c>
      <c r="AR492" s="2">
        <f t="shared" si="3569"/>
        <v>0.12545635579156986</v>
      </c>
      <c r="AS492" s="2">
        <f t="shared" si="3578"/>
        <v>0.1452728670253651</v>
      </c>
      <c r="AT492" s="2">
        <f t="shared" si="3578"/>
        <v>0.11273374888691007</v>
      </c>
      <c r="AU492" s="2">
        <f t="shared" si="3570"/>
        <v>6.2664907651715038E-3</v>
      </c>
      <c r="AV492" s="2">
        <f t="shared" si="3570"/>
        <v>8.3841463414634151E-3</v>
      </c>
      <c r="AW492" s="2">
        <f t="shared" si="3570"/>
        <v>7.2489391796322486E-3</v>
      </c>
    </row>
    <row r="493" spans="1:49" ht="15.75" customHeight="1" x14ac:dyDescent="0.15">
      <c r="A493" s="1">
        <v>2025</v>
      </c>
      <c r="D493" t="s">
        <v>306</v>
      </c>
      <c r="E493">
        <v>166</v>
      </c>
      <c r="F493">
        <v>182</v>
      </c>
      <c r="G493">
        <v>348</v>
      </c>
      <c r="H493">
        <v>225</v>
      </c>
      <c r="I493">
        <v>372</v>
      </c>
      <c r="J493">
        <v>597</v>
      </c>
      <c r="K493">
        <v>16</v>
      </c>
      <c r="L493">
        <v>31</v>
      </c>
      <c r="M493">
        <v>47</v>
      </c>
      <c r="N493">
        <v>4</v>
      </c>
      <c r="O493">
        <v>10</v>
      </c>
      <c r="P493">
        <v>14</v>
      </c>
      <c r="Q493">
        <v>0</v>
      </c>
      <c r="R493">
        <v>0</v>
      </c>
      <c r="S493">
        <v>0</v>
      </c>
      <c r="T493">
        <v>3</v>
      </c>
      <c r="U493">
        <v>6</v>
      </c>
      <c r="V493">
        <v>9</v>
      </c>
      <c r="W493" s="1">
        <f t="shared" si="3571"/>
        <v>414</v>
      </c>
      <c r="X493" s="1">
        <f t="shared" si="3571"/>
        <v>601</v>
      </c>
      <c r="Y493" s="1">
        <f t="shared" si="3565"/>
        <v>1015</v>
      </c>
      <c r="Z493" s="1">
        <f t="shared" si="3572"/>
        <v>411</v>
      </c>
      <c r="AA493" s="1">
        <f t="shared" si="3572"/>
        <v>595</v>
      </c>
      <c r="AB493" s="1">
        <f t="shared" si="3566"/>
        <v>1006</v>
      </c>
      <c r="AC493" s="1">
        <f t="shared" si="3573"/>
        <v>411</v>
      </c>
      <c r="AD493" s="1">
        <f t="shared" si="3573"/>
        <v>595</v>
      </c>
      <c r="AE493" s="1">
        <f t="shared" si="3567"/>
        <v>1006</v>
      </c>
      <c r="AF493" s="2">
        <f t="shared" si="3574"/>
        <v>1</v>
      </c>
      <c r="AG493" s="2">
        <f t="shared" si="3574"/>
        <v>1</v>
      </c>
      <c r="AH493" s="2">
        <f t="shared" si="3574"/>
        <v>1</v>
      </c>
      <c r="AI493" s="1">
        <f t="shared" si="3575"/>
        <v>407</v>
      </c>
      <c r="AJ493" s="1">
        <f t="shared" si="3575"/>
        <v>585</v>
      </c>
      <c r="AK493" s="1">
        <f t="shared" si="3568"/>
        <v>992</v>
      </c>
      <c r="AL493" s="2">
        <f t="shared" si="3576"/>
        <v>0.99026763990267641</v>
      </c>
      <c r="AM493" s="2">
        <f t="shared" si="3576"/>
        <v>0.98319327731092432</v>
      </c>
      <c r="AN493" s="2">
        <f t="shared" si="3576"/>
        <v>0.98608349900596426</v>
      </c>
      <c r="AO493" s="2">
        <f t="shared" si="3577"/>
        <v>0.40389294403892945</v>
      </c>
      <c r="AP493" s="2">
        <f t="shared" si="3577"/>
        <v>0.30588235294117649</v>
      </c>
      <c r="AQ493" s="2">
        <f t="shared" si="3577"/>
        <v>0.34592445328031807</v>
      </c>
      <c r="AR493" s="2">
        <f t="shared" si="3569"/>
        <v>0</v>
      </c>
      <c r="AS493" s="2">
        <f t="shared" si="3578"/>
        <v>0</v>
      </c>
      <c r="AT493" s="2">
        <f t="shared" si="3578"/>
        <v>0</v>
      </c>
      <c r="AU493" s="2">
        <f t="shared" si="3570"/>
        <v>7.246376811594203E-3</v>
      </c>
      <c r="AV493" s="2">
        <f t="shared" si="3570"/>
        <v>9.9833610648918467E-3</v>
      </c>
      <c r="AW493" s="2">
        <f t="shared" si="3570"/>
        <v>8.8669950738916262E-3</v>
      </c>
    </row>
    <row r="494" spans="1:49" ht="15.75" customHeight="1" x14ac:dyDescent="0.15">
      <c r="A494" s="1">
        <v>2025</v>
      </c>
      <c r="D494" t="s">
        <v>307</v>
      </c>
      <c r="E494">
        <v>180</v>
      </c>
      <c r="F494">
        <v>145</v>
      </c>
      <c r="G494">
        <v>325</v>
      </c>
      <c r="H494">
        <v>943</v>
      </c>
      <c r="I494">
        <v>1201</v>
      </c>
      <c r="J494">
        <v>2144</v>
      </c>
      <c r="K494">
        <v>497</v>
      </c>
      <c r="L494">
        <v>699</v>
      </c>
      <c r="M494">
        <v>1196</v>
      </c>
      <c r="N494">
        <v>321</v>
      </c>
      <c r="O494">
        <v>560</v>
      </c>
      <c r="P494">
        <v>881</v>
      </c>
      <c r="Q494">
        <v>247</v>
      </c>
      <c r="R494">
        <v>476</v>
      </c>
      <c r="S494">
        <v>723</v>
      </c>
      <c r="T494">
        <v>40</v>
      </c>
      <c r="U494">
        <v>40</v>
      </c>
      <c r="V494">
        <v>80</v>
      </c>
      <c r="W494" s="1">
        <f t="shared" si="3571"/>
        <v>2228</v>
      </c>
      <c r="X494" s="1">
        <f t="shared" si="3571"/>
        <v>3121</v>
      </c>
      <c r="Y494" s="1">
        <f t="shared" si="3565"/>
        <v>5349</v>
      </c>
      <c r="Z494" s="1">
        <f t="shared" si="3572"/>
        <v>2188</v>
      </c>
      <c r="AA494" s="1">
        <f t="shared" si="3572"/>
        <v>3081</v>
      </c>
      <c r="AB494" s="1">
        <f t="shared" si="3566"/>
        <v>5269</v>
      </c>
      <c r="AC494" s="1">
        <f t="shared" si="3573"/>
        <v>1941</v>
      </c>
      <c r="AD494" s="1">
        <f t="shared" si="3573"/>
        <v>2605</v>
      </c>
      <c r="AE494" s="1">
        <f t="shared" si="3567"/>
        <v>4546</v>
      </c>
      <c r="AF494" s="2">
        <f t="shared" si="3574"/>
        <v>0.88711151736745886</v>
      </c>
      <c r="AG494" s="2">
        <f t="shared" si="3574"/>
        <v>0.84550470626419993</v>
      </c>
      <c r="AH494" s="2">
        <f t="shared" si="3574"/>
        <v>0.86278231163408614</v>
      </c>
      <c r="AI494" s="1">
        <f t="shared" si="3575"/>
        <v>1620</v>
      </c>
      <c r="AJ494" s="1">
        <f t="shared" si="3575"/>
        <v>2045</v>
      </c>
      <c r="AK494" s="1">
        <f t="shared" si="3568"/>
        <v>3665</v>
      </c>
      <c r="AL494" s="2">
        <f t="shared" si="3576"/>
        <v>0.74040219378427785</v>
      </c>
      <c r="AM494" s="2">
        <f t="shared" si="3576"/>
        <v>0.66374553716325868</v>
      </c>
      <c r="AN494" s="2">
        <f t="shared" si="3576"/>
        <v>0.69557790852154111</v>
      </c>
      <c r="AO494" s="2">
        <f t="shared" si="3577"/>
        <v>8.226691042047532E-2</v>
      </c>
      <c r="AP494" s="2">
        <f t="shared" si="3577"/>
        <v>4.7062641999350861E-2</v>
      </c>
      <c r="AQ494" s="2">
        <f t="shared" si="3577"/>
        <v>6.1681533497817423E-2</v>
      </c>
      <c r="AR494" s="2">
        <f t="shared" si="3569"/>
        <v>0.21755027422303475</v>
      </c>
      <c r="AS494" s="2">
        <f t="shared" si="3578"/>
        <v>0.15449529373580007</v>
      </c>
      <c r="AT494" s="2">
        <f t="shared" si="3578"/>
        <v>0.13721768836591383</v>
      </c>
      <c r="AU494" s="2">
        <f t="shared" si="3570"/>
        <v>1.7953321364452424E-2</v>
      </c>
      <c r="AV494" s="2">
        <f t="shared" si="3570"/>
        <v>1.2816404998397949E-2</v>
      </c>
      <c r="AW494" s="2">
        <f t="shared" si="3570"/>
        <v>1.4956066554496168E-2</v>
      </c>
    </row>
    <row r="495" spans="1:49" ht="15.75" customHeight="1" x14ac:dyDescent="0.15">
      <c r="A495" s="1">
        <v>2025</v>
      </c>
      <c r="D495" t="s">
        <v>308</v>
      </c>
      <c r="E495">
        <v>151</v>
      </c>
      <c r="F495">
        <v>186</v>
      </c>
      <c r="G495">
        <v>337</v>
      </c>
      <c r="H495">
        <v>774</v>
      </c>
      <c r="I495">
        <v>909</v>
      </c>
      <c r="J495">
        <v>1683</v>
      </c>
      <c r="K495">
        <v>261</v>
      </c>
      <c r="L495">
        <v>318</v>
      </c>
      <c r="M495">
        <v>579</v>
      </c>
      <c r="N495">
        <v>93</v>
      </c>
      <c r="O495">
        <v>106</v>
      </c>
      <c r="P495">
        <v>199</v>
      </c>
      <c r="Q495">
        <v>32</v>
      </c>
      <c r="R495">
        <v>55</v>
      </c>
      <c r="S495">
        <v>87</v>
      </c>
      <c r="T495">
        <v>26</v>
      </c>
      <c r="U495">
        <v>15</v>
      </c>
      <c r="V495">
        <v>41</v>
      </c>
      <c r="W495" s="1">
        <f t="shared" si="3571"/>
        <v>1337</v>
      </c>
      <c r="X495" s="1">
        <f t="shared" si="3571"/>
        <v>1589</v>
      </c>
      <c r="Y495" s="1">
        <f t="shared" si="3565"/>
        <v>2926</v>
      </c>
      <c r="Z495" s="1">
        <f t="shared" si="3572"/>
        <v>1311</v>
      </c>
      <c r="AA495" s="1">
        <f t="shared" si="3572"/>
        <v>1574</v>
      </c>
      <c r="AB495" s="1">
        <f t="shared" si="3566"/>
        <v>2885</v>
      </c>
      <c r="AC495" s="1">
        <f t="shared" si="3573"/>
        <v>1279</v>
      </c>
      <c r="AD495" s="1">
        <f t="shared" si="3573"/>
        <v>1519</v>
      </c>
      <c r="AE495" s="1">
        <f t="shared" si="3567"/>
        <v>2798</v>
      </c>
      <c r="AF495" s="2">
        <f t="shared" si="3574"/>
        <v>0.97559115179252476</v>
      </c>
      <c r="AG495" s="2">
        <f t="shared" si="3574"/>
        <v>0.96505717916137235</v>
      </c>
      <c r="AH495" s="2">
        <f t="shared" si="3574"/>
        <v>0.96984402079722709</v>
      </c>
      <c r="AI495" s="1">
        <f t="shared" si="3575"/>
        <v>1186</v>
      </c>
      <c r="AJ495" s="1">
        <f t="shared" si="3575"/>
        <v>1413</v>
      </c>
      <c r="AK495" s="1">
        <f t="shared" si="3568"/>
        <v>2599</v>
      </c>
      <c r="AL495" s="2">
        <f t="shared" si="3576"/>
        <v>0.90465293668954994</v>
      </c>
      <c r="AM495" s="2">
        <f t="shared" si="3576"/>
        <v>0.897712833545108</v>
      </c>
      <c r="AN495" s="2">
        <f t="shared" si="3576"/>
        <v>0.90086655112651648</v>
      </c>
      <c r="AO495" s="2">
        <f t="shared" si="3577"/>
        <v>0.11517925247902365</v>
      </c>
      <c r="AP495" s="2">
        <f t="shared" si="3577"/>
        <v>0.1181702668360864</v>
      </c>
      <c r="AQ495" s="2">
        <f t="shared" si="3577"/>
        <v>0.11681109185441942</v>
      </c>
      <c r="AR495" s="2">
        <f t="shared" si="3569"/>
        <v>4.1952707856598014E-2</v>
      </c>
      <c r="AS495" s="2">
        <f t="shared" si="3578"/>
        <v>3.4942820838627701E-2</v>
      </c>
      <c r="AT495" s="2">
        <f t="shared" si="3578"/>
        <v>3.0155979202772965E-2</v>
      </c>
      <c r="AU495" s="2">
        <f t="shared" si="3570"/>
        <v>1.944652206432311E-2</v>
      </c>
      <c r="AV495" s="2">
        <f t="shared" si="3570"/>
        <v>9.4398993077407182E-3</v>
      </c>
      <c r="AW495" s="2">
        <f t="shared" si="3570"/>
        <v>1.4012303485987697E-2</v>
      </c>
    </row>
    <row r="496" spans="1:49" ht="15.75" customHeight="1" x14ac:dyDescent="0.15">
      <c r="A496" s="1">
        <v>2025</v>
      </c>
      <c r="C496" s="3" t="s">
        <v>78</v>
      </c>
      <c r="D496" t="s">
        <v>309</v>
      </c>
      <c r="E496">
        <v>119</v>
      </c>
      <c r="F496">
        <v>105</v>
      </c>
      <c r="G496">
        <v>224</v>
      </c>
      <c r="H496">
        <v>349</v>
      </c>
      <c r="I496">
        <v>324</v>
      </c>
      <c r="J496">
        <v>673</v>
      </c>
      <c r="K496">
        <v>35</v>
      </c>
      <c r="L496">
        <v>64</v>
      </c>
      <c r="M496">
        <v>99</v>
      </c>
      <c r="N496">
        <v>12</v>
      </c>
      <c r="O496">
        <v>16</v>
      </c>
      <c r="P496">
        <v>28</v>
      </c>
      <c r="Q496">
        <v>16</v>
      </c>
      <c r="R496">
        <v>14</v>
      </c>
      <c r="S496">
        <v>30</v>
      </c>
      <c r="T496">
        <v>3</v>
      </c>
      <c r="U496">
        <v>0</v>
      </c>
      <c r="V496">
        <v>3</v>
      </c>
      <c r="W496" s="1">
        <f t="shared" si="3571"/>
        <v>534</v>
      </c>
      <c r="X496" s="1">
        <f t="shared" si="3571"/>
        <v>523</v>
      </c>
      <c r="Y496" s="1">
        <f t="shared" si="3565"/>
        <v>1057</v>
      </c>
      <c r="Z496" s="1">
        <f t="shared" si="3572"/>
        <v>531</v>
      </c>
      <c r="AA496" s="1">
        <f t="shared" si="3572"/>
        <v>523</v>
      </c>
      <c r="AB496" s="1">
        <f t="shared" si="3566"/>
        <v>1054</v>
      </c>
      <c r="AC496" s="1">
        <f t="shared" si="3573"/>
        <v>515</v>
      </c>
      <c r="AD496" s="1">
        <f t="shared" si="3573"/>
        <v>509</v>
      </c>
      <c r="AE496" s="1">
        <f t="shared" si="3567"/>
        <v>1024</v>
      </c>
      <c r="AF496" s="2">
        <f t="shared" si="3574"/>
        <v>0.96986817325800379</v>
      </c>
      <c r="AG496" s="2">
        <f t="shared" si="3574"/>
        <v>0.97323135755258128</v>
      </c>
      <c r="AH496" s="2">
        <f t="shared" si="3574"/>
        <v>0.97153700189753323</v>
      </c>
      <c r="AI496" s="1">
        <f t="shared" si="3575"/>
        <v>503</v>
      </c>
      <c r="AJ496" s="1">
        <f t="shared" si="3575"/>
        <v>493</v>
      </c>
      <c r="AK496" s="1">
        <f t="shared" si="3568"/>
        <v>996</v>
      </c>
      <c r="AL496" s="2">
        <f t="shared" si="3576"/>
        <v>0.9472693032015066</v>
      </c>
      <c r="AM496" s="2">
        <f t="shared" si="3576"/>
        <v>0.9426386233269598</v>
      </c>
      <c r="AN496" s="2">
        <f t="shared" si="3576"/>
        <v>0.94497153700189751</v>
      </c>
      <c r="AO496" s="2">
        <f t="shared" si="3577"/>
        <v>0.22410546139359699</v>
      </c>
      <c r="AP496" s="2">
        <f t="shared" si="3577"/>
        <v>0.20076481835564053</v>
      </c>
      <c r="AQ496" s="2">
        <f t="shared" si="3577"/>
        <v>0.21252371916508539</v>
      </c>
      <c r="AR496" s="2">
        <f t="shared" si="3569"/>
        <v>2.6365348399246705E-2</v>
      </c>
      <c r="AS496" s="2">
        <f t="shared" si="3578"/>
        <v>2.676864244741874E-2</v>
      </c>
      <c r="AT496" s="2">
        <f t="shared" si="3578"/>
        <v>2.8462998102466792E-2</v>
      </c>
      <c r="AU496" s="2">
        <f t="shared" si="3570"/>
        <v>5.6179775280898875E-3</v>
      </c>
      <c r="AV496" s="2">
        <f t="shared" si="3570"/>
        <v>0</v>
      </c>
      <c r="AW496" s="2">
        <f t="shared" si="3570"/>
        <v>2.8382213812677389E-3</v>
      </c>
    </row>
    <row r="497" spans="1:49" ht="15.75" customHeight="1" x14ac:dyDescent="0.15">
      <c r="A497" s="1">
        <v>2025</v>
      </c>
      <c r="C497" s="3" t="s">
        <v>78</v>
      </c>
      <c r="D497" t="s">
        <v>310</v>
      </c>
      <c r="E497">
        <v>20</v>
      </c>
      <c r="F497">
        <v>11</v>
      </c>
      <c r="G497">
        <v>31</v>
      </c>
      <c r="H497">
        <v>401</v>
      </c>
      <c r="I497">
        <v>251</v>
      </c>
      <c r="J497">
        <v>652</v>
      </c>
      <c r="K497">
        <v>460</v>
      </c>
      <c r="L497">
        <v>391</v>
      </c>
      <c r="M497">
        <v>851</v>
      </c>
      <c r="N497">
        <v>290</v>
      </c>
      <c r="O497">
        <v>237</v>
      </c>
      <c r="P497">
        <v>527</v>
      </c>
      <c r="Q497">
        <v>379</v>
      </c>
      <c r="R497">
        <v>452</v>
      </c>
      <c r="S497">
        <v>831</v>
      </c>
      <c r="T497">
        <v>18</v>
      </c>
      <c r="U497">
        <v>29</v>
      </c>
      <c r="V497">
        <v>47</v>
      </c>
      <c r="W497" s="1">
        <f t="shared" si="3571"/>
        <v>1568</v>
      </c>
      <c r="X497" s="1">
        <f t="shared" si="3571"/>
        <v>1371</v>
      </c>
      <c r="Y497" s="1">
        <f t="shared" si="3565"/>
        <v>2939</v>
      </c>
      <c r="Z497" s="1">
        <f t="shared" si="3572"/>
        <v>1550</v>
      </c>
      <c r="AA497" s="1">
        <f t="shared" si="3572"/>
        <v>1342</v>
      </c>
      <c r="AB497" s="1">
        <f t="shared" si="3566"/>
        <v>2892</v>
      </c>
      <c r="AC497" s="1">
        <f t="shared" si="3573"/>
        <v>1171</v>
      </c>
      <c r="AD497" s="1">
        <f t="shared" si="3573"/>
        <v>890</v>
      </c>
      <c r="AE497" s="1">
        <f t="shared" si="3567"/>
        <v>2061</v>
      </c>
      <c r="AF497" s="2">
        <f t="shared" si="3574"/>
        <v>0.75548387096774194</v>
      </c>
      <c r="AG497" s="2">
        <f t="shared" si="3574"/>
        <v>0.66318926974664683</v>
      </c>
      <c r="AH497" s="2">
        <f t="shared" si="3574"/>
        <v>0.71265560165975106</v>
      </c>
      <c r="AI497" s="1">
        <f t="shared" si="3575"/>
        <v>881</v>
      </c>
      <c r="AJ497" s="1">
        <f t="shared" si="3575"/>
        <v>653</v>
      </c>
      <c r="AK497" s="1">
        <f t="shared" si="3568"/>
        <v>1534</v>
      </c>
      <c r="AL497" s="2">
        <f t="shared" si="3576"/>
        <v>0.56838709677419352</v>
      </c>
      <c r="AM497" s="2">
        <f t="shared" si="3576"/>
        <v>0.48658718330849476</v>
      </c>
      <c r="AN497" s="2">
        <f t="shared" si="3576"/>
        <v>0.53042876901798064</v>
      </c>
      <c r="AO497" s="2">
        <f t="shared" si="3577"/>
        <v>1.2903225806451613E-2</v>
      </c>
      <c r="AP497" s="2">
        <f t="shared" si="3577"/>
        <v>8.1967213114754103E-3</v>
      </c>
      <c r="AQ497" s="2">
        <f t="shared" si="3577"/>
        <v>1.0719225449515906E-2</v>
      </c>
      <c r="AR497" s="2">
        <f t="shared" si="3569"/>
        <v>0.29161290322580646</v>
      </c>
      <c r="AS497" s="2">
        <f t="shared" si="3578"/>
        <v>0.33681073025335323</v>
      </c>
      <c r="AT497" s="2">
        <f t="shared" si="3578"/>
        <v>0.28734439834024894</v>
      </c>
      <c r="AU497" s="2">
        <f t="shared" si="3570"/>
        <v>1.1479591836734694E-2</v>
      </c>
      <c r="AV497" s="2">
        <f t="shared" si="3570"/>
        <v>2.1152443471918306E-2</v>
      </c>
      <c r="AW497" s="2">
        <f t="shared" si="3570"/>
        <v>1.5991833957128276E-2</v>
      </c>
    </row>
    <row r="498" spans="1:49" ht="15.75" customHeight="1" x14ac:dyDescent="0.15">
      <c r="A498" s="1">
        <v>2025</v>
      </c>
      <c r="C498" s="3" t="s">
        <v>67</v>
      </c>
      <c r="D498" t="s">
        <v>311</v>
      </c>
      <c r="E498">
        <v>66</v>
      </c>
      <c r="F498">
        <v>32</v>
      </c>
      <c r="G498">
        <v>98</v>
      </c>
      <c r="H498">
        <v>436</v>
      </c>
      <c r="I498">
        <v>318</v>
      </c>
      <c r="J498">
        <v>754</v>
      </c>
      <c r="K498">
        <v>238</v>
      </c>
      <c r="L498">
        <v>310</v>
      </c>
      <c r="M498">
        <v>548</v>
      </c>
      <c r="N498">
        <v>78</v>
      </c>
      <c r="O498">
        <v>121</v>
      </c>
      <c r="P498">
        <v>199</v>
      </c>
      <c r="Q498">
        <v>103</v>
      </c>
      <c r="R498">
        <v>129</v>
      </c>
      <c r="S498">
        <v>232</v>
      </c>
      <c r="T498">
        <v>5</v>
      </c>
      <c r="U498">
        <v>13</v>
      </c>
      <c r="V498">
        <v>18</v>
      </c>
      <c r="W498" s="1">
        <f t="shared" si="3571"/>
        <v>926</v>
      </c>
      <c r="X498" s="1">
        <f t="shared" si="3571"/>
        <v>923</v>
      </c>
      <c r="Y498" s="1">
        <f t="shared" si="3565"/>
        <v>1849</v>
      </c>
      <c r="Z498" s="1">
        <f t="shared" si="3572"/>
        <v>921</v>
      </c>
      <c r="AA498" s="1">
        <f t="shared" si="3572"/>
        <v>910</v>
      </c>
      <c r="AB498" s="1">
        <f t="shared" si="3566"/>
        <v>1831</v>
      </c>
      <c r="AC498" s="1">
        <f t="shared" si="3573"/>
        <v>818</v>
      </c>
      <c r="AD498" s="1">
        <f t="shared" si="3573"/>
        <v>781</v>
      </c>
      <c r="AE498" s="1">
        <f t="shared" si="3567"/>
        <v>1599</v>
      </c>
      <c r="AF498" s="2">
        <f t="shared" si="3574"/>
        <v>0.8881650380021715</v>
      </c>
      <c r="AG498" s="2">
        <f t="shared" si="3574"/>
        <v>0.85824175824175819</v>
      </c>
      <c r="AH498" s="2">
        <f t="shared" si="3574"/>
        <v>0.87329328235936643</v>
      </c>
      <c r="AI498" s="1">
        <f t="shared" si="3575"/>
        <v>740</v>
      </c>
      <c r="AJ498" s="1">
        <f t="shared" si="3575"/>
        <v>660</v>
      </c>
      <c r="AK498" s="1">
        <f t="shared" si="3568"/>
        <v>1400</v>
      </c>
      <c r="AL498" s="2">
        <f t="shared" si="3576"/>
        <v>0.80347448425624324</v>
      </c>
      <c r="AM498" s="2">
        <f t="shared" si="3576"/>
        <v>0.72527472527472525</v>
      </c>
      <c r="AN498" s="2">
        <f t="shared" si="3576"/>
        <v>0.76460950300382302</v>
      </c>
      <c r="AO498" s="2">
        <f t="shared" si="3577"/>
        <v>7.1661237785016291E-2</v>
      </c>
      <c r="AP498" s="2">
        <f t="shared" si="3577"/>
        <v>3.5164835164835165E-2</v>
      </c>
      <c r="AQ498" s="2">
        <f t="shared" si="3577"/>
        <v>5.3522665210267613E-2</v>
      </c>
      <c r="AR498" s="2">
        <f t="shared" si="3569"/>
        <v>0.14006514657980457</v>
      </c>
      <c r="AS498" s="2">
        <f t="shared" si="3578"/>
        <v>0.14175824175824175</v>
      </c>
      <c r="AT498" s="2">
        <f t="shared" si="3578"/>
        <v>0.12670671764063354</v>
      </c>
      <c r="AU498" s="2">
        <f t="shared" si="3570"/>
        <v>5.3995680345572351E-3</v>
      </c>
      <c r="AV498" s="2">
        <f t="shared" si="3570"/>
        <v>1.4084507042253521E-2</v>
      </c>
      <c r="AW498" s="2">
        <f t="shared" si="3570"/>
        <v>9.7349918875067609E-3</v>
      </c>
    </row>
    <row r="499" spans="1:49" ht="15.75" customHeight="1" x14ac:dyDescent="0.15">
      <c r="A499" s="1">
        <v>2025</v>
      </c>
      <c r="C499" s="3" t="s">
        <v>67</v>
      </c>
      <c r="D499" t="s">
        <v>312</v>
      </c>
      <c r="E499">
        <v>7</v>
      </c>
      <c r="F499">
        <v>3</v>
      </c>
      <c r="G499">
        <v>10</v>
      </c>
      <c r="H499">
        <v>379</v>
      </c>
      <c r="I499">
        <v>195</v>
      </c>
      <c r="J499">
        <v>574</v>
      </c>
      <c r="K499">
        <v>442</v>
      </c>
      <c r="L499">
        <v>341</v>
      </c>
      <c r="M499">
        <v>783</v>
      </c>
      <c r="N499">
        <v>219</v>
      </c>
      <c r="O499">
        <v>154</v>
      </c>
      <c r="P499">
        <v>373</v>
      </c>
      <c r="Q499">
        <v>194</v>
      </c>
      <c r="R499">
        <v>262</v>
      </c>
      <c r="S499">
        <v>456</v>
      </c>
      <c r="T499">
        <v>44</v>
      </c>
      <c r="U499">
        <v>38</v>
      </c>
      <c r="V499">
        <v>82</v>
      </c>
      <c r="W499" s="1">
        <f t="shared" si="3571"/>
        <v>1285</v>
      </c>
      <c r="X499" s="1">
        <f t="shared" si="3571"/>
        <v>993</v>
      </c>
      <c r="Y499" s="1">
        <f t="shared" si="3565"/>
        <v>2278</v>
      </c>
      <c r="Z499" s="1">
        <f t="shared" si="3572"/>
        <v>1241</v>
      </c>
      <c r="AA499" s="1">
        <f t="shared" si="3572"/>
        <v>955</v>
      </c>
      <c r="AB499" s="1">
        <f t="shared" si="3566"/>
        <v>2196</v>
      </c>
      <c r="AC499" s="1">
        <f t="shared" si="3573"/>
        <v>1047</v>
      </c>
      <c r="AD499" s="1">
        <f t="shared" si="3573"/>
        <v>693</v>
      </c>
      <c r="AE499" s="1">
        <f t="shared" si="3567"/>
        <v>1740</v>
      </c>
      <c r="AF499" s="2">
        <f t="shared" si="3574"/>
        <v>0.84367445608380343</v>
      </c>
      <c r="AG499" s="2">
        <f t="shared" si="3574"/>
        <v>0.7256544502617801</v>
      </c>
      <c r="AH499" s="2">
        <f t="shared" si="3574"/>
        <v>0.79234972677595628</v>
      </c>
      <c r="AI499" s="1">
        <f t="shared" si="3575"/>
        <v>828</v>
      </c>
      <c r="AJ499" s="1">
        <f t="shared" si="3575"/>
        <v>539</v>
      </c>
      <c r="AK499" s="1">
        <f t="shared" si="3568"/>
        <v>1367</v>
      </c>
      <c r="AL499" s="2">
        <f t="shared" si="3576"/>
        <v>0.66720386784850927</v>
      </c>
      <c r="AM499" s="2">
        <f t="shared" si="3576"/>
        <v>0.56439790575916227</v>
      </c>
      <c r="AN499" s="2">
        <f t="shared" si="3576"/>
        <v>0.62249544626593811</v>
      </c>
      <c r="AO499" s="2">
        <f t="shared" si="3577"/>
        <v>5.6406124093473006E-3</v>
      </c>
      <c r="AP499" s="2">
        <f t="shared" si="3577"/>
        <v>3.1413612565445027E-3</v>
      </c>
      <c r="AQ499" s="2">
        <f t="shared" si="3577"/>
        <v>4.5537340619307837E-3</v>
      </c>
      <c r="AR499" s="2">
        <f t="shared" si="3569"/>
        <v>0.21112006446414183</v>
      </c>
      <c r="AS499" s="2">
        <f t="shared" si="3578"/>
        <v>0.2743455497382199</v>
      </c>
      <c r="AT499" s="2">
        <f t="shared" si="3578"/>
        <v>0.20765027322404372</v>
      </c>
      <c r="AU499" s="2">
        <f t="shared" si="3570"/>
        <v>3.4241245136186774E-2</v>
      </c>
      <c r="AV499" s="2">
        <f t="shared" si="3570"/>
        <v>3.8267875125881166E-2</v>
      </c>
      <c r="AW499" s="2">
        <f t="shared" si="3570"/>
        <v>3.5996488147497806E-2</v>
      </c>
    </row>
    <row r="500" spans="1:49" ht="15.75" customHeight="1" x14ac:dyDescent="0.15">
      <c r="A500" s="1">
        <v>2025</v>
      </c>
      <c r="D500" t="s">
        <v>313</v>
      </c>
      <c r="E500">
        <v>85</v>
      </c>
      <c r="F500">
        <v>30</v>
      </c>
      <c r="G500">
        <v>115</v>
      </c>
      <c r="H500">
        <v>751</v>
      </c>
      <c r="I500">
        <v>583</v>
      </c>
      <c r="J500">
        <v>1334</v>
      </c>
      <c r="K500">
        <v>438</v>
      </c>
      <c r="L500">
        <v>455</v>
      </c>
      <c r="M500">
        <v>893</v>
      </c>
      <c r="N500">
        <v>236</v>
      </c>
      <c r="O500">
        <v>252</v>
      </c>
      <c r="P500">
        <v>488</v>
      </c>
      <c r="Q500">
        <v>283</v>
      </c>
      <c r="R500">
        <v>352</v>
      </c>
      <c r="S500">
        <v>635</v>
      </c>
      <c r="T500">
        <v>5</v>
      </c>
      <c r="U500">
        <v>19</v>
      </c>
      <c r="V500">
        <v>24</v>
      </c>
      <c r="W500" s="1">
        <f t="shared" si="3571"/>
        <v>1798</v>
      </c>
      <c r="X500" s="1">
        <f t="shared" si="3571"/>
        <v>1691</v>
      </c>
      <c r="Y500" s="1">
        <f t="shared" si="3565"/>
        <v>3489</v>
      </c>
      <c r="Z500" s="1">
        <f t="shared" si="3572"/>
        <v>1793</v>
      </c>
      <c r="AA500" s="1">
        <f t="shared" si="3572"/>
        <v>1672</v>
      </c>
      <c r="AB500" s="1">
        <f t="shared" si="3566"/>
        <v>3465</v>
      </c>
      <c r="AC500" s="1">
        <f t="shared" si="3573"/>
        <v>1510</v>
      </c>
      <c r="AD500" s="1">
        <f t="shared" si="3573"/>
        <v>1320</v>
      </c>
      <c r="AE500" s="1">
        <f t="shared" si="3567"/>
        <v>2830</v>
      </c>
      <c r="AF500" s="2">
        <f t="shared" si="3574"/>
        <v>0.84216397099832685</v>
      </c>
      <c r="AG500" s="2">
        <f t="shared" si="3574"/>
        <v>0.78947368421052633</v>
      </c>
      <c r="AH500" s="2">
        <f t="shared" si="3574"/>
        <v>0.81673881673881676</v>
      </c>
      <c r="AI500" s="1">
        <f t="shared" si="3575"/>
        <v>1274</v>
      </c>
      <c r="AJ500" s="1">
        <f t="shared" si="3575"/>
        <v>1068</v>
      </c>
      <c r="AK500" s="1">
        <f t="shared" si="3568"/>
        <v>2342</v>
      </c>
      <c r="AL500" s="2">
        <f t="shared" si="3576"/>
        <v>0.71054099274958171</v>
      </c>
      <c r="AM500" s="2">
        <f t="shared" si="3576"/>
        <v>0.63875598086124397</v>
      </c>
      <c r="AN500" s="2">
        <f t="shared" si="3576"/>
        <v>0.67590187590187589</v>
      </c>
      <c r="AO500" s="2">
        <f t="shared" si="3577"/>
        <v>4.7406581148912434E-2</v>
      </c>
      <c r="AP500" s="2">
        <f t="shared" si="3577"/>
        <v>1.7942583732057416E-2</v>
      </c>
      <c r="AQ500" s="2">
        <f t="shared" si="3577"/>
        <v>3.3189033189033192E-2</v>
      </c>
      <c r="AR500" s="2">
        <f t="shared" si="3569"/>
        <v>0.19631901840490798</v>
      </c>
      <c r="AS500" s="2">
        <f t="shared" si="3578"/>
        <v>0.21052631578947367</v>
      </c>
      <c r="AT500" s="2">
        <f t="shared" si="3578"/>
        <v>0.18326118326118326</v>
      </c>
      <c r="AU500" s="2">
        <f t="shared" si="3570"/>
        <v>2.7808676307007787E-3</v>
      </c>
      <c r="AV500" s="2">
        <f t="shared" si="3570"/>
        <v>1.1235955056179775E-2</v>
      </c>
      <c r="AW500" s="2">
        <f t="shared" si="3570"/>
        <v>6.8787618228718832E-3</v>
      </c>
    </row>
    <row r="501" spans="1:49" ht="15.75" customHeight="1" x14ac:dyDescent="0.15">
      <c r="A501" s="1">
        <v>2025</v>
      </c>
      <c r="C501" s="3" t="s">
        <v>75</v>
      </c>
      <c r="D501" t="s">
        <v>314</v>
      </c>
      <c r="E501">
        <v>27</v>
      </c>
      <c r="F501">
        <v>26</v>
      </c>
      <c r="G501">
        <v>53</v>
      </c>
      <c r="H501">
        <v>151</v>
      </c>
      <c r="I501">
        <v>131</v>
      </c>
      <c r="J501">
        <v>282</v>
      </c>
      <c r="K501">
        <v>31</v>
      </c>
      <c r="L501">
        <v>42</v>
      </c>
      <c r="M501">
        <v>73</v>
      </c>
      <c r="N501">
        <v>11</v>
      </c>
      <c r="O501">
        <v>14</v>
      </c>
      <c r="P501">
        <v>25</v>
      </c>
      <c r="Q501">
        <v>0</v>
      </c>
      <c r="R501">
        <v>3</v>
      </c>
      <c r="S501">
        <v>3</v>
      </c>
      <c r="T501">
        <v>3</v>
      </c>
      <c r="U501">
        <v>1</v>
      </c>
      <c r="V501">
        <v>4</v>
      </c>
      <c r="W501" s="1">
        <f t="shared" si="3571"/>
        <v>223</v>
      </c>
      <c r="X501" s="1">
        <f t="shared" si="3571"/>
        <v>217</v>
      </c>
      <c r="Y501" s="1">
        <f t="shared" si="3565"/>
        <v>440</v>
      </c>
      <c r="Z501" s="1">
        <f t="shared" si="3572"/>
        <v>220</v>
      </c>
      <c r="AA501" s="1">
        <f t="shared" si="3572"/>
        <v>216</v>
      </c>
      <c r="AB501" s="1">
        <f t="shared" si="3566"/>
        <v>436</v>
      </c>
      <c r="AC501" s="1">
        <f t="shared" si="3573"/>
        <v>220</v>
      </c>
      <c r="AD501" s="1">
        <f t="shared" si="3573"/>
        <v>213</v>
      </c>
      <c r="AE501" s="1">
        <f t="shared" si="3567"/>
        <v>433</v>
      </c>
      <c r="AF501" s="2">
        <f t="shared" si="3574"/>
        <v>1</v>
      </c>
      <c r="AG501" s="2">
        <f t="shared" si="3574"/>
        <v>0.98611111111111116</v>
      </c>
      <c r="AH501" s="2">
        <f t="shared" si="3574"/>
        <v>0.99311926605504586</v>
      </c>
      <c r="AI501" s="1">
        <f t="shared" si="3575"/>
        <v>209</v>
      </c>
      <c r="AJ501" s="1">
        <f t="shared" si="3575"/>
        <v>199</v>
      </c>
      <c r="AK501" s="1">
        <f t="shared" si="3568"/>
        <v>408</v>
      </c>
      <c r="AL501" s="2">
        <f t="shared" si="3576"/>
        <v>0.95</v>
      </c>
      <c r="AM501" s="2">
        <f t="shared" si="3576"/>
        <v>0.92129629629629628</v>
      </c>
      <c r="AN501" s="2">
        <f t="shared" si="3576"/>
        <v>0.93577981651376152</v>
      </c>
      <c r="AO501" s="2">
        <f t="shared" si="3577"/>
        <v>0.12272727272727273</v>
      </c>
      <c r="AP501" s="2">
        <f t="shared" si="3577"/>
        <v>0.12037037037037036</v>
      </c>
      <c r="AQ501" s="2">
        <f t="shared" si="3577"/>
        <v>0.12155963302752294</v>
      </c>
      <c r="AR501" s="2">
        <f t="shared" si="3569"/>
        <v>1.3636363636363636E-2</v>
      </c>
      <c r="AS501" s="2">
        <f t="shared" si="3578"/>
        <v>1.3888888888888888E-2</v>
      </c>
      <c r="AT501" s="2">
        <f t="shared" si="3578"/>
        <v>6.8807339449541288E-3</v>
      </c>
      <c r="AU501" s="2">
        <f t="shared" si="3570"/>
        <v>1.3452914798206279E-2</v>
      </c>
      <c r="AV501" s="2">
        <f t="shared" si="3570"/>
        <v>4.608294930875576E-3</v>
      </c>
      <c r="AW501" s="2">
        <f t="shared" si="3570"/>
        <v>9.0909090909090905E-3</v>
      </c>
    </row>
    <row r="502" spans="1:49" ht="15.75" customHeight="1" x14ac:dyDescent="0.15">
      <c r="A502" s="1">
        <v>2025</v>
      </c>
      <c r="C502" s="3" t="s">
        <v>75</v>
      </c>
      <c r="D502" t="s">
        <v>315</v>
      </c>
      <c r="E502">
        <v>11</v>
      </c>
      <c r="F502">
        <v>0</v>
      </c>
      <c r="G502">
        <v>11</v>
      </c>
      <c r="H502">
        <v>128</v>
      </c>
      <c r="I502">
        <v>47</v>
      </c>
      <c r="J502">
        <v>175</v>
      </c>
      <c r="K502">
        <v>63</v>
      </c>
      <c r="L502">
        <v>54</v>
      </c>
      <c r="M502">
        <v>117</v>
      </c>
      <c r="N502">
        <v>18</v>
      </c>
      <c r="O502">
        <v>15</v>
      </c>
      <c r="P502">
        <v>33</v>
      </c>
      <c r="Q502">
        <v>13</v>
      </c>
      <c r="R502">
        <v>20</v>
      </c>
      <c r="S502">
        <v>33</v>
      </c>
      <c r="T502">
        <v>4</v>
      </c>
      <c r="U502">
        <v>1</v>
      </c>
      <c r="V502">
        <v>5</v>
      </c>
      <c r="W502" s="1">
        <f t="shared" si="3571"/>
        <v>237</v>
      </c>
      <c r="X502" s="1">
        <f t="shared" si="3571"/>
        <v>137</v>
      </c>
      <c r="Y502" s="1">
        <f t="shared" si="3565"/>
        <v>374</v>
      </c>
      <c r="Z502" s="1">
        <f t="shared" si="3572"/>
        <v>233</v>
      </c>
      <c r="AA502" s="1">
        <f t="shared" si="3572"/>
        <v>136</v>
      </c>
      <c r="AB502" s="1">
        <f t="shared" si="3566"/>
        <v>369</v>
      </c>
      <c r="AC502" s="1">
        <f t="shared" si="3573"/>
        <v>220</v>
      </c>
      <c r="AD502" s="1">
        <f t="shared" si="3573"/>
        <v>116</v>
      </c>
      <c r="AE502" s="1">
        <f t="shared" si="3567"/>
        <v>336</v>
      </c>
      <c r="AF502" s="2">
        <f t="shared" si="3574"/>
        <v>0.94420600858369097</v>
      </c>
      <c r="AG502" s="2">
        <f t="shared" si="3574"/>
        <v>0.8529411764705882</v>
      </c>
      <c r="AH502" s="2">
        <f t="shared" si="3574"/>
        <v>0.91056910569105687</v>
      </c>
      <c r="AI502" s="1">
        <f t="shared" si="3575"/>
        <v>202</v>
      </c>
      <c r="AJ502" s="1">
        <f t="shared" si="3575"/>
        <v>101</v>
      </c>
      <c r="AK502" s="1">
        <f t="shared" si="3568"/>
        <v>303</v>
      </c>
      <c r="AL502" s="2">
        <f t="shared" si="3576"/>
        <v>0.86695278969957079</v>
      </c>
      <c r="AM502" s="2">
        <f t="shared" si="3576"/>
        <v>0.74264705882352944</v>
      </c>
      <c r="AN502" s="2">
        <f t="shared" si="3576"/>
        <v>0.82113821138211385</v>
      </c>
      <c r="AO502" s="2">
        <f t="shared" si="3577"/>
        <v>4.7210300429184553E-2</v>
      </c>
      <c r="AP502" s="2">
        <f t="shared" si="3577"/>
        <v>0</v>
      </c>
      <c r="AQ502" s="2">
        <f t="shared" si="3577"/>
        <v>2.9810298102981029E-2</v>
      </c>
      <c r="AR502" s="2">
        <f t="shared" si="3569"/>
        <v>8.5836909871244635E-2</v>
      </c>
      <c r="AS502" s="2">
        <f t="shared" si="3578"/>
        <v>0.14705882352941177</v>
      </c>
      <c r="AT502" s="2">
        <f t="shared" si="3578"/>
        <v>8.943089430894309E-2</v>
      </c>
      <c r="AU502" s="2">
        <f t="shared" si="3570"/>
        <v>1.6877637130801686E-2</v>
      </c>
      <c r="AV502" s="2">
        <f t="shared" si="3570"/>
        <v>7.2992700729927005E-3</v>
      </c>
      <c r="AW502" s="2">
        <f t="shared" si="3570"/>
        <v>1.3368983957219251E-2</v>
      </c>
    </row>
    <row r="503" spans="1:49" ht="15.75" customHeight="1" x14ac:dyDescent="0.15">
      <c r="A503" s="1">
        <v>2025</v>
      </c>
      <c r="D503" t="s">
        <v>316</v>
      </c>
      <c r="E503">
        <v>135</v>
      </c>
      <c r="F503">
        <v>119</v>
      </c>
      <c r="G503">
        <v>254</v>
      </c>
      <c r="H503">
        <v>269</v>
      </c>
      <c r="I503">
        <v>316</v>
      </c>
      <c r="J503">
        <v>585</v>
      </c>
      <c r="K503">
        <v>57</v>
      </c>
      <c r="L503">
        <v>77</v>
      </c>
      <c r="M503">
        <v>134</v>
      </c>
      <c r="N503">
        <v>22</v>
      </c>
      <c r="O503">
        <v>34</v>
      </c>
      <c r="P503">
        <v>56</v>
      </c>
      <c r="Q503">
        <v>25</v>
      </c>
      <c r="R503">
        <v>50</v>
      </c>
      <c r="S503">
        <v>75</v>
      </c>
      <c r="T503">
        <v>1</v>
      </c>
      <c r="U503">
        <v>2</v>
      </c>
      <c r="V503">
        <v>3</v>
      </c>
      <c r="W503" s="1">
        <f t="shared" si="3571"/>
        <v>509</v>
      </c>
      <c r="X503" s="1">
        <f t="shared" si="3571"/>
        <v>598</v>
      </c>
      <c r="Y503" s="1">
        <f t="shared" si="3565"/>
        <v>1107</v>
      </c>
      <c r="Z503" s="1">
        <f t="shared" si="3572"/>
        <v>508</v>
      </c>
      <c r="AA503" s="1">
        <f t="shared" si="3572"/>
        <v>596</v>
      </c>
      <c r="AB503" s="1">
        <f t="shared" si="3566"/>
        <v>1104</v>
      </c>
      <c r="AC503" s="1">
        <f t="shared" si="3573"/>
        <v>483</v>
      </c>
      <c r="AD503" s="1">
        <f t="shared" si="3573"/>
        <v>546</v>
      </c>
      <c r="AE503" s="1">
        <f t="shared" si="3567"/>
        <v>1029</v>
      </c>
      <c r="AF503" s="2">
        <f t="shared" si="3574"/>
        <v>0.95078740157480313</v>
      </c>
      <c r="AG503" s="2">
        <f t="shared" si="3574"/>
        <v>0.91610738255033553</v>
      </c>
      <c r="AH503" s="2">
        <f t="shared" si="3574"/>
        <v>0.93206521739130432</v>
      </c>
      <c r="AI503" s="1">
        <f t="shared" si="3575"/>
        <v>461</v>
      </c>
      <c r="AJ503" s="1">
        <f t="shared" si="3575"/>
        <v>512</v>
      </c>
      <c r="AK503" s="1">
        <f t="shared" si="3568"/>
        <v>973</v>
      </c>
      <c r="AL503" s="2">
        <f t="shared" si="3576"/>
        <v>0.90748031496062997</v>
      </c>
      <c r="AM503" s="2">
        <f t="shared" si="3576"/>
        <v>0.85906040268456374</v>
      </c>
      <c r="AN503" s="2">
        <f t="shared" si="3576"/>
        <v>0.8813405797101449</v>
      </c>
      <c r="AO503" s="2">
        <f t="shared" si="3577"/>
        <v>0.26574803149606302</v>
      </c>
      <c r="AP503" s="2">
        <f t="shared" si="3577"/>
        <v>0.19966442953020133</v>
      </c>
      <c r="AQ503" s="2">
        <f t="shared" si="3577"/>
        <v>0.23007246376811594</v>
      </c>
      <c r="AR503" s="2">
        <f t="shared" si="3569"/>
        <v>9.8425196850393706E-2</v>
      </c>
      <c r="AS503" s="2">
        <f t="shared" si="3578"/>
        <v>8.3892617449664433E-2</v>
      </c>
      <c r="AT503" s="2">
        <f t="shared" si="3578"/>
        <v>6.7934782608695649E-2</v>
      </c>
      <c r="AU503" s="2">
        <f t="shared" si="3570"/>
        <v>1.9646365422396855E-3</v>
      </c>
      <c r="AV503" s="2">
        <f t="shared" si="3570"/>
        <v>3.3444816053511705E-3</v>
      </c>
      <c r="AW503" s="2">
        <f t="shared" si="3570"/>
        <v>2.7100271002710027E-3</v>
      </c>
    </row>
    <row r="504" spans="1:49" ht="15.75" customHeight="1" x14ac:dyDescent="0.15">
      <c r="A504" s="1">
        <v>2025</v>
      </c>
      <c r="D504" t="s">
        <v>317</v>
      </c>
      <c r="E504">
        <v>113</v>
      </c>
      <c r="F504">
        <v>63</v>
      </c>
      <c r="G504">
        <v>176</v>
      </c>
      <c r="H504">
        <v>1061</v>
      </c>
      <c r="I504">
        <v>1207</v>
      </c>
      <c r="J504">
        <v>2268</v>
      </c>
      <c r="K504">
        <v>634</v>
      </c>
      <c r="L504">
        <v>697</v>
      </c>
      <c r="M504">
        <v>1331</v>
      </c>
      <c r="N504">
        <v>270</v>
      </c>
      <c r="O504">
        <v>360</v>
      </c>
      <c r="P504">
        <v>630</v>
      </c>
      <c r="Q504">
        <v>220</v>
      </c>
      <c r="R504">
        <v>279</v>
      </c>
      <c r="S504">
        <v>499</v>
      </c>
      <c r="T504">
        <v>7</v>
      </c>
      <c r="U504">
        <v>10</v>
      </c>
      <c r="V504">
        <v>17</v>
      </c>
      <c r="W504" s="1">
        <f t="shared" si="3571"/>
        <v>2305</v>
      </c>
      <c r="X504" s="1">
        <f t="shared" si="3571"/>
        <v>2616</v>
      </c>
      <c r="Y504" s="1">
        <f t="shared" si="3565"/>
        <v>4921</v>
      </c>
      <c r="Z504" s="1">
        <f t="shared" si="3572"/>
        <v>2298</v>
      </c>
      <c r="AA504" s="1">
        <f t="shared" si="3572"/>
        <v>2606</v>
      </c>
      <c r="AB504" s="1">
        <f t="shared" si="3566"/>
        <v>4904</v>
      </c>
      <c r="AC504" s="1">
        <f t="shared" si="3573"/>
        <v>2078</v>
      </c>
      <c r="AD504" s="1">
        <f t="shared" si="3573"/>
        <v>2327</v>
      </c>
      <c r="AE504" s="1">
        <f t="shared" si="3567"/>
        <v>4405</v>
      </c>
      <c r="AF504" s="2">
        <f t="shared" si="3574"/>
        <v>0.90426457789382075</v>
      </c>
      <c r="AG504" s="2">
        <f t="shared" si="3574"/>
        <v>0.89293937068303919</v>
      </c>
      <c r="AH504" s="2">
        <f t="shared" si="3574"/>
        <v>0.89824632952691685</v>
      </c>
      <c r="AI504" s="1">
        <f t="shared" si="3575"/>
        <v>1808</v>
      </c>
      <c r="AJ504" s="1">
        <f t="shared" si="3575"/>
        <v>1967</v>
      </c>
      <c r="AK504" s="1">
        <f t="shared" si="3568"/>
        <v>3775</v>
      </c>
      <c r="AL504" s="2">
        <f t="shared" si="3576"/>
        <v>0.78677110530896432</v>
      </c>
      <c r="AM504" s="2">
        <f t="shared" si="3576"/>
        <v>0.75479662317728324</v>
      </c>
      <c r="AN504" s="2">
        <f t="shared" si="3576"/>
        <v>0.7697797716150081</v>
      </c>
      <c r="AO504" s="2">
        <f t="shared" si="3577"/>
        <v>4.917319408181027E-2</v>
      </c>
      <c r="AP504" s="2">
        <f t="shared" si="3577"/>
        <v>2.4174980813507291E-2</v>
      </c>
      <c r="AQ504" s="2">
        <f t="shared" si="3577"/>
        <v>3.588907014681892E-2</v>
      </c>
      <c r="AR504" s="2">
        <f t="shared" si="3569"/>
        <v>0.12140992167101827</v>
      </c>
      <c r="AS504" s="2">
        <f t="shared" si="3578"/>
        <v>0.10706062931696086</v>
      </c>
      <c r="AT504" s="2">
        <f t="shared" si="3578"/>
        <v>0.1017536704730832</v>
      </c>
      <c r="AU504" s="2">
        <f t="shared" si="3570"/>
        <v>3.036876355748373E-3</v>
      </c>
      <c r="AV504" s="2">
        <f t="shared" si="3570"/>
        <v>3.8226299694189602E-3</v>
      </c>
      <c r="AW504" s="2">
        <f t="shared" si="3570"/>
        <v>3.4545824019508232E-3</v>
      </c>
    </row>
    <row r="505" spans="1:49" ht="15.75" customHeight="1" x14ac:dyDescent="0.15">
      <c r="A505" s="1">
        <v>2025</v>
      </c>
      <c r="D505" t="s">
        <v>318</v>
      </c>
      <c r="E505">
        <v>83</v>
      </c>
      <c r="F505">
        <v>31</v>
      </c>
      <c r="G505">
        <v>114</v>
      </c>
      <c r="H505">
        <v>668</v>
      </c>
      <c r="I505">
        <v>570</v>
      </c>
      <c r="J505">
        <v>1238</v>
      </c>
      <c r="K505">
        <v>252</v>
      </c>
      <c r="L505">
        <v>296</v>
      </c>
      <c r="M505">
        <v>548</v>
      </c>
      <c r="N505">
        <v>120</v>
      </c>
      <c r="O505">
        <v>132</v>
      </c>
      <c r="P505">
        <v>252</v>
      </c>
      <c r="Q505">
        <v>132</v>
      </c>
      <c r="R505">
        <v>148</v>
      </c>
      <c r="S505">
        <v>280</v>
      </c>
      <c r="T505">
        <v>6</v>
      </c>
      <c r="U505">
        <v>11</v>
      </c>
      <c r="V505">
        <v>17</v>
      </c>
      <c r="W505" s="1">
        <f t="shared" si="3571"/>
        <v>1261</v>
      </c>
      <c r="X505" s="1">
        <f t="shared" si="3571"/>
        <v>1188</v>
      </c>
      <c r="Y505" s="1">
        <f t="shared" si="3565"/>
        <v>2449</v>
      </c>
      <c r="Z505" s="1">
        <f t="shared" si="3572"/>
        <v>1255</v>
      </c>
      <c r="AA505" s="1">
        <f t="shared" si="3572"/>
        <v>1177</v>
      </c>
      <c r="AB505" s="1">
        <f t="shared" si="3566"/>
        <v>2432</v>
      </c>
      <c r="AC505" s="1">
        <f t="shared" si="3573"/>
        <v>1123</v>
      </c>
      <c r="AD505" s="1">
        <f t="shared" si="3573"/>
        <v>1029</v>
      </c>
      <c r="AE505" s="1">
        <f t="shared" si="3567"/>
        <v>2152</v>
      </c>
      <c r="AF505" s="2">
        <f t="shared" si="3574"/>
        <v>0.89482071713147415</v>
      </c>
      <c r="AG505" s="2">
        <f t="shared" si="3574"/>
        <v>0.87425658453695831</v>
      </c>
      <c r="AH505" s="2">
        <f t="shared" si="3574"/>
        <v>0.88486842105263153</v>
      </c>
      <c r="AI505" s="1">
        <f t="shared" si="3575"/>
        <v>1003</v>
      </c>
      <c r="AJ505" s="1">
        <f t="shared" si="3575"/>
        <v>897</v>
      </c>
      <c r="AK505" s="1">
        <f t="shared" si="3568"/>
        <v>1900</v>
      </c>
      <c r="AL505" s="2">
        <f t="shared" si="3576"/>
        <v>0.79920318725099604</v>
      </c>
      <c r="AM505" s="2">
        <f t="shared" si="3576"/>
        <v>0.76210705182667804</v>
      </c>
      <c r="AN505" s="2">
        <f t="shared" si="3576"/>
        <v>0.78125</v>
      </c>
      <c r="AO505" s="2">
        <f t="shared" si="3577"/>
        <v>6.6135458167330671E-2</v>
      </c>
      <c r="AP505" s="2">
        <f t="shared" si="3577"/>
        <v>2.6338147833474938E-2</v>
      </c>
      <c r="AQ505" s="2">
        <f t="shared" si="3577"/>
        <v>4.6875E-2</v>
      </c>
      <c r="AR505" s="2">
        <f t="shared" si="3569"/>
        <v>0.11792828685258964</v>
      </c>
      <c r="AS505" s="2">
        <f t="shared" si="3578"/>
        <v>0.12574341546304163</v>
      </c>
      <c r="AT505" s="2">
        <f t="shared" si="3578"/>
        <v>0.11513157894736842</v>
      </c>
      <c r="AU505" s="2">
        <f t="shared" si="3570"/>
        <v>4.7581284694686752E-3</v>
      </c>
      <c r="AV505" s="2">
        <f t="shared" si="3570"/>
        <v>9.2592592592592587E-3</v>
      </c>
      <c r="AW505" s="2">
        <f t="shared" si="3570"/>
        <v>6.941608819926501E-3</v>
      </c>
    </row>
    <row r="506" spans="1:49" ht="15.75" customHeight="1" x14ac:dyDescent="0.15">
      <c r="A506" s="1">
        <v>2025</v>
      </c>
      <c r="D506" t="s">
        <v>319</v>
      </c>
      <c r="E506">
        <v>32</v>
      </c>
      <c r="F506">
        <v>32</v>
      </c>
      <c r="G506">
        <v>64</v>
      </c>
      <c r="H506">
        <v>460</v>
      </c>
      <c r="I506">
        <v>441</v>
      </c>
      <c r="J506">
        <v>901</v>
      </c>
      <c r="K506">
        <v>303</v>
      </c>
      <c r="L506">
        <v>345</v>
      </c>
      <c r="M506">
        <v>648</v>
      </c>
      <c r="N506">
        <v>146</v>
      </c>
      <c r="O506">
        <v>250</v>
      </c>
      <c r="P506">
        <v>396</v>
      </c>
      <c r="Q506">
        <v>123</v>
      </c>
      <c r="R506">
        <v>239</v>
      </c>
      <c r="S506">
        <v>362</v>
      </c>
      <c r="T506">
        <v>2</v>
      </c>
      <c r="U506">
        <v>4</v>
      </c>
      <c r="V506">
        <v>6</v>
      </c>
      <c r="W506" s="1">
        <f t="shared" si="3571"/>
        <v>1066</v>
      </c>
      <c r="X506" s="1">
        <f t="shared" si="3571"/>
        <v>1311</v>
      </c>
      <c r="Y506" s="1">
        <f t="shared" si="3565"/>
        <v>2377</v>
      </c>
      <c r="Z506" s="1">
        <f t="shared" si="3572"/>
        <v>1064</v>
      </c>
      <c r="AA506" s="1">
        <f t="shared" si="3572"/>
        <v>1307</v>
      </c>
      <c r="AB506" s="1">
        <f t="shared" si="3566"/>
        <v>2371</v>
      </c>
      <c r="AC506" s="1">
        <f t="shared" si="3573"/>
        <v>941</v>
      </c>
      <c r="AD506" s="1">
        <f t="shared" si="3573"/>
        <v>1068</v>
      </c>
      <c r="AE506" s="1">
        <f t="shared" si="3567"/>
        <v>2009</v>
      </c>
      <c r="AF506" s="2">
        <f t="shared" si="3574"/>
        <v>0.88439849624060152</v>
      </c>
      <c r="AG506" s="2">
        <f t="shared" si="3574"/>
        <v>0.8171384850803366</v>
      </c>
      <c r="AH506" s="2">
        <f t="shared" si="3574"/>
        <v>0.84732180514550826</v>
      </c>
      <c r="AI506" s="1">
        <f t="shared" si="3575"/>
        <v>795</v>
      </c>
      <c r="AJ506" s="1">
        <f t="shared" si="3575"/>
        <v>818</v>
      </c>
      <c r="AK506" s="1">
        <f t="shared" si="3568"/>
        <v>1613</v>
      </c>
      <c r="AL506" s="2">
        <f t="shared" si="3576"/>
        <v>0.7471804511278195</v>
      </c>
      <c r="AM506" s="2">
        <f t="shared" si="3576"/>
        <v>0.62586074980872231</v>
      </c>
      <c r="AN506" s="2">
        <f t="shared" si="3576"/>
        <v>0.68030366933783215</v>
      </c>
      <c r="AO506" s="2">
        <f t="shared" si="3577"/>
        <v>3.007518796992481E-2</v>
      </c>
      <c r="AP506" s="2">
        <f t="shared" si="3577"/>
        <v>2.448355011476664E-2</v>
      </c>
      <c r="AQ506" s="2">
        <f t="shared" si="3577"/>
        <v>2.6992830029523407E-2</v>
      </c>
      <c r="AR506" s="2">
        <f t="shared" si="3569"/>
        <v>0.22462406015037595</v>
      </c>
      <c r="AS506" s="2">
        <f t="shared" si="3578"/>
        <v>0.18286151491966335</v>
      </c>
      <c r="AT506" s="2">
        <f t="shared" si="3578"/>
        <v>0.15267819485449177</v>
      </c>
      <c r="AU506" s="2">
        <f t="shared" si="3570"/>
        <v>1.876172607879925E-3</v>
      </c>
      <c r="AV506" s="2">
        <f t="shared" si="3570"/>
        <v>3.0511060259344014E-3</v>
      </c>
      <c r="AW506" s="2">
        <f t="shared" si="3570"/>
        <v>2.5241901556583928E-3</v>
      </c>
    </row>
    <row r="507" spans="1:49" ht="15.75" customHeight="1" x14ac:dyDescent="0.15">
      <c r="A507" s="1">
        <v>2025</v>
      </c>
      <c r="D507" t="s">
        <v>320</v>
      </c>
      <c r="E507">
        <v>362</v>
      </c>
      <c r="F507">
        <v>364</v>
      </c>
      <c r="G507">
        <v>726</v>
      </c>
      <c r="H507">
        <v>1195</v>
      </c>
      <c r="I507">
        <v>1393</v>
      </c>
      <c r="J507">
        <v>2588</v>
      </c>
      <c r="K507">
        <v>269</v>
      </c>
      <c r="L507">
        <v>302</v>
      </c>
      <c r="M507">
        <v>571</v>
      </c>
      <c r="N507">
        <v>103</v>
      </c>
      <c r="O507">
        <v>139</v>
      </c>
      <c r="P507">
        <v>242</v>
      </c>
      <c r="Q507">
        <v>31</v>
      </c>
      <c r="R507">
        <v>35</v>
      </c>
      <c r="S507">
        <v>66</v>
      </c>
      <c r="T507">
        <v>37</v>
      </c>
      <c r="U507">
        <v>37</v>
      </c>
      <c r="V507">
        <v>74</v>
      </c>
      <c r="W507" s="1">
        <f t="shared" si="3571"/>
        <v>1997</v>
      </c>
      <c r="X507" s="1">
        <f t="shared" si="3571"/>
        <v>2270</v>
      </c>
      <c r="Y507" s="1">
        <f t="shared" si="3565"/>
        <v>4267</v>
      </c>
      <c r="Z507" s="1">
        <f t="shared" si="3572"/>
        <v>1960</v>
      </c>
      <c r="AA507" s="1">
        <f t="shared" si="3572"/>
        <v>2233</v>
      </c>
      <c r="AB507" s="1">
        <f t="shared" si="3566"/>
        <v>4193</v>
      </c>
      <c r="AC507" s="1">
        <f t="shared" si="3573"/>
        <v>1929</v>
      </c>
      <c r="AD507" s="1">
        <f t="shared" si="3573"/>
        <v>2198</v>
      </c>
      <c r="AE507" s="1">
        <f t="shared" si="3567"/>
        <v>4127</v>
      </c>
      <c r="AF507" s="2">
        <f t="shared" si="3574"/>
        <v>0.98418367346938773</v>
      </c>
      <c r="AG507" s="2">
        <f t="shared" si="3574"/>
        <v>0.98432601880877746</v>
      </c>
      <c r="AH507" s="2">
        <f t="shared" si="3574"/>
        <v>0.9842594800858574</v>
      </c>
      <c r="AI507" s="1">
        <f t="shared" si="3575"/>
        <v>1826</v>
      </c>
      <c r="AJ507" s="1">
        <f t="shared" si="3575"/>
        <v>2059</v>
      </c>
      <c r="AK507" s="1">
        <f t="shared" si="3568"/>
        <v>3885</v>
      </c>
      <c r="AL507" s="2">
        <f t="shared" si="3576"/>
        <v>0.93163265306122445</v>
      </c>
      <c r="AM507" s="2">
        <f t="shared" si="3576"/>
        <v>0.92207792207792205</v>
      </c>
      <c r="AN507" s="2">
        <f t="shared" si="3576"/>
        <v>0.92654424040066774</v>
      </c>
      <c r="AO507" s="2">
        <f t="shared" si="3577"/>
        <v>0.1846938775510204</v>
      </c>
      <c r="AP507" s="2">
        <f t="shared" si="3577"/>
        <v>0.16300940438871472</v>
      </c>
      <c r="AQ507" s="2">
        <f t="shared" si="3577"/>
        <v>0.1731457190555688</v>
      </c>
      <c r="AR507" s="2">
        <f t="shared" si="3569"/>
        <v>1.7857142857142856E-2</v>
      </c>
      <c r="AS507" s="2">
        <f t="shared" si="3578"/>
        <v>1.5673981191222569E-2</v>
      </c>
      <c r="AT507" s="2">
        <f t="shared" si="3578"/>
        <v>1.5740519914142617E-2</v>
      </c>
      <c r="AU507" s="2">
        <f t="shared" si="3570"/>
        <v>1.8527791687531298E-2</v>
      </c>
      <c r="AV507" s="2">
        <f t="shared" si="3570"/>
        <v>1.6299559471365639E-2</v>
      </c>
      <c r="AW507" s="2">
        <f t="shared" si="3570"/>
        <v>1.7342395125380831E-2</v>
      </c>
    </row>
    <row r="508" spans="1:49" ht="15.75" customHeight="1" x14ac:dyDescent="0.15">
      <c r="A508" s="1">
        <v>2025</v>
      </c>
      <c r="D508" t="s">
        <v>321</v>
      </c>
      <c r="E508">
        <v>201</v>
      </c>
      <c r="F508">
        <v>139</v>
      </c>
      <c r="G508">
        <v>340</v>
      </c>
      <c r="H508">
        <v>1543</v>
      </c>
      <c r="I508">
        <v>1607</v>
      </c>
      <c r="J508">
        <v>3150</v>
      </c>
      <c r="K508">
        <v>612</v>
      </c>
      <c r="L508">
        <v>742</v>
      </c>
      <c r="M508">
        <v>1354</v>
      </c>
      <c r="N508">
        <v>314</v>
      </c>
      <c r="O508">
        <v>391</v>
      </c>
      <c r="P508">
        <v>705</v>
      </c>
      <c r="Q508">
        <v>202</v>
      </c>
      <c r="R508">
        <v>314</v>
      </c>
      <c r="S508">
        <v>516</v>
      </c>
      <c r="T508">
        <v>40</v>
      </c>
      <c r="U508">
        <v>42</v>
      </c>
      <c r="V508">
        <v>82</v>
      </c>
      <c r="W508" s="1">
        <f t="shared" si="3571"/>
        <v>2912</v>
      </c>
      <c r="X508" s="1">
        <f t="shared" si="3571"/>
        <v>3235</v>
      </c>
      <c r="Y508" s="1">
        <f t="shared" si="3565"/>
        <v>6147</v>
      </c>
      <c r="Z508" s="1">
        <f t="shared" si="3572"/>
        <v>2872</v>
      </c>
      <c r="AA508" s="1">
        <f t="shared" si="3572"/>
        <v>3193</v>
      </c>
      <c r="AB508" s="1">
        <f t="shared" si="3566"/>
        <v>6065</v>
      </c>
      <c r="AC508" s="1">
        <f t="shared" si="3573"/>
        <v>2670</v>
      </c>
      <c r="AD508" s="1">
        <f t="shared" si="3573"/>
        <v>2879</v>
      </c>
      <c r="AE508" s="1">
        <f t="shared" si="3567"/>
        <v>5549</v>
      </c>
      <c r="AF508" s="2">
        <f t="shared" si="3574"/>
        <v>0.92966573816155984</v>
      </c>
      <c r="AG508" s="2">
        <f t="shared" si="3574"/>
        <v>0.90165988098966487</v>
      </c>
      <c r="AH508" s="2">
        <f t="shared" si="3574"/>
        <v>0.91492168178070898</v>
      </c>
      <c r="AI508" s="1">
        <f t="shared" si="3575"/>
        <v>2356</v>
      </c>
      <c r="AJ508" s="1">
        <f t="shared" si="3575"/>
        <v>2488</v>
      </c>
      <c r="AK508" s="1">
        <f t="shared" si="3568"/>
        <v>4844</v>
      </c>
      <c r="AL508" s="2">
        <f t="shared" si="3576"/>
        <v>0.82033426183844016</v>
      </c>
      <c r="AM508" s="2">
        <f t="shared" si="3576"/>
        <v>0.77920450986533041</v>
      </c>
      <c r="AN508" s="2">
        <f t="shared" si="3576"/>
        <v>0.79868095630667768</v>
      </c>
      <c r="AO508" s="2">
        <f t="shared" si="3577"/>
        <v>6.9986072423398327E-2</v>
      </c>
      <c r="AP508" s="2">
        <f t="shared" si="3577"/>
        <v>4.3532727842154714E-2</v>
      </c>
      <c r="AQ508" s="2">
        <f t="shared" si="3577"/>
        <v>5.6059356966199507E-2</v>
      </c>
      <c r="AR508" s="2">
        <f t="shared" si="3569"/>
        <v>0.10933147632311978</v>
      </c>
      <c r="AS508" s="2">
        <f t="shared" si="3578"/>
        <v>9.8340119010335111E-2</v>
      </c>
      <c r="AT508" s="2">
        <f t="shared" si="3578"/>
        <v>8.5078318219291016E-2</v>
      </c>
      <c r="AU508" s="2">
        <f t="shared" si="3570"/>
        <v>1.3736263736263736E-2</v>
      </c>
      <c r="AV508" s="2">
        <f t="shared" si="3570"/>
        <v>1.2982998454404947E-2</v>
      </c>
      <c r="AW508" s="2">
        <f t="shared" si="3570"/>
        <v>1.3339840572637058E-2</v>
      </c>
    </row>
    <row r="509" spans="1:49" ht="15.75" customHeight="1" x14ac:dyDescent="0.15">
      <c r="A509" s="1">
        <v>2025</v>
      </c>
      <c r="D509" t="s">
        <v>322</v>
      </c>
      <c r="E509">
        <v>118</v>
      </c>
      <c r="F509">
        <v>100</v>
      </c>
      <c r="G509">
        <v>218</v>
      </c>
      <c r="H509">
        <v>1372</v>
      </c>
      <c r="I509">
        <v>1381</v>
      </c>
      <c r="J509">
        <v>2753</v>
      </c>
      <c r="K509">
        <v>950</v>
      </c>
      <c r="L509">
        <v>1008</v>
      </c>
      <c r="M509">
        <v>1958</v>
      </c>
      <c r="N509">
        <v>663</v>
      </c>
      <c r="O509">
        <v>779</v>
      </c>
      <c r="P509">
        <v>1442</v>
      </c>
      <c r="Q509">
        <v>897</v>
      </c>
      <c r="R509">
        <v>1137</v>
      </c>
      <c r="S509">
        <v>2034</v>
      </c>
      <c r="T509">
        <v>33</v>
      </c>
      <c r="U509">
        <v>38</v>
      </c>
      <c r="V509">
        <v>71</v>
      </c>
      <c r="W509" s="1">
        <f t="shared" si="3571"/>
        <v>4033</v>
      </c>
      <c r="X509" s="1">
        <f t="shared" si="3571"/>
        <v>4443</v>
      </c>
      <c r="Y509" s="1">
        <f t="shared" si="3565"/>
        <v>8476</v>
      </c>
      <c r="Z509" s="1">
        <f t="shared" si="3572"/>
        <v>4000</v>
      </c>
      <c r="AA509" s="1">
        <f t="shared" si="3572"/>
        <v>4405</v>
      </c>
      <c r="AB509" s="1">
        <f t="shared" si="3566"/>
        <v>8405</v>
      </c>
      <c r="AC509" s="1">
        <f t="shared" si="3573"/>
        <v>3103</v>
      </c>
      <c r="AD509" s="1">
        <f t="shared" si="3573"/>
        <v>3268</v>
      </c>
      <c r="AE509" s="1">
        <f t="shared" si="3567"/>
        <v>6371</v>
      </c>
      <c r="AF509" s="2">
        <f t="shared" si="3574"/>
        <v>0.77575000000000005</v>
      </c>
      <c r="AG509" s="2">
        <f t="shared" si="3574"/>
        <v>0.74188422247446084</v>
      </c>
      <c r="AH509" s="2">
        <f t="shared" si="3574"/>
        <v>0.75800118976799524</v>
      </c>
      <c r="AI509" s="1">
        <f t="shared" si="3575"/>
        <v>2440</v>
      </c>
      <c r="AJ509" s="1">
        <f t="shared" si="3575"/>
        <v>2489</v>
      </c>
      <c r="AK509" s="1">
        <f t="shared" si="3568"/>
        <v>4929</v>
      </c>
      <c r="AL509" s="2">
        <f t="shared" si="3576"/>
        <v>0.61</v>
      </c>
      <c r="AM509" s="2">
        <f t="shared" si="3576"/>
        <v>0.56503972758229282</v>
      </c>
      <c r="AN509" s="2">
        <f t="shared" si="3576"/>
        <v>0.5864366448542534</v>
      </c>
      <c r="AO509" s="2">
        <f t="shared" si="3577"/>
        <v>2.9499999999999998E-2</v>
      </c>
      <c r="AP509" s="2">
        <f t="shared" si="3577"/>
        <v>2.2701475595913734E-2</v>
      </c>
      <c r="AQ509" s="2">
        <f t="shared" si="3577"/>
        <v>2.5936942296252232E-2</v>
      </c>
      <c r="AR509" s="2">
        <f t="shared" si="3569"/>
        <v>0.28425</v>
      </c>
      <c r="AS509" s="2">
        <f t="shared" si="3578"/>
        <v>0.25811577752553916</v>
      </c>
      <c r="AT509" s="2">
        <f t="shared" si="3578"/>
        <v>0.24199881023200476</v>
      </c>
      <c r="AU509" s="2">
        <f t="shared" si="3570"/>
        <v>8.1824944210265316E-3</v>
      </c>
      <c r="AV509" s="2">
        <f t="shared" si="3570"/>
        <v>8.5527796533873511E-3</v>
      </c>
      <c r="AW509" s="2">
        <f t="shared" si="3570"/>
        <v>8.3765927324209524E-3</v>
      </c>
    </row>
    <row r="510" spans="1:49" ht="15.75" customHeight="1" x14ac:dyDescent="0.15">
      <c r="A510" s="1">
        <v>2025</v>
      </c>
      <c r="D510" t="s">
        <v>323</v>
      </c>
      <c r="E510">
        <v>670</v>
      </c>
      <c r="F510">
        <v>575</v>
      </c>
      <c r="G510">
        <v>1245</v>
      </c>
      <c r="H510">
        <v>1809</v>
      </c>
      <c r="I510">
        <v>2230</v>
      </c>
      <c r="J510">
        <v>4039</v>
      </c>
      <c r="K510">
        <v>409</v>
      </c>
      <c r="L510">
        <v>484</v>
      </c>
      <c r="M510">
        <v>893</v>
      </c>
      <c r="N510">
        <v>176</v>
      </c>
      <c r="O510">
        <v>182</v>
      </c>
      <c r="P510">
        <v>358</v>
      </c>
      <c r="Q510">
        <v>60</v>
      </c>
      <c r="R510">
        <v>77</v>
      </c>
      <c r="S510">
        <v>137</v>
      </c>
      <c r="T510">
        <v>75</v>
      </c>
      <c r="U510">
        <v>61</v>
      </c>
      <c r="V510">
        <v>136</v>
      </c>
      <c r="W510" s="1">
        <f t="shared" si="3571"/>
        <v>3199</v>
      </c>
      <c r="X510" s="1">
        <f t="shared" si="3571"/>
        <v>3609</v>
      </c>
      <c r="Y510" s="1">
        <f t="shared" si="3565"/>
        <v>6808</v>
      </c>
      <c r="Z510" s="1">
        <f t="shared" si="3572"/>
        <v>3124</v>
      </c>
      <c r="AA510" s="1">
        <f t="shared" si="3572"/>
        <v>3548</v>
      </c>
      <c r="AB510" s="1">
        <f t="shared" si="3566"/>
        <v>6672</v>
      </c>
      <c r="AC510" s="1">
        <f t="shared" si="3573"/>
        <v>3064</v>
      </c>
      <c r="AD510" s="1">
        <f t="shared" si="3573"/>
        <v>3471</v>
      </c>
      <c r="AE510" s="1">
        <f t="shared" si="3567"/>
        <v>6535</v>
      </c>
      <c r="AF510" s="2">
        <f t="shared" si="3574"/>
        <v>0.98079385403329067</v>
      </c>
      <c r="AG510" s="2">
        <f t="shared" si="3574"/>
        <v>0.97829763246899659</v>
      </c>
      <c r="AH510" s="2">
        <f t="shared" si="3574"/>
        <v>0.97946642685851315</v>
      </c>
      <c r="AI510" s="1">
        <f t="shared" si="3575"/>
        <v>2888</v>
      </c>
      <c r="AJ510" s="1">
        <f t="shared" si="3575"/>
        <v>3289</v>
      </c>
      <c r="AK510" s="1">
        <f t="shared" si="3568"/>
        <v>6177</v>
      </c>
      <c r="AL510" s="2">
        <f t="shared" si="3576"/>
        <v>0.92445582586427655</v>
      </c>
      <c r="AM510" s="2">
        <f t="shared" si="3576"/>
        <v>0.92700112739571594</v>
      </c>
      <c r="AN510" s="2">
        <f t="shared" si="3576"/>
        <v>0.92580935251798557</v>
      </c>
      <c r="AO510" s="2">
        <f t="shared" si="3577"/>
        <v>0.21446862996158772</v>
      </c>
      <c r="AP510" s="2">
        <f t="shared" si="3577"/>
        <v>0.16206313416009019</v>
      </c>
      <c r="AQ510" s="2">
        <f t="shared" si="3577"/>
        <v>0.18660071942446044</v>
      </c>
      <c r="AR510" s="2">
        <f t="shared" si="3569"/>
        <v>2.464788732394366E-2</v>
      </c>
      <c r="AS510" s="2">
        <f t="shared" si="3578"/>
        <v>2.1702367531003384E-2</v>
      </c>
      <c r="AT510" s="2">
        <f t="shared" si="3578"/>
        <v>2.0533573141486811E-2</v>
      </c>
      <c r="AU510" s="2">
        <f t="shared" si="3570"/>
        <v>2.3444826508283837E-2</v>
      </c>
      <c r="AV510" s="2">
        <f t="shared" si="3570"/>
        <v>1.6902188972014408E-2</v>
      </c>
      <c r="AW510" s="2">
        <f t="shared" si="3570"/>
        <v>1.9976498237367801E-2</v>
      </c>
    </row>
    <row r="511" spans="1:49" ht="15.75" customHeight="1" x14ac:dyDescent="0.15">
      <c r="A511" s="1">
        <v>2025</v>
      </c>
      <c r="C511" s="3" t="s">
        <v>78</v>
      </c>
      <c r="D511" t="s">
        <v>324</v>
      </c>
      <c r="E511">
        <v>18</v>
      </c>
      <c r="F511">
        <v>10</v>
      </c>
      <c r="G511">
        <v>28</v>
      </c>
      <c r="H511">
        <v>626</v>
      </c>
      <c r="I511">
        <v>313</v>
      </c>
      <c r="J511">
        <v>939</v>
      </c>
      <c r="K511">
        <v>556</v>
      </c>
      <c r="L511">
        <v>448</v>
      </c>
      <c r="M511">
        <v>1004</v>
      </c>
      <c r="N511">
        <v>294</v>
      </c>
      <c r="O511">
        <v>226</v>
      </c>
      <c r="P511">
        <v>520</v>
      </c>
      <c r="Q511">
        <v>279</v>
      </c>
      <c r="R511">
        <v>327</v>
      </c>
      <c r="S511">
        <v>606</v>
      </c>
      <c r="T511">
        <v>27</v>
      </c>
      <c r="U511">
        <v>18</v>
      </c>
      <c r="V511">
        <v>45</v>
      </c>
      <c r="W511" s="1">
        <f t="shared" si="3571"/>
        <v>1800</v>
      </c>
      <c r="X511" s="1">
        <f t="shared" si="3571"/>
        <v>1342</v>
      </c>
      <c r="Y511" s="1">
        <f t="shared" si="3565"/>
        <v>3142</v>
      </c>
      <c r="Z511" s="1">
        <f t="shared" si="3572"/>
        <v>1773</v>
      </c>
      <c r="AA511" s="1">
        <f t="shared" si="3572"/>
        <v>1324</v>
      </c>
      <c r="AB511" s="1">
        <f t="shared" si="3566"/>
        <v>3097</v>
      </c>
      <c r="AC511" s="1">
        <f t="shared" si="3573"/>
        <v>1494</v>
      </c>
      <c r="AD511" s="1">
        <f t="shared" si="3573"/>
        <v>997</v>
      </c>
      <c r="AE511" s="1">
        <f t="shared" si="3567"/>
        <v>2491</v>
      </c>
      <c r="AF511" s="2">
        <f t="shared" si="3574"/>
        <v>0.84263959390862941</v>
      </c>
      <c r="AG511" s="2">
        <f t="shared" si="3574"/>
        <v>0.75302114803625375</v>
      </c>
      <c r="AH511" s="2">
        <f t="shared" si="3574"/>
        <v>0.80432676783984502</v>
      </c>
      <c r="AI511" s="1">
        <f t="shared" si="3575"/>
        <v>1200</v>
      </c>
      <c r="AJ511" s="1">
        <f t="shared" si="3575"/>
        <v>771</v>
      </c>
      <c r="AK511" s="1">
        <f t="shared" si="3568"/>
        <v>1971</v>
      </c>
      <c r="AL511" s="2">
        <f t="shared" si="3576"/>
        <v>0.67681895093062605</v>
      </c>
      <c r="AM511" s="2">
        <f t="shared" si="3576"/>
        <v>0.58232628398791542</v>
      </c>
      <c r="AN511" s="2">
        <f t="shared" si="3576"/>
        <v>0.6364223442040684</v>
      </c>
      <c r="AO511" s="2">
        <f t="shared" si="3577"/>
        <v>1.015228426395939E-2</v>
      </c>
      <c r="AP511" s="2">
        <f t="shared" si="3577"/>
        <v>7.5528700906344415E-3</v>
      </c>
      <c r="AQ511" s="2">
        <f t="shared" si="3577"/>
        <v>9.0410074265418142E-3</v>
      </c>
      <c r="AR511" s="2">
        <f t="shared" si="3569"/>
        <v>0.18443316412859559</v>
      </c>
      <c r="AS511" s="2">
        <f t="shared" si="3578"/>
        <v>0.24697885196374622</v>
      </c>
      <c r="AT511" s="2">
        <f t="shared" si="3578"/>
        <v>0.19567323216015498</v>
      </c>
      <c r="AU511" s="2">
        <f t="shared" si="3570"/>
        <v>1.4999999999999999E-2</v>
      </c>
      <c r="AV511" s="2">
        <f t="shared" si="3570"/>
        <v>1.3412816691505217E-2</v>
      </c>
      <c r="AW511" s="2">
        <f t="shared" si="3570"/>
        <v>1.4322087842138766E-2</v>
      </c>
    </row>
    <row r="512" spans="1:49" ht="15.75" customHeight="1" x14ac:dyDescent="0.15">
      <c r="A512" s="1">
        <v>2025</v>
      </c>
      <c r="D512" t="s">
        <v>325</v>
      </c>
      <c r="E512">
        <v>580</v>
      </c>
      <c r="F512">
        <v>464</v>
      </c>
      <c r="G512">
        <v>1044</v>
      </c>
      <c r="H512">
        <v>1359</v>
      </c>
      <c r="I512">
        <v>1502</v>
      </c>
      <c r="J512">
        <v>2861</v>
      </c>
      <c r="K512">
        <v>281</v>
      </c>
      <c r="L512">
        <v>422</v>
      </c>
      <c r="M512">
        <v>703</v>
      </c>
      <c r="N512">
        <v>100</v>
      </c>
      <c r="O512">
        <v>191</v>
      </c>
      <c r="P512">
        <v>291</v>
      </c>
      <c r="Q512">
        <v>203</v>
      </c>
      <c r="R512">
        <v>138</v>
      </c>
      <c r="S512">
        <v>341</v>
      </c>
      <c r="T512">
        <v>30</v>
      </c>
      <c r="U512">
        <v>27</v>
      </c>
      <c r="V512">
        <v>57</v>
      </c>
      <c r="W512" s="1">
        <f t="shared" si="3571"/>
        <v>2553</v>
      </c>
      <c r="X512" s="1">
        <f t="shared" si="3571"/>
        <v>2744</v>
      </c>
      <c r="Y512" s="1">
        <f t="shared" si="3565"/>
        <v>5297</v>
      </c>
      <c r="Z512" s="1">
        <f t="shared" si="3572"/>
        <v>2523</v>
      </c>
      <c r="AA512" s="1">
        <f t="shared" si="3572"/>
        <v>2717</v>
      </c>
      <c r="AB512" s="1">
        <f t="shared" si="3566"/>
        <v>5240</v>
      </c>
      <c r="AC512" s="1">
        <f t="shared" si="3573"/>
        <v>2320</v>
      </c>
      <c r="AD512" s="1">
        <f t="shared" si="3573"/>
        <v>2579</v>
      </c>
      <c r="AE512" s="1">
        <f t="shared" si="3567"/>
        <v>4899</v>
      </c>
      <c r="AF512" s="2">
        <f t="shared" si="3574"/>
        <v>0.91954022988505746</v>
      </c>
      <c r="AG512" s="2">
        <f t="shared" si="3574"/>
        <v>0.94920868605079134</v>
      </c>
      <c r="AH512" s="2">
        <f t="shared" si="3574"/>
        <v>0.93492366412213745</v>
      </c>
      <c r="AI512" s="1">
        <f t="shared" si="3575"/>
        <v>2220</v>
      </c>
      <c r="AJ512" s="1">
        <f t="shared" si="3575"/>
        <v>2388</v>
      </c>
      <c r="AK512" s="1">
        <f t="shared" si="3568"/>
        <v>4608</v>
      </c>
      <c r="AL512" s="2">
        <f t="shared" si="3576"/>
        <v>0.87990487514863258</v>
      </c>
      <c r="AM512" s="2">
        <f t="shared" si="3576"/>
        <v>0.87891056312108939</v>
      </c>
      <c r="AN512" s="2">
        <f t="shared" si="3576"/>
        <v>0.87938931297709921</v>
      </c>
      <c r="AO512" s="2">
        <f t="shared" si="3577"/>
        <v>0.22988505747126436</v>
      </c>
      <c r="AP512" s="2">
        <f t="shared" si="3577"/>
        <v>0.17077659182922342</v>
      </c>
      <c r="AQ512" s="2">
        <f t="shared" si="3577"/>
        <v>0.19923664122137405</v>
      </c>
      <c r="AR512" s="2">
        <f t="shared" si="3569"/>
        <v>5.4696789536266346E-2</v>
      </c>
      <c r="AS512" s="2">
        <f t="shared" si="3578"/>
        <v>5.0791313949208688E-2</v>
      </c>
      <c r="AT512" s="2">
        <f t="shared" si="3578"/>
        <v>6.5076335877862601E-2</v>
      </c>
      <c r="AU512" s="2">
        <f t="shared" si="3570"/>
        <v>1.1750881316098707E-2</v>
      </c>
      <c r="AV512" s="2">
        <f t="shared" si="3570"/>
        <v>9.8396501457725955E-3</v>
      </c>
      <c r="AW512" s="2">
        <f t="shared" si="3570"/>
        <v>1.0760808004530867E-2</v>
      </c>
    </row>
    <row r="513" spans="1:49" ht="15.75" customHeight="1" x14ac:dyDescent="0.15">
      <c r="A513" s="1">
        <v>2025</v>
      </c>
      <c r="D513" t="s">
        <v>326</v>
      </c>
      <c r="E513">
        <v>56</v>
      </c>
      <c r="F513">
        <v>18</v>
      </c>
      <c r="G513">
        <v>74</v>
      </c>
      <c r="H513">
        <v>691</v>
      </c>
      <c r="I513">
        <v>555</v>
      </c>
      <c r="J513">
        <v>1246</v>
      </c>
      <c r="K513">
        <v>367</v>
      </c>
      <c r="L513">
        <v>399</v>
      </c>
      <c r="M513">
        <v>766</v>
      </c>
      <c r="N513">
        <v>183</v>
      </c>
      <c r="O513">
        <v>192</v>
      </c>
      <c r="P513">
        <v>375</v>
      </c>
      <c r="Q513">
        <v>256</v>
      </c>
      <c r="R513">
        <v>318</v>
      </c>
      <c r="S513">
        <v>574</v>
      </c>
      <c r="T513">
        <v>9</v>
      </c>
      <c r="U513">
        <v>18</v>
      </c>
      <c r="V513">
        <v>27</v>
      </c>
      <c r="W513" s="1">
        <f t="shared" si="3571"/>
        <v>1562</v>
      </c>
      <c r="X513" s="1">
        <f t="shared" si="3571"/>
        <v>1500</v>
      </c>
      <c r="Y513" s="1">
        <f t="shared" si="3565"/>
        <v>3062</v>
      </c>
      <c r="Z513" s="1">
        <f t="shared" si="3572"/>
        <v>1553</v>
      </c>
      <c r="AA513" s="1">
        <f t="shared" si="3572"/>
        <v>1482</v>
      </c>
      <c r="AB513" s="1">
        <f t="shared" si="3566"/>
        <v>3035</v>
      </c>
      <c r="AC513" s="1">
        <f t="shared" si="3573"/>
        <v>1297</v>
      </c>
      <c r="AD513" s="1">
        <f t="shared" si="3573"/>
        <v>1164</v>
      </c>
      <c r="AE513" s="1">
        <f t="shared" si="3567"/>
        <v>2461</v>
      </c>
      <c r="AF513" s="2">
        <f t="shared" si="3574"/>
        <v>0.83515775917578883</v>
      </c>
      <c r="AG513" s="2">
        <f t="shared" si="3574"/>
        <v>0.78542510121457487</v>
      </c>
      <c r="AH513" s="2">
        <f t="shared" si="3574"/>
        <v>0.8108731466227348</v>
      </c>
      <c r="AI513" s="1">
        <f t="shared" si="3575"/>
        <v>1114</v>
      </c>
      <c r="AJ513" s="1">
        <f t="shared" si="3575"/>
        <v>972</v>
      </c>
      <c r="AK513" s="1">
        <f t="shared" si="3568"/>
        <v>2086</v>
      </c>
      <c r="AL513" s="2">
        <f t="shared" si="3576"/>
        <v>0.71732131358660656</v>
      </c>
      <c r="AM513" s="2">
        <f t="shared" si="3576"/>
        <v>0.65587044534412953</v>
      </c>
      <c r="AN513" s="2">
        <f t="shared" si="3576"/>
        <v>0.68731466227347615</v>
      </c>
      <c r="AO513" s="2">
        <f t="shared" si="3577"/>
        <v>3.6059240180296201E-2</v>
      </c>
      <c r="AP513" s="2">
        <f t="shared" si="3577"/>
        <v>1.2145748987854251E-2</v>
      </c>
      <c r="AQ513" s="2">
        <f t="shared" si="3577"/>
        <v>2.4382207578253708E-2</v>
      </c>
      <c r="AR513" s="2">
        <f t="shared" si="3569"/>
        <v>0.20476497102382485</v>
      </c>
      <c r="AS513" s="2">
        <f t="shared" si="3578"/>
        <v>0.2145748987854251</v>
      </c>
      <c r="AT513" s="2">
        <f t="shared" si="3578"/>
        <v>0.18912685337726523</v>
      </c>
      <c r="AU513" s="2">
        <f t="shared" si="3570"/>
        <v>5.7618437900128043E-3</v>
      </c>
      <c r="AV513" s="2">
        <f t="shared" si="3570"/>
        <v>1.2E-2</v>
      </c>
      <c r="AW513" s="2">
        <f t="shared" si="3570"/>
        <v>8.8177661659046367E-3</v>
      </c>
    </row>
    <row r="514" spans="1:49" ht="15.75" customHeight="1" x14ac:dyDescent="0.15">
      <c r="A514" s="1">
        <v>2025</v>
      </c>
      <c r="D514" t="s">
        <v>327</v>
      </c>
      <c r="E514">
        <v>244</v>
      </c>
      <c r="F514">
        <v>216</v>
      </c>
      <c r="G514">
        <v>460</v>
      </c>
      <c r="H514">
        <v>777</v>
      </c>
      <c r="I514">
        <v>947</v>
      </c>
      <c r="J514">
        <v>1724</v>
      </c>
      <c r="K514">
        <v>265</v>
      </c>
      <c r="L514">
        <v>333</v>
      </c>
      <c r="M514">
        <v>598</v>
      </c>
      <c r="N514">
        <v>133</v>
      </c>
      <c r="O514">
        <v>187</v>
      </c>
      <c r="P514">
        <v>320</v>
      </c>
      <c r="Q514">
        <v>141</v>
      </c>
      <c r="R514">
        <v>165</v>
      </c>
      <c r="S514">
        <v>306</v>
      </c>
      <c r="T514">
        <v>35</v>
      </c>
      <c r="U514">
        <v>26</v>
      </c>
      <c r="V514">
        <v>61</v>
      </c>
      <c r="W514" s="1">
        <f t="shared" si="3571"/>
        <v>1595</v>
      </c>
      <c r="X514" s="1">
        <f t="shared" si="3571"/>
        <v>1874</v>
      </c>
      <c r="Y514" s="1">
        <f t="shared" si="3565"/>
        <v>3469</v>
      </c>
      <c r="Z514" s="1">
        <f t="shared" si="3572"/>
        <v>1560</v>
      </c>
      <c r="AA514" s="1">
        <f t="shared" si="3572"/>
        <v>1848</v>
      </c>
      <c r="AB514" s="1">
        <f t="shared" si="3566"/>
        <v>3408</v>
      </c>
      <c r="AC514" s="1">
        <f t="shared" si="3573"/>
        <v>1419</v>
      </c>
      <c r="AD514" s="1">
        <f t="shared" si="3573"/>
        <v>1683</v>
      </c>
      <c r="AE514" s="1">
        <f t="shared" si="3567"/>
        <v>3102</v>
      </c>
      <c r="AF514" s="2">
        <f t="shared" si="3574"/>
        <v>0.9096153846153846</v>
      </c>
      <c r="AG514" s="2">
        <f t="shared" si="3574"/>
        <v>0.9107142857142857</v>
      </c>
      <c r="AH514" s="2">
        <f t="shared" si="3574"/>
        <v>0.91021126760563376</v>
      </c>
      <c r="AI514" s="1">
        <f t="shared" si="3575"/>
        <v>1286</v>
      </c>
      <c r="AJ514" s="1">
        <f t="shared" si="3575"/>
        <v>1496</v>
      </c>
      <c r="AK514" s="1">
        <f t="shared" si="3568"/>
        <v>2782</v>
      </c>
      <c r="AL514" s="2">
        <f t="shared" si="3576"/>
        <v>0.82435897435897432</v>
      </c>
      <c r="AM514" s="2">
        <f t="shared" si="3576"/>
        <v>0.80952380952380953</v>
      </c>
      <c r="AN514" s="2">
        <f t="shared" si="3576"/>
        <v>0.81631455399061037</v>
      </c>
      <c r="AO514" s="2">
        <f t="shared" si="3577"/>
        <v>0.15641025641025641</v>
      </c>
      <c r="AP514" s="2">
        <f t="shared" si="3577"/>
        <v>0.11688311688311688</v>
      </c>
      <c r="AQ514" s="2">
        <f t="shared" si="3577"/>
        <v>0.13497652582159625</v>
      </c>
      <c r="AR514" s="2">
        <f t="shared" si="3569"/>
        <v>0.10576923076923077</v>
      </c>
      <c r="AS514" s="2">
        <f t="shared" si="3578"/>
        <v>8.9285714285714288E-2</v>
      </c>
      <c r="AT514" s="2">
        <f t="shared" si="3578"/>
        <v>8.9788732394366202E-2</v>
      </c>
      <c r="AU514" s="2">
        <f t="shared" si="3570"/>
        <v>2.1943573667711599E-2</v>
      </c>
      <c r="AV514" s="2">
        <f t="shared" si="3570"/>
        <v>1.3874066168623266E-2</v>
      </c>
      <c r="AW514" s="2">
        <f t="shared" si="3570"/>
        <v>1.7584318247333527E-2</v>
      </c>
    </row>
    <row r="515" spans="1:49" ht="15.75" customHeight="1" x14ac:dyDescent="0.15">
      <c r="A515" s="1">
        <v>2025</v>
      </c>
      <c r="C515" s="3" t="s">
        <v>89</v>
      </c>
      <c r="D515" t="s">
        <v>328</v>
      </c>
      <c r="E515">
        <v>82</v>
      </c>
      <c r="F515">
        <v>92</v>
      </c>
      <c r="G515">
        <v>174</v>
      </c>
      <c r="H515">
        <v>992</v>
      </c>
      <c r="I515">
        <v>1220</v>
      </c>
      <c r="J515">
        <v>2212</v>
      </c>
      <c r="K515">
        <v>735</v>
      </c>
      <c r="L515">
        <v>971</v>
      </c>
      <c r="M515">
        <v>1706</v>
      </c>
      <c r="N515">
        <v>431</v>
      </c>
      <c r="O515">
        <v>575</v>
      </c>
      <c r="P515">
        <v>1006</v>
      </c>
      <c r="Q515">
        <v>356</v>
      </c>
      <c r="R515">
        <v>452</v>
      </c>
      <c r="S515">
        <v>808</v>
      </c>
      <c r="T515">
        <v>37</v>
      </c>
      <c r="U515">
        <v>46</v>
      </c>
      <c r="V515">
        <v>83</v>
      </c>
      <c r="W515" s="1">
        <f t="shared" si="3571"/>
        <v>2633</v>
      </c>
      <c r="X515" s="1">
        <f t="shared" si="3571"/>
        <v>3356</v>
      </c>
      <c r="Y515" s="1">
        <f t="shared" si="3565"/>
        <v>5989</v>
      </c>
      <c r="Z515" s="1">
        <f t="shared" si="3572"/>
        <v>2596</v>
      </c>
      <c r="AA515" s="1">
        <f t="shared" si="3572"/>
        <v>3310</v>
      </c>
      <c r="AB515" s="1">
        <f t="shared" si="3566"/>
        <v>5906</v>
      </c>
      <c r="AC515" s="1">
        <f t="shared" si="3573"/>
        <v>2240</v>
      </c>
      <c r="AD515" s="1">
        <f t="shared" si="3573"/>
        <v>2858</v>
      </c>
      <c r="AE515" s="1">
        <f t="shared" si="3567"/>
        <v>5098</v>
      </c>
      <c r="AF515" s="2">
        <f t="shared" si="3574"/>
        <v>0.86286594761171032</v>
      </c>
      <c r="AG515" s="2">
        <f t="shared" si="3574"/>
        <v>0.86344410876132927</v>
      </c>
      <c r="AH515" s="2">
        <f t="shared" si="3574"/>
        <v>0.86318997629529293</v>
      </c>
      <c r="AI515" s="1">
        <f t="shared" si="3575"/>
        <v>1809</v>
      </c>
      <c r="AJ515" s="1">
        <f t="shared" si="3575"/>
        <v>2283</v>
      </c>
      <c r="AK515" s="1">
        <f t="shared" si="3568"/>
        <v>4092</v>
      </c>
      <c r="AL515" s="2">
        <f t="shared" si="3576"/>
        <v>0.69684129429892139</v>
      </c>
      <c r="AM515" s="2">
        <f t="shared" si="3576"/>
        <v>0.68972809667673718</v>
      </c>
      <c r="AN515" s="2">
        <f t="shared" si="3576"/>
        <v>0.69285472400948189</v>
      </c>
      <c r="AO515" s="2">
        <f t="shared" si="3577"/>
        <v>3.1587057010785825E-2</v>
      </c>
      <c r="AP515" s="2">
        <f t="shared" si="3577"/>
        <v>2.7794561933534745E-2</v>
      </c>
      <c r="AQ515" s="2">
        <f t="shared" si="3577"/>
        <v>2.9461564510667119E-2</v>
      </c>
      <c r="AR515" s="2">
        <f t="shared" si="3569"/>
        <v>0.17411402157164868</v>
      </c>
      <c r="AS515" s="2">
        <f t="shared" si="3578"/>
        <v>0.13655589123867071</v>
      </c>
      <c r="AT515" s="2">
        <f t="shared" si="3578"/>
        <v>0.13681002370470707</v>
      </c>
      <c r="AU515" s="2">
        <f t="shared" si="3570"/>
        <v>1.405241169768325E-2</v>
      </c>
      <c r="AV515" s="2">
        <f t="shared" si="3570"/>
        <v>1.3706793802145411E-2</v>
      </c>
      <c r="AW515" s="2">
        <f t="shared" si="3570"/>
        <v>1.385874102521289E-2</v>
      </c>
    </row>
    <row r="516" spans="1:49" ht="15.75" customHeight="1" x14ac:dyDescent="0.15">
      <c r="A516" s="1">
        <v>2025</v>
      </c>
      <c r="D516" t="s">
        <v>329</v>
      </c>
      <c r="E516">
        <v>988</v>
      </c>
      <c r="F516">
        <v>1001</v>
      </c>
      <c r="G516">
        <v>1989</v>
      </c>
      <c r="H516">
        <v>4275</v>
      </c>
      <c r="I516">
        <v>5077</v>
      </c>
      <c r="J516">
        <v>9352</v>
      </c>
      <c r="K516">
        <v>1229</v>
      </c>
      <c r="L516">
        <v>1548</v>
      </c>
      <c r="M516">
        <v>2777</v>
      </c>
      <c r="N516">
        <v>578</v>
      </c>
      <c r="O516">
        <v>754</v>
      </c>
      <c r="P516">
        <v>1332</v>
      </c>
      <c r="Q516">
        <v>484</v>
      </c>
      <c r="R516">
        <v>505</v>
      </c>
      <c r="S516">
        <v>989</v>
      </c>
      <c r="T516">
        <v>152</v>
      </c>
      <c r="U516">
        <v>129</v>
      </c>
      <c r="V516">
        <v>281</v>
      </c>
      <c r="W516" s="1">
        <f t="shared" si="3571"/>
        <v>7706</v>
      </c>
      <c r="X516" s="1">
        <f t="shared" si="3571"/>
        <v>9014</v>
      </c>
      <c r="Y516" s="1">
        <f t="shared" si="3565"/>
        <v>16720</v>
      </c>
      <c r="Z516" s="1">
        <f t="shared" si="3572"/>
        <v>7554</v>
      </c>
      <c r="AA516" s="1">
        <f t="shared" si="3572"/>
        <v>8885</v>
      </c>
      <c r="AB516" s="1">
        <f t="shared" si="3566"/>
        <v>16439</v>
      </c>
      <c r="AC516" s="1">
        <f t="shared" si="3573"/>
        <v>7070</v>
      </c>
      <c r="AD516" s="1">
        <f t="shared" si="3573"/>
        <v>8380</v>
      </c>
      <c r="AE516" s="1">
        <f t="shared" si="3567"/>
        <v>15450</v>
      </c>
      <c r="AF516" s="2">
        <f t="shared" si="3574"/>
        <v>0.93592798517341802</v>
      </c>
      <c r="AG516" s="2">
        <f t="shared" si="3574"/>
        <v>0.94316263365222286</v>
      </c>
      <c r="AH516" s="2">
        <f t="shared" si="3574"/>
        <v>0.9398381896709046</v>
      </c>
      <c r="AI516" s="1">
        <f t="shared" si="3575"/>
        <v>6492</v>
      </c>
      <c r="AJ516" s="1">
        <f t="shared" si="3575"/>
        <v>7626</v>
      </c>
      <c r="AK516" s="1">
        <f t="shared" si="3568"/>
        <v>14118</v>
      </c>
      <c r="AL516" s="2">
        <f t="shared" si="3576"/>
        <v>0.8594122319301033</v>
      </c>
      <c r="AM516" s="2">
        <f t="shared" si="3576"/>
        <v>0.85830050647158129</v>
      </c>
      <c r="AN516" s="2">
        <f t="shared" si="3576"/>
        <v>0.85881136322160712</v>
      </c>
      <c r="AO516" s="2">
        <f t="shared" si="3577"/>
        <v>0.13079163357161769</v>
      </c>
      <c r="AP516" s="2">
        <f t="shared" si="3577"/>
        <v>0.11266178953292065</v>
      </c>
      <c r="AQ516" s="2">
        <f t="shared" si="3577"/>
        <v>0.12099276111685625</v>
      </c>
      <c r="AR516" s="2">
        <f t="shared" si="3569"/>
        <v>6.6851998940958432E-2</v>
      </c>
      <c r="AS516" s="2">
        <f t="shared" si="3578"/>
        <v>5.6837366347777155E-2</v>
      </c>
      <c r="AT516" s="2">
        <f t="shared" si="3578"/>
        <v>6.0161810329095441E-2</v>
      </c>
      <c r="AU516" s="2">
        <f t="shared" si="3570"/>
        <v>1.9724889696340515E-2</v>
      </c>
      <c r="AV516" s="2">
        <f t="shared" si="3570"/>
        <v>1.4311071666296872E-2</v>
      </c>
      <c r="AW516" s="2">
        <f t="shared" si="3570"/>
        <v>1.6806220095693779E-2</v>
      </c>
    </row>
    <row r="517" spans="1:49" ht="15.75" customHeight="1" x14ac:dyDescent="0.15">
      <c r="A517" s="1">
        <v>2025</v>
      </c>
      <c r="D517" t="s">
        <v>330</v>
      </c>
      <c r="E517">
        <v>464</v>
      </c>
      <c r="F517">
        <v>452</v>
      </c>
      <c r="G517">
        <v>916</v>
      </c>
      <c r="H517">
        <v>1728</v>
      </c>
      <c r="I517">
        <v>2198</v>
      </c>
      <c r="J517">
        <v>3926</v>
      </c>
      <c r="K517">
        <v>596</v>
      </c>
      <c r="L517">
        <v>853</v>
      </c>
      <c r="M517">
        <v>1449</v>
      </c>
      <c r="N517">
        <v>277</v>
      </c>
      <c r="O517">
        <v>384</v>
      </c>
      <c r="P517">
        <v>661</v>
      </c>
      <c r="Q517">
        <v>186</v>
      </c>
      <c r="R517">
        <v>278</v>
      </c>
      <c r="S517">
        <v>464</v>
      </c>
      <c r="T517">
        <v>73</v>
      </c>
      <c r="U517">
        <v>69</v>
      </c>
      <c r="V517">
        <v>142</v>
      </c>
      <c r="W517" s="1">
        <f t="shared" si="3571"/>
        <v>3324</v>
      </c>
      <c r="X517" s="1">
        <f t="shared" si="3571"/>
        <v>4234</v>
      </c>
      <c r="Y517" s="1">
        <f t="shared" si="3565"/>
        <v>7558</v>
      </c>
      <c r="Z517" s="1">
        <f t="shared" si="3572"/>
        <v>3251</v>
      </c>
      <c r="AA517" s="1">
        <f t="shared" si="3572"/>
        <v>4165</v>
      </c>
      <c r="AB517" s="1">
        <f t="shared" si="3566"/>
        <v>7416</v>
      </c>
      <c r="AC517" s="1">
        <f t="shared" si="3573"/>
        <v>3065</v>
      </c>
      <c r="AD517" s="1">
        <f t="shared" si="3573"/>
        <v>3887</v>
      </c>
      <c r="AE517" s="1">
        <f t="shared" si="3567"/>
        <v>6952</v>
      </c>
      <c r="AF517" s="2">
        <f t="shared" si="3574"/>
        <v>0.94278683482005532</v>
      </c>
      <c r="AG517" s="2">
        <f t="shared" si="3574"/>
        <v>0.93325330132052819</v>
      </c>
      <c r="AH517" s="2">
        <f t="shared" si="3574"/>
        <v>0.93743257820927728</v>
      </c>
      <c r="AI517" s="1">
        <f t="shared" si="3575"/>
        <v>2788</v>
      </c>
      <c r="AJ517" s="1">
        <f t="shared" si="3575"/>
        <v>3503</v>
      </c>
      <c r="AK517" s="1">
        <f t="shared" si="3568"/>
        <v>6291</v>
      </c>
      <c r="AL517" s="2">
        <f t="shared" si="3576"/>
        <v>0.85758228237465395</v>
      </c>
      <c r="AM517" s="2">
        <f t="shared" si="3576"/>
        <v>0.84105642256902757</v>
      </c>
      <c r="AN517" s="2">
        <f t="shared" si="3576"/>
        <v>0.84830097087378642</v>
      </c>
      <c r="AO517" s="2">
        <f t="shared" si="3577"/>
        <v>0.14272531528760382</v>
      </c>
      <c r="AP517" s="2">
        <f t="shared" si="3577"/>
        <v>0.10852340936374549</v>
      </c>
      <c r="AQ517" s="2">
        <f t="shared" si="3577"/>
        <v>0.12351672060409924</v>
      </c>
      <c r="AR517" s="2">
        <f t="shared" si="3569"/>
        <v>8.5512150107659182E-2</v>
      </c>
      <c r="AS517" s="2">
        <f t="shared" si="3578"/>
        <v>6.6746698679471791E-2</v>
      </c>
      <c r="AT517" s="2">
        <f t="shared" si="3578"/>
        <v>6.2567421790722763E-2</v>
      </c>
      <c r="AU517" s="2">
        <f t="shared" si="3570"/>
        <v>2.1961492178098677E-2</v>
      </c>
      <c r="AV517" s="2">
        <f t="shared" si="3570"/>
        <v>1.6296646197449222E-2</v>
      </c>
      <c r="AW517" s="2">
        <f t="shared" si="3570"/>
        <v>1.8788039163799949E-2</v>
      </c>
    </row>
    <row r="518" spans="1:49" ht="15.75" customHeight="1" x14ac:dyDescent="0.15">
      <c r="A518" s="1">
        <v>2025</v>
      </c>
      <c r="D518" t="s">
        <v>331</v>
      </c>
      <c r="E518">
        <v>146</v>
      </c>
      <c r="F518">
        <v>173</v>
      </c>
      <c r="G518">
        <v>319</v>
      </c>
      <c r="H518">
        <v>599</v>
      </c>
      <c r="I518">
        <v>717</v>
      </c>
      <c r="J518">
        <v>1316</v>
      </c>
      <c r="K518">
        <v>166</v>
      </c>
      <c r="L518">
        <v>229</v>
      </c>
      <c r="M518">
        <v>395</v>
      </c>
      <c r="N518">
        <v>42</v>
      </c>
      <c r="O518">
        <v>88</v>
      </c>
      <c r="P518">
        <v>130</v>
      </c>
      <c r="Q518">
        <v>14</v>
      </c>
      <c r="R518">
        <v>17</v>
      </c>
      <c r="S518">
        <v>31</v>
      </c>
      <c r="T518">
        <v>21</v>
      </c>
      <c r="U518">
        <v>20</v>
      </c>
      <c r="V518">
        <v>41</v>
      </c>
      <c r="W518" s="1">
        <f t="shared" si="3571"/>
        <v>988</v>
      </c>
      <c r="X518" s="1">
        <f t="shared" si="3571"/>
        <v>1244</v>
      </c>
      <c r="Y518" s="1">
        <f t="shared" si="3565"/>
        <v>2232</v>
      </c>
      <c r="Z518" s="1">
        <f t="shared" si="3572"/>
        <v>967</v>
      </c>
      <c r="AA518" s="1">
        <f t="shared" si="3572"/>
        <v>1224</v>
      </c>
      <c r="AB518" s="1">
        <f t="shared" si="3566"/>
        <v>2191</v>
      </c>
      <c r="AC518" s="1">
        <f t="shared" si="3573"/>
        <v>953</v>
      </c>
      <c r="AD518" s="1">
        <f t="shared" si="3573"/>
        <v>1207</v>
      </c>
      <c r="AE518" s="1">
        <f t="shared" si="3567"/>
        <v>2160</v>
      </c>
      <c r="AF518" s="2">
        <f t="shared" si="3574"/>
        <v>0.98552223371251291</v>
      </c>
      <c r="AG518" s="2">
        <f t="shared" si="3574"/>
        <v>0.98611111111111116</v>
      </c>
      <c r="AH518" s="2">
        <f t="shared" si="3574"/>
        <v>0.98585120949338201</v>
      </c>
      <c r="AI518" s="1">
        <f t="shared" si="3575"/>
        <v>911</v>
      </c>
      <c r="AJ518" s="1">
        <f t="shared" si="3575"/>
        <v>1119</v>
      </c>
      <c r="AK518" s="1">
        <f t="shared" si="3568"/>
        <v>2030</v>
      </c>
      <c r="AL518" s="2">
        <f t="shared" si="3576"/>
        <v>0.94208893485005174</v>
      </c>
      <c r="AM518" s="2">
        <f t="shared" si="3576"/>
        <v>0.91421568627450978</v>
      </c>
      <c r="AN518" s="2">
        <f t="shared" si="3576"/>
        <v>0.92651757188498407</v>
      </c>
      <c r="AO518" s="2">
        <f t="shared" si="3577"/>
        <v>0.15098241985522234</v>
      </c>
      <c r="AP518" s="2">
        <f t="shared" si="3577"/>
        <v>0.14133986928104575</v>
      </c>
      <c r="AQ518" s="2">
        <f t="shared" si="3577"/>
        <v>0.14559561843906893</v>
      </c>
      <c r="AR518" s="2">
        <f t="shared" si="3569"/>
        <v>1.7580144777662874E-2</v>
      </c>
      <c r="AS518" s="2">
        <f t="shared" si="3578"/>
        <v>1.3888888888888888E-2</v>
      </c>
      <c r="AT518" s="2">
        <f t="shared" si="3578"/>
        <v>1.4148790506617983E-2</v>
      </c>
      <c r="AU518" s="2">
        <f t="shared" si="3570"/>
        <v>2.1255060728744939E-2</v>
      </c>
      <c r="AV518" s="2">
        <f t="shared" si="3570"/>
        <v>1.607717041800643E-2</v>
      </c>
      <c r="AW518" s="2">
        <f t="shared" si="3570"/>
        <v>1.8369175627240143E-2</v>
      </c>
    </row>
    <row r="519" spans="1:49" ht="15.75" customHeight="1" x14ac:dyDescent="0.15">
      <c r="A519" s="1">
        <v>2025</v>
      </c>
      <c r="C519" s="3" t="s">
        <v>67</v>
      </c>
      <c r="D519" t="s">
        <v>332</v>
      </c>
      <c r="E519">
        <v>1</v>
      </c>
      <c r="F519">
        <v>0</v>
      </c>
      <c r="G519">
        <v>1</v>
      </c>
      <c r="H519">
        <v>240</v>
      </c>
      <c r="I519">
        <v>65</v>
      </c>
      <c r="J519">
        <v>305</v>
      </c>
      <c r="K519">
        <v>432</v>
      </c>
      <c r="L519">
        <v>213</v>
      </c>
      <c r="M519">
        <v>645</v>
      </c>
      <c r="N519">
        <v>175</v>
      </c>
      <c r="O519">
        <v>99</v>
      </c>
      <c r="P519">
        <v>274</v>
      </c>
      <c r="Q519">
        <v>277</v>
      </c>
      <c r="R519">
        <v>229</v>
      </c>
      <c r="S519">
        <v>506</v>
      </c>
      <c r="T519">
        <v>31</v>
      </c>
      <c r="U519">
        <v>29</v>
      </c>
      <c r="V519">
        <v>60</v>
      </c>
      <c r="W519" s="1">
        <f t="shared" si="3571"/>
        <v>1156</v>
      </c>
      <c r="X519" s="1">
        <f t="shared" si="3571"/>
        <v>635</v>
      </c>
      <c r="Y519" s="1">
        <f t="shared" si="3565"/>
        <v>1791</v>
      </c>
      <c r="Z519" s="1">
        <f t="shared" si="3572"/>
        <v>1125</v>
      </c>
      <c r="AA519" s="1">
        <f t="shared" si="3572"/>
        <v>606</v>
      </c>
      <c r="AB519" s="1">
        <f t="shared" si="3566"/>
        <v>1731</v>
      </c>
      <c r="AC519" s="1">
        <f t="shared" si="3573"/>
        <v>848</v>
      </c>
      <c r="AD519" s="1">
        <f t="shared" si="3573"/>
        <v>377</v>
      </c>
      <c r="AE519" s="1">
        <f t="shared" si="3567"/>
        <v>1225</v>
      </c>
      <c r="AF519" s="2">
        <f t="shared" si="3574"/>
        <v>0.75377777777777777</v>
      </c>
      <c r="AG519" s="2">
        <f t="shared" si="3574"/>
        <v>0.62211221122112215</v>
      </c>
      <c r="AH519" s="2">
        <f t="shared" si="3574"/>
        <v>0.70768341998844597</v>
      </c>
      <c r="AI519" s="1">
        <f t="shared" si="3575"/>
        <v>673</v>
      </c>
      <c r="AJ519" s="1">
        <f t="shared" si="3575"/>
        <v>278</v>
      </c>
      <c r="AK519" s="1">
        <f t="shared" si="3568"/>
        <v>951</v>
      </c>
      <c r="AL519" s="2">
        <f t="shared" si="3576"/>
        <v>0.59822222222222221</v>
      </c>
      <c r="AM519" s="2">
        <f t="shared" si="3576"/>
        <v>0.45874587458745875</v>
      </c>
      <c r="AN519" s="2">
        <f t="shared" si="3576"/>
        <v>0.5493934142114385</v>
      </c>
      <c r="AO519" s="2">
        <f t="shared" si="3577"/>
        <v>8.8888888888888893E-4</v>
      </c>
      <c r="AP519" s="2">
        <f t="shared" si="3577"/>
        <v>0</v>
      </c>
      <c r="AQ519" s="2">
        <f t="shared" si="3577"/>
        <v>5.7770075101097628E-4</v>
      </c>
      <c r="AR519" s="2">
        <f t="shared" si="3569"/>
        <v>0.20355555555555555</v>
      </c>
      <c r="AS519" s="2">
        <f t="shared" si="3578"/>
        <v>0.37788778877887791</v>
      </c>
      <c r="AT519" s="2">
        <f t="shared" si="3578"/>
        <v>0.29231658001155403</v>
      </c>
      <c r="AU519" s="2">
        <f t="shared" si="3570"/>
        <v>2.6816608996539794E-2</v>
      </c>
      <c r="AV519" s="2">
        <f t="shared" si="3570"/>
        <v>4.5669291338582677E-2</v>
      </c>
      <c r="AW519" s="2">
        <f t="shared" si="3570"/>
        <v>3.350083752093802E-2</v>
      </c>
    </row>
    <row r="520" spans="1:49" ht="15.75" customHeight="1" x14ac:dyDescent="0.15">
      <c r="A520" s="1">
        <v>2025</v>
      </c>
      <c r="D520" t="s">
        <v>333</v>
      </c>
      <c r="E520">
        <v>1257</v>
      </c>
      <c r="F520">
        <v>1271</v>
      </c>
      <c r="G520">
        <v>2528</v>
      </c>
      <c r="H520">
        <v>2884</v>
      </c>
      <c r="I520">
        <v>3191</v>
      </c>
      <c r="J520">
        <v>6075</v>
      </c>
      <c r="K520">
        <v>515</v>
      </c>
      <c r="L520">
        <v>635</v>
      </c>
      <c r="M520">
        <v>1150</v>
      </c>
      <c r="N520">
        <v>273</v>
      </c>
      <c r="O520">
        <v>374</v>
      </c>
      <c r="P520">
        <v>647</v>
      </c>
      <c r="Q520">
        <v>202</v>
      </c>
      <c r="R520">
        <v>196</v>
      </c>
      <c r="S520">
        <v>398</v>
      </c>
      <c r="T520">
        <v>34</v>
      </c>
      <c r="U520">
        <v>59</v>
      </c>
      <c r="V520">
        <v>93</v>
      </c>
      <c r="W520" s="1">
        <f t="shared" si="3571"/>
        <v>5165</v>
      </c>
      <c r="X520" s="1">
        <f t="shared" si="3571"/>
        <v>5726</v>
      </c>
      <c r="Y520" s="1">
        <f t="shared" si="3565"/>
        <v>10891</v>
      </c>
      <c r="Z520" s="1">
        <f t="shared" si="3572"/>
        <v>5131</v>
      </c>
      <c r="AA520" s="1">
        <f t="shared" si="3572"/>
        <v>5667</v>
      </c>
      <c r="AB520" s="1">
        <f t="shared" si="3566"/>
        <v>10798</v>
      </c>
      <c r="AC520" s="1">
        <f t="shared" si="3573"/>
        <v>4929</v>
      </c>
      <c r="AD520" s="1">
        <f t="shared" si="3573"/>
        <v>5471</v>
      </c>
      <c r="AE520" s="1">
        <f t="shared" si="3567"/>
        <v>10400</v>
      </c>
      <c r="AF520" s="2">
        <f t="shared" si="3574"/>
        <v>0.96063145585655818</v>
      </c>
      <c r="AG520" s="2">
        <f t="shared" si="3574"/>
        <v>0.96541379918828307</v>
      </c>
      <c r="AH520" s="2">
        <f t="shared" si="3574"/>
        <v>0.96314132246712358</v>
      </c>
      <c r="AI520" s="1">
        <f t="shared" si="3575"/>
        <v>4656</v>
      </c>
      <c r="AJ520" s="1">
        <f t="shared" si="3575"/>
        <v>5097</v>
      </c>
      <c r="AK520" s="1">
        <f t="shared" si="3568"/>
        <v>9753</v>
      </c>
      <c r="AL520" s="2">
        <f t="shared" si="3576"/>
        <v>0.90742545312804523</v>
      </c>
      <c r="AM520" s="2">
        <f t="shared" si="3576"/>
        <v>0.89941768131286393</v>
      </c>
      <c r="AN520" s="2">
        <f t="shared" si="3576"/>
        <v>0.90322281904056312</v>
      </c>
      <c r="AO520" s="2">
        <f t="shared" si="3577"/>
        <v>0.24498148509062562</v>
      </c>
      <c r="AP520" s="2">
        <f t="shared" si="3577"/>
        <v>0.22428092465149108</v>
      </c>
      <c r="AQ520" s="2">
        <f t="shared" si="3577"/>
        <v>0.23411742915354694</v>
      </c>
      <c r="AR520" s="2">
        <f t="shared" si="3569"/>
        <v>3.8199181446111868E-2</v>
      </c>
      <c r="AS520" s="2">
        <f t="shared" si="3578"/>
        <v>3.4586200811716955E-2</v>
      </c>
      <c r="AT520" s="2">
        <f t="shared" si="3578"/>
        <v>3.6858677532876458E-2</v>
      </c>
      <c r="AU520" s="2">
        <f t="shared" si="3570"/>
        <v>6.5827686350435621E-3</v>
      </c>
      <c r="AV520" s="2">
        <f t="shared" si="3570"/>
        <v>1.0303877052043312E-2</v>
      </c>
      <c r="AW520" s="2">
        <f t="shared" si="3570"/>
        <v>8.5391607749517942E-3</v>
      </c>
    </row>
    <row r="521" spans="1:49" ht="15.75" customHeight="1" x14ac:dyDescent="0.15">
      <c r="A521" s="1">
        <v>2025</v>
      </c>
      <c r="D521" t="s">
        <v>334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381</v>
      </c>
      <c r="L521">
        <v>635</v>
      </c>
      <c r="M521">
        <v>1016</v>
      </c>
      <c r="N521">
        <v>273</v>
      </c>
      <c r="O521">
        <v>322</v>
      </c>
      <c r="P521">
        <v>595</v>
      </c>
      <c r="Q521">
        <v>383</v>
      </c>
      <c r="R521">
        <v>467</v>
      </c>
      <c r="S521">
        <v>850</v>
      </c>
      <c r="T521">
        <v>17</v>
      </c>
      <c r="U521">
        <v>19</v>
      </c>
      <c r="V521">
        <v>36</v>
      </c>
      <c r="W521" s="1">
        <f t="shared" si="3571"/>
        <v>1054</v>
      </c>
      <c r="X521" s="1">
        <f t="shared" si="3571"/>
        <v>1443</v>
      </c>
      <c r="Y521" s="1">
        <f t="shared" si="3565"/>
        <v>2497</v>
      </c>
      <c r="Z521" s="1">
        <f t="shared" si="3572"/>
        <v>1037</v>
      </c>
      <c r="AA521" s="1">
        <f t="shared" si="3572"/>
        <v>1424</v>
      </c>
      <c r="AB521" s="1">
        <f t="shared" si="3566"/>
        <v>2461</v>
      </c>
      <c r="AC521" s="1">
        <f t="shared" si="3573"/>
        <v>654</v>
      </c>
      <c r="AD521" s="1">
        <f t="shared" si="3573"/>
        <v>957</v>
      </c>
      <c r="AE521" s="1">
        <f t="shared" si="3567"/>
        <v>1611</v>
      </c>
      <c r="AF521" s="2">
        <f t="shared" si="3574"/>
        <v>0.63066538090646096</v>
      </c>
      <c r="AG521" s="2">
        <f t="shared" si="3574"/>
        <v>0.6720505617977528</v>
      </c>
      <c r="AH521" s="2">
        <f t="shared" si="3574"/>
        <v>0.65461194636326692</v>
      </c>
      <c r="AI521" s="1">
        <f t="shared" si="3575"/>
        <v>381</v>
      </c>
      <c r="AJ521" s="1">
        <f t="shared" si="3575"/>
        <v>635</v>
      </c>
      <c r="AK521" s="1">
        <f t="shared" si="3568"/>
        <v>1016</v>
      </c>
      <c r="AL521" s="2">
        <f t="shared" si="3576"/>
        <v>0.36740597878495662</v>
      </c>
      <c r="AM521" s="2">
        <f t="shared" si="3576"/>
        <v>0.44592696629213485</v>
      </c>
      <c r="AN521" s="2">
        <f t="shared" si="3576"/>
        <v>0.41284030881755385</v>
      </c>
      <c r="AO521" s="2">
        <f t="shared" si="3577"/>
        <v>0</v>
      </c>
      <c r="AP521" s="2">
        <f t="shared" si="3577"/>
        <v>0</v>
      </c>
      <c r="AQ521" s="2">
        <f t="shared" si="3577"/>
        <v>0</v>
      </c>
      <c r="AR521" s="2">
        <f t="shared" si="3569"/>
        <v>0.45033751205400191</v>
      </c>
      <c r="AS521" s="2">
        <f t="shared" si="3578"/>
        <v>0.3279494382022472</v>
      </c>
      <c r="AT521" s="2">
        <f t="shared" si="3578"/>
        <v>0.34538805363673303</v>
      </c>
      <c r="AU521" s="2">
        <f t="shared" si="3570"/>
        <v>1.6129032258064516E-2</v>
      </c>
      <c r="AV521" s="2">
        <f t="shared" si="3570"/>
        <v>1.3167013167013167E-2</v>
      </c>
      <c r="AW521" s="2">
        <f t="shared" si="3570"/>
        <v>1.4417300760913096E-2</v>
      </c>
    </row>
    <row r="522" spans="1:49" ht="15.75" customHeight="1" x14ac:dyDescent="0.15">
      <c r="A522" s="1">
        <v>2025</v>
      </c>
      <c r="D522" t="s">
        <v>335</v>
      </c>
      <c r="E522">
        <v>56</v>
      </c>
      <c r="F522">
        <v>33</v>
      </c>
      <c r="G522">
        <v>89</v>
      </c>
      <c r="H522">
        <v>465</v>
      </c>
      <c r="I522">
        <v>483</v>
      </c>
      <c r="J522">
        <v>948</v>
      </c>
      <c r="K522">
        <v>381</v>
      </c>
      <c r="L522">
        <v>529</v>
      </c>
      <c r="M522">
        <v>910</v>
      </c>
      <c r="N522">
        <v>213</v>
      </c>
      <c r="O522">
        <v>322</v>
      </c>
      <c r="P522">
        <v>535</v>
      </c>
      <c r="Q522">
        <v>383</v>
      </c>
      <c r="R522">
        <v>467</v>
      </c>
      <c r="S522">
        <v>850</v>
      </c>
      <c r="T522">
        <v>17</v>
      </c>
      <c r="U522">
        <v>36</v>
      </c>
      <c r="V522">
        <v>53</v>
      </c>
      <c r="W522" s="1">
        <f t="shared" si="3571"/>
        <v>1515</v>
      </c>
      <c r="X522" s="1">
        <f t="shared" si="3571"/>
        <v>1870</v>
      </c>
      <c r="Y522" s="1">
        <f t="shared" si="3565"/>
        <v>3385</v>
      </c>
      <c r="Z522" s="1">
        <f t="shared" si="3572"/>
        <v>1498</v>
      </c>
      <c r="AA522" s="1">
        <f t="shared" si="3572"/>
        <v>1834</v>
      </c>
      <c r="AB522" s="1">
        <f t="shared" si="3566"/>
        <v>3332</v>
      </c>
      <c r="AC522" s="1">
        <f t="shared" si="3573"/>
        <v>1115</v>
      </c>
      <c r="AD522" s="1">
        <f t="shared" si="3573"/>
        <v>1367</v>
      </c>
      <c r="AE522" s="1">
        <f t="shared" si="3567"/>
        <v>2482</v>
      </c>
      <c r="AF522" s="2">
        <f t="shared" si="3574"/>
        <v>0.74432576769025371</v>
      </c>
      <c r="AG522" s="2">
        <f t="shared" si="3574"/>
        <v>0.74536532170119951</v>
      </c>
      <c r="AH522" s="2">
        <f t="shared" si="3574"/>
        <v>0.74489795918367352</v>
      </c>
      <c r="AI522" s="1">
        <f t="shared" si="3575"/>
        <v>902</v>
      </c>
      <c r="AJ522" s="1">
        <f t="shared" si="3575"/>
        <v>1045</v>
      </c>
      <c r="AK522" s="1">
        <f t="shared" si="3568"/>
        <v>1947</v>
      </c>
      <c r="AL522" s="2">
        <f t="shared" si="3576"/>
        <v>0.60213618157543392</v>
      </c>
      <c r="AM522" s="2">
        <f t="shared" si="3576"/>
        <v>0.56979280261723009</v>
      </c>
      <c r="AN522" s="2">
        <f t="shared" si="3576"/>
        <v>0.58433373349339734</v>
      </c>
      <c r="AO522" s="2">
        <f t="shared" si="3577"/>
        <v>3.7383177570093455E-2</v>
      </c>
      <c r="AP522" s="2">
        <f t="shared" si="3577"/>
        <v>1.7993456924754635E-2</v>
      </c>
      <c r="AQ522" s="2">
        <f t="shared" si="3577"/>
        <v>2.6710684273709484E-2</v>
      </c>
      <c r="AR522" s="2">
        <f t="shared" si="3569"/>
        <v>0.31174899866488653</v>
      </c>
      <c r="AS522" s="2">
        <f t="shared" si="3578"/>
        <v>0.25463467829880043</v>
      </c>
      <c r="AT522" s="2">
        <f t="shared" si="3578"/>
        <v>0.25510204081632654</v>
      </c>
      <c r="AU522" s="2">
        <f t="shared" si="3570"/>
        <v>1.1221122112211221E-2</v>
      </c>
      <c r="AV522" s="2">
        <f t="shared" si="3570"/>
        <v>1.9251336898395723E-2</v>
      </c>
      <c r="AW522" s="2">
        <f t="shared" si="3570"/>
        <v>1.565731166912851E-2</v>
      </c>
    </row>
    <row r="523" spans="1:49" ht="15.75" customHeight="1" x14ac:dyDescent="0.15">
      <c r="A523" s="1">
        <v>2025</v>
      </c>
      <c r="C523" s="3" t="s">
        <v>67</v>
      </c>
      <c r="D523" t="s">
        <v>336</v>
      </c>
      <c r="E523">
        <v>38</v>
      </c>
      <c r="F523">
        <v>9</v>
      </c>
      <c r="G523">
        <v>47</v>
      </c>
      <c r="H523">
        <v>604</v>
      </c>
      <c r="I523">
        <v>299</v>
      </c>
      <c r="J523">
        <v>903</v>
      </c>
      <c r="K523">
        <v>480</v>
      </c>
      <c r="L523">
        <v>362</v>
      </c>
      <c r="M523">
        <v>842</v>
      </c>
      <c r="N523">
        <v>221</v>
      </c>
      <c r="O523">
        <v>226</v>
      </c>
      <c r="P523">
        <v>447</v>
      </c>
      <c r="Q523">
        <v>150</v>
      </c>
      <c r="R523">
        <v>128</v>
      </c>
      <c r="S523">
        <v>278</v>
      </c>
      <c r="T523">
        <v>33</v>
      </c>
      <c r="U523">
        <v>18</v>
      </c>
      <c r="V523">
        <v>51</v>
      </c>
      <c r="W523" s="1">
        <f t="shared" si="3571"/>
        <v>1526</v>
      </c>
      <c r="X523" s="1">
        <f t="shared" si="3571"/>
        <v>1042</v>
      </c>
      <c r="Y523" s="1">
        <f t="shared" si="3565"/>
        <v>2568</v>
      </c>
      <c r="Z523" s="1">
        <f t="shared" si="3572"/>
        <v>1493</v>
      </c>
      <c r="AA523" s="1">
        <f t="shared" si="3572"/>
        <v>1024</v>
      </c>
      <c r="AB523" s="1">
        <f t="shared" si="3566"/>
        <v>2517</v>
      </c>
      <c r="AC523" s="1">
        <f t="shared" si="3573"/>
        <v>1343</v>
      </c>
      <c r="AD523" s="1">
        <f t="shared" si="3573"/>
        <v>896</v>
      </c>
      <c r="AE523" s="1">
        <f t="shared" si="3567"/>
        <v>2239</v>
      </c>
      <c r="AF523" s="2">
        <f t="shared" si="3574"/>
        <v>0.89953114534494305</v>
      </c>
      <c r="AG523" s="2">
        <f t="shared" si="3574"/>
        <v>0.875</v>
      </c>
      <c r="AH523" s="2">
        <f t="shared" si="3574"/>
        <v>0.88955105284068337</v>
      </c>
      <c r="AI523" s="1">
        <f t="shared" si="3575"/>
        <v>1122</v>
      </c>
      <c r="AJ523" s="1">
        <f t="shared" si="3575"/>
        <v>670</v>
      </c>
      <c r="AK523" s="1">
        <f t="shared" si="3568"/>
        <v>1792</v>
      </c>
      <c r="AL523" s="2">
        <f t="shared" si="3576"/>
        <v>0.75150703281982589</v>
      </c>
      <c r="AM523" s="2">
        <f t="shared" si="3576"/>
        <v>0.654296875</v>
      </c>
      <c r="AN523" s="2">
        <f t="shared" si="3576"/>
        <v>0.71195868096940806</v>
      </c>
      <c r="AO523" s="2">
        <f t="shared" si="3577"/>
        <v>2.5452109845947757E-2</v>
      </c>
      <c r="AP523" s="2">
        <f t="shared" si="3577"/>
        <v>8.7890625E-3</v>
      </c>
      <c r="AQ523" s="2">
        <f t="shared" si="3577"/>
        <v>1.8673023440603894E-2</v>
      </c>
      <c r="AR523" s="2">
        <f t="shared" si="3569"/>
        <v>8.5733422638981913E-2</v>
      </c>
      <c r="AS523" s="2">
        <f t="shared" si="3578"/>
        <v>0.125</v>
      </c>
      <c r="AT523" s="2">
        <f t="shared" si="3578"/>
        <v>0.11044894715931665</v>
      </c>
      <c r="AU523" s="2">
        <f t="shared" si="3570"/>
        <v>2.1625163826998691E-2</v>
      </c>
      <c r="AV523" s="2">
        <f t="shared" si="3570"/>
        <v>1.7274472168905951E-2</v>
      </c>
      <c r="AW523" s="2">
        <f t="shared" si="3570"/>
        <v>1.9859813084112148E-2</v>
      </c>
    </row>
    <row r="524" spans="1:49" ht="15.75" customHeight="1" x14ac:dyDescent="0.15">
      <c r="A524" s="1">
        <v>2025</v>
      </c>
      <c r="D524" t="s">
        <v>337</v>
      </c>
      <c r="E524">
        <v>1207</v>
      </c>
      <c r="F524">
        <v>1062</v>
      </c>
      <c r="G524">
        <v>2269</v>
      </c>
      <c r="H524">
        <v>1703</v>
      </c>
      <c r="I524">
        <v>2179</v>
      </c>
      <c r="J524">
        <v>3882</v>
      </c>
      <c r="K524">
        <v>349</v>
      </c>
      <c r="L524">
        <v>425</v>
      </c>
      <c r="M524">
        <v>774</v>
      </c>
      <c r="N524">
        <v>162</v>
      </c>
      <c r="O524">
        <v>216</v>
      </c>
      <c r="P524">
        <v>378</v>
      </c>
      <c r="Q524">
        <v>111</v>
      </c>
      <c r="R524">
        <v>143</v>
      </c>
      <c r="S524">
        <v>254</v>
      </c>
      <c r="T524">
        <v>40</v>
      </c>
      <c r="U524">
        <v>40</v>
      </c>
      <c r="V524">
        <v>80</v>
      </c>
      <c r="W524" s="1">
        <f t="shared" si="3571"/>
        <v>3572</v>
      </c>
      <c r="X524" s="1">
        <f t="shared" si="3571"/>
        <v>4065</v>
      </c>
      <c r="Y524" s="1">
        <f t="shared" si="3565"/>
        <v>7637</v>
      </c>
      <c r="Z524" s="1">
        <f t="shared" si="3572"/>
        <v>3532</v>
      </c>
      <c r="AA524" s="1">
        <f t="shared" si="3572"/>
        <v>4025</v>
      </c>
      <c r="AB524" s="1">
        <f t="shared" si="3566"/>
        <v>7557</v>
      </c>
      <c r="AC524" s="1">
        <f t="shared" si="3573"/>
        <v>3421</v>
      </c>
      <c r="AD524" s="1">
        <f t="shared" si="3573"/>
        <v>3882</v>
      </c>
      <c r="AE524" s="1">
        <f t="shared" si="3567"/>
        <v>7303</v>
      </c>
      <c r="AF524" s="2">
        <f t="shared" si="3574"/>
        <v>0.9685730464326161</v>
      </c>
      <c r="AG524" s="2">
        <f t="shared" si="3574"/>
        <v>0.964472049689441</v>
      </c>
      <c r="AH524" s="2">
        <f t="shared" si="3574"/>
        <v>0.96638877861585282</v>
      </c>
      <c r="AI524" s="1">
        <f t="shared" si="3575"/>
        <v>3259</v>
      </c>
      <c r="AJ524" s="1">
        <f t="shared" si="3575"/>
        <v>3666</v>
      </c>
      <c r="AK524" s="1">
        <f t="shared" si="3568"/>
        <v>6925</v>
      </c>
      <c r="AL524" s="2">
        <f t="shared" si="3576"/>
        <v>0.92270668176670445</v>
      </c>
      <c r="AM524" s="2">
        <f t="shared" si="3576"/>
        <v>0.9108074534161491</v>
      </c>
      <c r="AN524" s="2">
        <f t="shared" si="3576"/>
        <v>0.9163689294693661</v>
      </c>
      <c r="AO524" s="2">
        <f t="shared" si="3577"/>
        <v>0.3417327293318233</v>
      </c>
      <c r="AP524" s="2">
        <f t="shared" si="3577"/>
        <v>0.26385093167701862</v>
      </c>
      <c r="AQ524" s="2">
        <f t="shared" si="3577"/>
        <v>0.30025142252216486</v>
      </c>
      <c r="AR524" s="2">
        <f t="shared" si="3569"/>
        <v>4.0486976217440546E-2</v>
      </c>
      <c r="AS524" s="2">
        <f t="shared" si="3578"/>
        <v>3.5527950310559005E-2</v>
      </c>
      <c r="AT524" s="2">
        <f t="shared" si="3578"/>
        <v>3.3611221384147148E-2</v>
      </c>
      <c r="AU524" s="2">
        <f t="shared" si="3570"/>
        <v>1.1198208286674132E-2</v>
      </c>
      <c r="AV524" s="2">
        <f t="shared" si="3570"/>
        <v>9.8400984009840101E-3</v>
      </c>
      <c r="AW524" s="2">
        <f t="shared" si="3570"/>
        <v>1.047531753306272E-2</v>
      </c>
    </row>
    <row r="525" spans="1:49" ht="15.75" customHeight="1" x14ac:dyDescent="0.15">
      <c r="A525" s="1">
        <v>2025</v>
      </c>
      <c r="D525" t="s">
        <v>338</v>
      </c>
      <c r="E525">
        <v>152</v>
      </c>
      <c r="F525">
        <v>177</v>
      </c>
      <c r="G525">
        <v>329</v>
      </c>
      <c r="H525">
        <v>692</v>
      </c>
      <c r="I525">
        <v>908</v>
      </c>
      <c r="J525">
        <v>1600</v>
      </c>
      <c r="K525">
        <v>169</v>
      </c>
      <c r="L525">
        <v>229</v>
      </c>
      <c r="M525">
        <v>398</v>
      </c>
      <c r="N525">
        <v>114</v>
      </c>
      <c r="O525">
        <v>131</v>
      </c>
      <c r="P525">
        <v>245</v>
      </c>
      <c r="Q525">
        <v>51</v>
      </c>
      <c r="R525">
        <v>47</v>
      </c>
      <c r="S525">
        <v>98</v>
      </c>
      <c r="T525">
        <v>31</v>
      </c>
      <c r="U525">
        <v>23</v>
      </c>
      <c r="V525">
        <v>54</v>
      </c>
      <c r="W525" s="1">
        <f t="shared" si="3571"/>
        <v>1209</v>
      </c>
      <c r="X525" s="1">
        <f t="shared" si="3571"/>
        <v>1515</v>
      </c>
      <c r="Y525" s="1">
        <f t="shared" si="3565"/>
        <v>2724</v>
      </c>
      <c r="Z525" s="1">
        <f t="shared" si="3572"/>
        <v>1178</v>
      </c>
      <c r="AA525" s="1">
        <f t="shared" si="3572"/>
        <v>1492</v>
      </c>
      <c r="AB525" s="1">
        <f t="shared" si="3566"/>
        <v>2670</v>
      </c>
      <c r="AC525" s="1">
        <f t="shared" si="3573"/>
        <v>1127</v>
      </c>
      <c r="AD525" s="1">
        <f t="shared" si="3573"/>
        <v>1445</v>
      </c>
      <c r="AE525" s="1">
        <f t="shared" si="3567"/>
        <v>2572</v>
      </c>
      <c r="AF525" s="2">
        <f t="shared" si="3574"/>
        <v>0.95670628183361628</v>
      </c>
      <c r="AG525" s="2">
        <f t="shared" si="3574"/>
        <v>0.96849865951742631</v>
      </c>
      <c r="AH525" s="2">
        <f t="shared" si="3574"/>
        <v>0.96329588014981271</v>
      </c>
      <c r="AI525" s="1">
        <f t="shared" si="3575"/>
        <v>1013</v>
      </c>
      <c r="AJ525" s="1">
        <f t="shared" si="3575"/>
        <v>1314</v>
      </c>
      <c r="AK525" s="1">
        <f t="shared" si="3568"/>
        <v>2327</v>
      </c>
      <c r="AL525" s="2">
        <f t="shared" si="3576"/>
        <v>0.85993208828522916</v>
      </c>
      <c r="AM525" s="2">
        <f t="shared" si="3576"/>
        <v>0.88069705093833783</v>
      </c>
      <c r="AN525" s="2">
        <f t="shared" si="3576"/>
        <v>0.87153558052434454</v>
      </c>
      <c r="AO525" s="2">
        <f t="shared" si="3577"/>
        <v>0.12903225806451613</v>
      </c>
      <c r="AP525" s="2">
        <f t="shared" si="3577"/>
        <v>0.11863270777479892</v>
      </c>
      <c r="AQ525" s="2">
        <f t="shared" si="3577"/>
        <v>0.12322097378277154</v>
      </c>
      <c r="AR525" s="2">
        <f t="shared" si="3569"/>
        <v>3.9898132427843805E-2</v>
      </c>
      <c r="AS525" s="2">
        <f t="shared" si="3578"/>
        <v>3.1501340482573727E-2</v>
      </c>
      <c r="AT525" s="2">
        <f t="shared" si="3578"/>
        <v>3.6704119850187268E-2</v>
      </c>
      <c r="AU525" s="2">
        <f t="shared" si="3570"/>
        <v>2.564102564102564E-2</v>
      </c>
      <c r="AV525" s="2">
        <f t="shared" si="3570"/>
        <v>1.5181518151815182E-2</v>
      </c>
      <c r="AW525" s="2">
        <f t="shared" si="3570"/>
        <v>1.9823788546255508E-2</v>
      </c>
    </row>
    <row r="526" spans="1:49" ht="15.75" customHeight="1" x14ac:dyDescent="0.15">
      <c r="A526" s="1">
        <v>2025</v>
      </c>
      <c r="C526" s="3" t="s">
        <v>99</v>
      </c>
      <c r="D526" t="s">
        <v>339</v>
      </c>
      <c r="E526">
        <v>176</v>
      </c>
      <c r="F526">
        <v>138</v>
      </c>
      <c r="G526">
        <v>314</v>
      </c>
      <c r="H526">
        <v>647</v>
      </c>
      <c r="I526">
        <v>700</v>
      </c>
      <c r="J526">
        <v>1347</v>
      </c>
      <c r="K526">
        <v>139</v>
      </c>
      <c r="L526">
        <v>226</v>
      </c>
      <c r="M526">
        <v>365</v>
      </c>
      <c r="N526">
        <v>42</v>
      </c>
      <c r="O526">
        <v>88</v>
      </c>
      <c r="P526">
        <v>130</v>
      </c>
      <c r="Q526">
        <v>30</v>
      </c>
      <c r="R526">
        <v>45</v>
      </c>
      <c r="S526">
        <v>75</v>
      </c>
      <c r="T526">
        <v>4</v>
      </c>
      <c r="U526">
        <v>9</v>
      </c>
      <c r="V526">
        <v>13</v>
      </c>
      <c r="W526" s="1">
        <f t="shared" si="3571"/>
        <v>1038</v>
      </c>
      <c r="X526" s="1">
        <f t="shared" si="3571"/>
        <v>1206</v>
      </c>
      <c r="Y526" s="1">
        <f t="shared" si="3565"/>
        <v>2244</v>
      </c>
      <c r="Z526" s="1">
        <f t="shared" si="3572"/>
        <v>1034</v>
      </c>
      <c r="AA526" s="1">
        <f t="shared" si="3572"/>
        <v>1197</v>
      </c>
      <c r="AB526" s="1">
        <f t="shared" si="3566"/>
        <v>2231</v>
      </c>
      <c r="AC526" s="1">
        <f t="shared" si="3573"/>
        <v>1004</v>
      </c>
      <c r="AD526" s="1">
        <f t="shared" si="3573"/>
        <v>1152</v>
      </c>
      <c r="AE526" s="1">
        <f t="shared" si="3567"/>
        <v>2156</v>
      </c>
      <c r="AF526" s="2">
        <f t="shared" si="3574"/>
        <v>0.97098646034816249</v>
      </c>
      <c r="AG526" s="2">
        <f t="shared" si="3574"/>
        <v>0.96240601503759393</v>
      </c>
      <c r="AH526" s="2">
        <f t="shared" si="3574"/>
        <v>0.96638278798744959</v>
      </c>
      <c r="AI526" s="1">
        <f t="shared" si="3575"/>
        <v>962</v>
      </c>
      <c r="AJ526" s="1">
        <f t="shared" si="3575"/>
        <v>1064</v>
      </c>
      <c r="AK526" s="1">
        <f t="shared" si="3568"/>
        <v>2026</v>
      </c>
      <c r="AL526" s="2">
        <f t="shared" si="3576"/>
        <v>0.93036750483558994</v>
      </c>
      <c r="AM526" s="2">
        <f t="shared" si="3576"/>
        <v>0.88888888888888884</v>
      </c>
      <c r="AN526" s="2">
        <f t="shared" si="3576"/>
        <v>0.90811295383236212</v>
      </c>
      <c r="AO526" s="2">
        <f t="shared" si="3577"/>
        <v>0.1702127659574468</v>
      </c>
      <c r="AP526" s="2">
        <f t="shared" si="3577"/>
        <v>0.11528822055137844</v>
      </c>
      <c r="AQ526" s="2">
        <f t="shared" si="3577"/>
        <v>0.1407440609592111</v>
      </c>
      <c r="AR526" s="2">
        <f t="shared" si="3569"/>
        <v>4.3520309477756286E-2</v>
      </c>
      <c r="AS526" s="2">
        <f t="shared" si="3578"/>
        <v>3.7593984962406013E-2</v>
      </c>
      <c r="AT526" s="2">
        <f t="shared" si="3578"/>
        <v>3.3617212012550426E-2</v>
      </c>
      <c r="AU526" s="2">
        <f t="shared" si="3570"/>
        <v>3.8535645472061657E-3</v>
      </c>
      <c r="AV526" s="2">
        <f t="shared" si="3570"/>
        <v>7.462686567164179E-3</v>
      </c>
      <c r="AW526" s="2">
        <f t="shared" si="3570"/>
        <v>5.7932263814616759E-3</v>
      </c>
    </row>
    <row r="527" spans="1:49" ht="15.75" customHeight="1" x14ac:dyDescent="0.15">
      <c r="A527" s="1">
        <v>2025</v>
      </c>
      <c r="C527" s="3" t="s">
        <v>99</v>
      </c>
      <c r="D527" t="s">
        <v>340</v>
      </c>
      <c r="E527">
        <v>104</v>
      </c>
      <c r="F527">
        <v>52</v>
      </c>
      <c r="G527">
        <v>156</v>
      </c>
      <c r="H527">
        <v>849</v>
      </c>
      <c r="I527">
        <v>829</v>
      </c>
      <c r="J527">
        <v>1678</v>
      </c>
      <c r="K527">
        <v>341</v>
      </c>
      <c r="L527">
        <v>432</v>
      </c>
      <c r="M527">
        <v>773</v>
      </c>
      <c r="N527">
        <v>139</v>
      </c>
      <c r="O527">
        <v>187</v>
      </c>
      <c r="P527">
        <v>326</v>
      </c>
      <c r="Q527">
        <v>151</v>
      </c>
      <c r="R527">
        <v>198</v>
      </c>
      <c r="S527">
        <v>349</v>
      </c>
      <c r="T527">
        <v>11</v>
      </c>
      <c r="U527">
        <v>13</v>
      </c>
      <c r="V527">
        <v>24</v>
      </c>
      <c r="W527" s="1">
        <f t="shared" si="3571"/>
        <v>1595</v>
      </c>
      <c r="X527" s="1">
        <f t="shared" si="3571"/>
        <v>1711</v>
      </c>
      <c r="Y527" s="1">
        <f t="shared" si="3565"/>
        <v>3306</v>
      </c>
      <c r="Z527" s="1">
        <f t="shared" si="3572"/>
        <v>1584</v>
      </c>
      <c r="AA527" s="1">
        <f t="shared" si="3572"/>
        <v>1698</v>
      </c>
      <c r="AB527" s="1">
        <f t="shared" si="3566"/>
        <v>3282</v>
      </c>
      <c r="AC527" s="1">
        <f t="shared" si="3573"/>
        <v>1433</v>
      </c>
      <c r="AD527" s="1">
        <f t="shared" si="3573"/>
        <v>1500</v>
      </c>
      <c r="AE527" s="1">
        <f t="shared" si="3567"/>
        <v>2933</v>
      </c>
      <c r="AF527" s="2">
        <f t="shared" si="3574"/>
        <v>0.90467171717171713</v>
      </c>
      <c r="AG527" s="2">
        <f t="shared" si="3574"/>
        <v>0.88339222614840984</v>
      </c>
      <c r="AH527" s="2">
        <f t="shared" si="3574"/>
        <v>0.89366240097501526</v>
      </c>
      <c r="AI527" s="1">
        <f t="shared" si="3575"/>
        <v>1294</v>
      </c>
      <c r="AJ527" s="1">
        <f t="shared" si="3575"/>
        <v>1313</v>
      </c>
      <c r="AK527" s="1">
        <f t="shared" si="3568"/>
        <v>2607</v>
      </c>
      <c r="AL527" s="2">
        <f t="shared" si="3576"/>
        <v>0.81691919191919193</v>
      </c>
      <c r="AM527" s="2">
        <f t="shared" si="3576"/>
        <v>0.77326266195524151</v>
      </c>
      <c r="AN527" s="2">
        <f t="shared" si="3576"/>
        <v>0.79433272394881171</v>
      </c>
      <c r="AO527" s="2">
        <f t="shared" si="3577"/>
        <v>6.5656565656565663E-2</v>
      </c>
      <c r="AP527" s="2">
        <f t="shared" si="3577"/>
        <v>3.0624263839811542E-2</v>
      </c>
      <c r="AQ527" s="2">
        <f t="shared" si="3577"/>
        <v>4.7531992687385741E-2</v>
      </c>
      <c r="AR527" s="2">
        <f t="shared" si="3569"/>
        <v>0.125</v>
      </c>
      <c r="AS527" s="2">
        <f t="shared" si="3578"/>
        <v>0.1166077738515901</v>
      </c>
      <c r="AT527" s="2">
        <f t="shared" si="3578"/>
        <v>0.10633759902498477</v>
      </c>
      <c r="AU527" s="2">
        <f t="shared" si="3570"/>
        <v>6.8965517241379309E-3</v>
      </c>
      <c r="AV527" s="2">
        <f t="shared" si="3570"/>
        <v>7.5978959672706016E-3</v>
      </c>
      <c r="AW527" s="2">
        <f t="shared" si="3570"/>
        <v>7.2595281306715061E-3</v>
      </c>
    </row>
    <row r="528" spans="1:49" ht="15.75" customHeight="1" x14ac:dyDescent="0.15">
      <c r="A528" s="1">
        <v>2025</v>
      </c>
      <c r="C528" s="3" t="s">
        <v>89</v>
      </c>
      <c r="D528" t="s">
        <v>341</v>
      </c>
      <c r="E528">
        <v>263</v>
      </c>
      <c r="F528">
        <v>212</v>
      </c>
      <c r="G528">
        <v>475</v>
      </c>
      <c r="H528">
        <v>2170</v>
      </c>
      <c r="I528">
        <v>2327</v>
      </c>
      <c r="J528">
        <v>4497</v>
      </c>
      <c r="K528">
        <v>1371</v>
      </c>
      <c r="L528">
        <v>1638</v>
      </c>
      <c r="M528">
        <v>3009</v>
      </c>
      <c r="N528">
        <v>802</v>
      </c>
      <c r="O528">
        <v>1007</v>
      </c>
      <c r="P528">
        <v>1809</v>
      </c>
      <c r="Q528">
        <v>621</v>
      </c>
      <c r="R528">
        <v>760</v>
      </c>
      <c r="S528">
        <v>1381</v>
      </c>
      <c r="T528">
        <v>84</v>
      </c>
      <c r="U528">
        <v>113</v>
      </c>
      <c r="V528">
        <v>197</v>
      </c>
      <c r="W528" s="1">
        <f t="shared" si="3571"/>
        <v>5311</v>
      </c>
      <c r="X528" s="1">
        <f t="shared" si="3571"/>
        <v>6057</v>
      </c>
      <c r="Y528" s="1">
        <f t="shared" si="3565"/>
        <v>11368</v>
      </c>
      <c r="Z528" s="1">
        <f t="shared" si="3572"/>
        <v>5227</v>
      </c>
      <c r="AA528" s="1">
        <f t="shared" si="3572"/>
        <v>5944</v>
      </c>
      <c r="AB528" s="1">
        <f t="shared" si="3566"/>
        <v>11171</v>
      </c>
      <c r="AC528" s="1">
        <f t="shared" si="3573"/>
        <v>4606</v>
      </c>
      <c r="AD528" s="1">
        <f t="shared" si="3573"/>
        <v>5184</v>
      </c>
      <c r="AE528" s="1">
        <f t="shared" si="3567"/>
        <v>9790</v>
      </c>
      <c r="AF528" s="2">
        <f t="shared" si="3574"/>
        <v>0.88119380141572601</v>
      </c>
      <c r="AG528" s="2">
        <f t="shared" si="3574"/>
        <v>0.87213997308209956</v>
      </c>
      <c r="AH528" s="2">
        <f t="shared" si="3574"/>
        <v>0.87637633157282246</v>
      </c>
      <c r="AI528" s="1">
        <f t="shared" si="3575"/>
        <v>3804</v>
      </c>
      <c r="AJ528" s="1">
        <f t="shared" si="3575"/>
        <v>4177</v>
      </c>
      <c r="AK528" s="1">
        <f t="shared" si="3568"/>
        <v>7981</v>
      </c>
      <c r="AL528" s="2">
        <f t="shared" si="3576"/>
        <v>0.72775970920221922</v>
      </c>
      <c r="AM528" s="2">
        <f t="shared" si="3576"/>
        <v>0.70272543741588156</v>
      </c>
      <c r="AN528" s="2">
        <f t="shared" si="3576"/>
        <v>0.71443917285829384</v>
      </c>
      <c r="AO528" s="2">
        <f t="shared" si="3577"/>
        <v>5.0315668643581404E-2</v>
      </c>
      <c r="AP528" s="2">
        <f t="shared" si="3577"/>
        <v>3.5666218034993272E-2</v>
      </c>
      <c r="AQ528" s="2">
        <f t="shared" si="3577"/>
        <v>4.2520812818906094E-2</v>
      </c>
      <c r="AR528" s="2">
        <f t="shared" si="3569"/>
        <v>0.14539889037688922</v>
      </c>
      <c r="AS528" s="2">
        <f t="shared" si="3578"/>
        <v>0.12786002691790041</v>
      </c>
      <c r="AT528" s="2">
        <f t="shared" si="3578"/>
        <v>0.12362366842717751</v>
      </c>
      <c r="AU528" s="2">
        <f t="shared" si="3570"/>
        <v>1.5816230465072492E-2</v>
      </c>
      <c r="AV528" s="2">
        <f t="shared" si="3570"/>
        <v>1.8656100379725937E-2</v>
      </c>
      <c r="AW528" s="2">
        <f t="shared" si="3570"/>
        <v>1.7329345531315973E-2</v>
      </c>
    </row>
    <row r="529" spans="1:49" ht="15.75" customHeight="1" x14ac:dyDescent="0.15">
      <c r="A529" s="1">
        <v>2025</v>
      </c>
      <c r="D529" t="s">
        <v>342</v>
      </c>
      <c r="E529">
        <v>431</v>
      </c>
      <c r="F529">
        <v>353</v>
      </c>
      <c r="G529">
        <v>784</v>
      </c>
      <c r="H529">
        <v>1499</v>
      </c>
      <c r="I529">
        <v>1750</v>
      </c>
      <c r="J529">
        <v>3249</v>
      </c>
      <c r="K529">
        <v>604</v>
      </c>
      <c r="L529">
        <v>858</v>
      </c>
      <c r="M529">
        <v>1462</v>
      </c>
      <c r="N529">
        <v>326</v>
      </c>
      <c r="O529">
        <v>549</v>
      </c>
      <c r="P529">
        <v>875</v>
      </c>
      <c r="Q529">
        <v>457</v>
      </c>
      <c r="R529">
        <v>488</v>
      </c>
      <c r="S529">
        <v>945</v>
      </c>
      <c r="T529">
        <v>30</v>
      </c>
      <c r="U529">
        <v>36</v>
      </c>
      <c r="V529">
        <v>66</v>
      </c>
      <c r="W529" s="1">
        <f t="shared" si="3571"/>
        <v>3347</v>
      </c>
      <c r="X529" s="1">
        <f t="shared" si="3571"/>
        <v>4034</v>
      </c>
      <c r="Y529" s="1">
        <f t="shared" si="3565"/>
        <v>7381</v>
      </c>
      <c r="Z529" s="1">
        <f t="shared" si="3572"/>
        <v>3317</v>
      </c>
      <c r="AA529" s="1">
        <f t="shared" si="3572"/>
        <v>3998</v>
      </c>
      <c r="AB529" s="1">
        <f t="shared" si="3566"/>
        <v>7315</v>
      </c>
      <c r="AC529" s="1">
        <f t="shared" si="3573"/>
        <v>2860</v>
      </c>
      <c r="AD529" s="1">
        <f t="shared" si="3573"/>
        <v>3510</v>
      </c>
      <c r="AE529" s="1">
        <f t="shared" si="3567"/>
        <v>6370</v>
      </c>
      <c r="AF529" s="2">
        <f t="shared" si="3574"/>
        <v>0.86222490201989754</v>
      </c>
      <c r="AG529" s="2">
        <f t="shared" si="3574"/>
        <v>0.87793896948474237</v>
      </c>
      <c r="AH529" s="2">
        <f t="shared" si="3574"/>
        <v>0.87081339712918659</v>
      </c>
      <c r="AI529" s="1">
        <f t="shared" si="3575"/>
        <v>2534</v>
      </c>
      <c r="AJ529" s="1">
        <f t="shared" si="3575"/>
        <v>2961</v>
      </c>
      <c r="AK529" s="1">
        <f t="shared" si="3568"/>
        <v>5495</v>
      </c>
      <c r="AL529" s="2">
        <f t="shared" si="3576"/>
        <v>0.76394332227916795</v>
      </c>
      <c r="AM529" s="2">
        <f t="shared" si="3576"/>
        <v>0.74062031015507757</v>
      </c>
      <c r="AN529" s="2">
        <f t="shared" si="3576"/>
        <v>0.75119617224880386</v>
      </c>
      <c r="AO529" s="2">
        <f t="shared" si="3577"/>
        <v>0.12993668977992162</v>
      </c>
      <c r="AP529" s="2">
        <f t="shared" si="3577"/>
        <v>8.8294147073536763E-2</v>
      </c>
      <c r="AQ529" s="2">
        <f t="shared" si="3577"/>
        <v>0.10717703349282297</v>
      </c>
      <c r="AR529" s="2">
        <f t="shared" si="3569"/>
        <v>0.14712089237262588</v>
      </c>
      <c r="AS529" s="2">
        <f t="shared" si="3578"/>
        <v>0.12206103051525763</v>
      </c>
      <c r="AT529" s="2">
        <f t="shared" si="3578"/>
        <v>0.12918660287081341</v>
      </c>
      <c r="AU529" s="2">
        <f t="shared" si="3570"/>
        <v>8.9632506722437996E-3</v>
      </c>
      <c r="AV529" s="2">
        <f t="shared" si="3570"/>
        <v>8.9241447694595934E-3</v>
      </c>
      <c r="AW529" s="2">
        <f t="shared" si="3570"/>
        <v>8.9418777943368107E-3</v>
      </c>
    </row>
    <row r="530" spans="1:49" ht="15.75" customHeight="1" x14ac:dyDescent="0.15">
      <c r="A530" s="1">
        <v>2025</v>
      </c>
      <c r="D530" t="s">
        <v>343</v>
      </c>
      <c r="E530">
        <v>120</v>
      </c>
      <c r="F530">
        <v>121</v>
      </c>
      <c r="G530">
        <v>241</v>
      </c>
      <c r="H530">
        <v>910</v>
      </c>
      <c r="I530">
        <v>1039</v>
      </c>
      <c r="J530">
        <v>1949</v>
      </c>
      <c r="K530">
        <v>700</v>
      </c>
      <c r="L530">
        <v>885</v>
      </c>
      <c r="M530">
        <v>1585</v>
      </c>
      <c r="N530">
        <v>284</v>
      </c>
      <c r="O530">
        <v>435</v>
      </c>
      <c r="P530">
        <v>719</v>
      </c>
      <c r="Q530">
        <v>372</v>
      </c>
      <c r="R530">
        <v>446</v>
      </c>
      <c r="S530">
        <v>818</v>
      </c>
      <c r="T530">
        <v>19</v>
      </c>
      <c r="U530">
        <v>39</v>
      </c>
      <c r="V530">
        <v>58</v>
      </c>
      <c r="W530" s="1">
        <f t="shared" si="3571"/>
        <v>2405</v>
      </c>
      <c r="X530" s="1">
        <f t="shared" si="3571"/>
        <v>2965</v>
      </c>
      <c r="Y530" s="1">
        <f t="shared" si="3565"/>
        <v>5370</v>
      </c>
      <c r="Z530" s="1">
        <f t="shared" si="3572"/>
        <v>2386</v>
      </c>
      <c r="AA530" s="1">
        <f t="shared" si="3572"/>
        <v>2926</v>
      </c>
      <c r="AB530" s="1">
        <f t="shared" si="3566"/>
        <v>5312</v>
      </c>
      <c r="AC530" s="1">
        <f t="shared" si="3573"/>
        <v>2014</v>
      </c>
      <c r="AD530" s="1">
        <f t="shared" si="3573"/>
        <v>2480</v>
      </c>
      <c r="AE530" s="1">
        <f t="shared" si="3567"/>
        <v>4494</v>
      </c>
      <c r="AF530" s="2">
        <f t="shared" si="3574"/>
        <v>0.84409052808046936</v>
      </c>
      <c r="AG530" s="2">
        <f t="shared" si="3574"/>
        <v>0.84757347915242653</v>
      </c>
      <c r="AH530" s="2">
        <f t="shared" si="3574"/>
        <v>0.84600903614457834</v>
      </c>
      <c r="AI530" s="1">
        <f t="shared" si="3575"/>
        <v>1730</v>
      </c>
      <c r="AJ530" s="1">
        <f t="shared" si="3575"/>
        <v>2045</v>
      </c>
      <c r="AK530" s="1">
        <f t="shared" si="3568"/>
        <v>3775</v>
      </c>
      <c r="AL530" s="2">
        <f t="shared" si="3576"/>
        <v>0.72506286672254816</v>
      </c>
      <c r="AM530" s="2">
        <f t="shared" si="3576"/>
        <v>0.6989063568010937</v>
      </c>
      <c r="AN530" s="2">
        <f t="shared" si="3576"/>
        <v>0.71065512048192769</v>
      </c>
      <c r="AO530" s="2">
        <f t="shared" si="3577"/>
        <v>5.0293378038558254E-2</v>
      </c>
      <c r="AP530" s="2">
        <f t="shared" si="3577"/>
        <v>4.1353383458646614E-2</v>
      </c>
      <c r="AQ530" s="2">
        <f t="shared" si="3577"/>
        <v>4.536897590361446E-2</v>
      </c>
      <c r="AR530" s="2">
        <f t="shared" si="3569"/>
        <v>0.18692372170997484</v>
      </c>
      <c r="AS530" s="2">
        <f t="shared" si="3578"/>
        <v>0.15242652084757347</v>
      </c>
      <c r="AT530" s="2">
        <f t="shared" si="3578"/>
        <v>0.15399096385542169</v>
      </c>
      <c r="AU530" s="2">
        <f t="shared" si="3570"/>
        <v>7.9002079002079006E-3</v>
      </c>
      <c r="AV530" s="2">
        <f t="shared" si="3570"/>
        <v>1.315345699831366E-2</v>
      </c>
      <c r="AW530" s="2">
        <f t="shared" si="3570"/>
        <v>1.080074487895717E-2</v>
      </c>
    </row>
    <row r="531" spans="1:49" ht="15.75" customHeight="1" x14ac:dyDescent="0.15">
      <c r="A531" s="1">
        <v>2025</v>
      </c>
      <c r="C531" s="3" t="s">
        <v>54</v>
      </c>
      <c r="D531" t="s">
        <v>344</v>
      </c>
      <c r="E531">
        <v>1241</v>
      </c>
      <c r="F531">
        <v>1057</v>
      </c>
      <c r="G531">
        <v>2298</v>
      </c>
      <c r="H531">
        <v>1515</v>
      </c>
      <c r="I531">
        <v>1795</v>
      </c>
      <c r="J531">
        <v>3310</v>
      </c>
      <c r="K531">
        <v>163</v>
      </c>
      <c r="L531">
        <v>216</v>
      </c>
      <c r="M531">
        <v>379</v>
      </c>
      <c r="N531">
        <v>59</v>
      </c>
      <c r="O531">
        <v>67</v>
      </c>
      <c r="P531">
        <v>126</v>
      </c>
      <c r="Q531">
        <v>37</v>
      </c>
      <c r="R531">
        <v>38</v>
      </c>
      <c r="S531">
        <v>75</v>
      </c>
      <c r="T531">
        <v>33</v>
      </c>
      <c r="U531">
        <v>31</v>
      </c>
      <c r="V531">
        <v>64</v>
      </c>
      <c r="W531" s="1">
        <f t="shared" si="3571"/>
        <v>3048</v>
      </c>
      <c r="X531" s="1">
        <f t="shared" si="3571"/>
        <v>3204</v>
      </c>
      <c r="Y531" s="1">
        <f t="shared" si="3565"/>
        <v>6252</v>
      </c>
      <c r="Z531" s="1">
        <f t="shared" si="3572"/>
        <v>3015</v>
      </c>
      <c r="AA531" s="1">
        <f t="shared" si="3572"/>
        <v>3173</v>
      </c>
      <c r="AB531" s="1">
        <f t="shared" si="3566"/>
        <v>6188</v>
      </c>
      <c r="AC531" s="1">
        <f t="shared" si="3573"/>
        <v>2978</v>
      </c>
      <c r="AD531" s="1">
        <f t="shared" si="3573"/>
        <v>3135</v>
      </c>
      <c r="AE531" s="1">
        <f t="shared" si="3567"/>
        <v>6113</v>
      </c>
      <c r="AF531" s="2">
        <f t="shared" si="3574"/>
        <v>0.98772802653399672</v>
      </c>
      <c r="AG531" s="2">
        <f t="shared" si="3574"/>
        <v>0.9880239520958084</v>
      </c>
      <c r="AH531" s="2">
        <f t="shared" si="3574"/>
        <v>0.98787976729153204</v>
      </c>
      <c r="AI531" s="1">
        <f t="shared" si="3575"/>
        <v>2919</v>
      </c>
      <c r="AJ531" s="1">
        <f t="shared" si="3575"/>
        <v>3068</v>
      </c>
      <c r="AK531" s="1">
        <f t="shared" si="3568"/>
        <v>5987</v>
      </c>
      <c r="AL531" s="2">
        <f t="shared" si="3576"/>
        <v>0.96815920398009947</v>
      </c>
      <c r="AM531" s="2">
        <f t="shared" si="3576"/>
        <v>0.96690828868578638</v>
      </c>
      <c r="AN531" s="2">
        <f t="shared" si="3576"/>
        <v>0.96751777634130576</v>
      </c>
      <c r="AO531" s="2">
        <f t="shared" si="3577"/>
        <v>0.41160862354892208</v>
      </c>
      <c r="AP531" s="2">
        <f t="shared" si="3577"/>
        <v>0.33312322722975102</v>
      </c>
      <c r="AQ531" s="2">
        <f t="shared" si="3577"/>
        <v>0.37136393018745961</v>
      </c>
      <c r="AR531" s="2">
        <f t="shared" si="3569"/>
        <v>1.2603648424543947E-2</v>
      </c>
      <c r="AS531" s="2">
        <f t="shared" si="3578"/>
        <v>1.1976047904191617E-2</v>
      </c>
      <c r="AT531" s="2">
        <f t="shared" si="3578"/>
        <v>1.2120232708468003E-2</v>
      </c>
      <c r="AU531" s="2">
        <f t="shared" si="3570"/>
        <v>1.0826771653543307E-2</v>
      </c>
      <c r="AV531" s="2">
        <f t="shared" si="3570"/>
        <v>9.6754057428214725E-3</v>
      </c>
      <c r="AW531" s="2">
        <f t="shared" si="3570"/>
        <v>1.0236724248240563E-2</v>
      </c>
    </row>
    <row r="532" spans="1:49" ht="15.75" customHeight="1" x14ac:dyDescent="0.15">
      <c r="A532" s="1">
        <v>2025</v>
      </c>
      <c r="C532" s="3" t="s">
        <v>54</v>
      </c>
      <c r="D532" t="s">
        <v>345</v>
      </c>
      <c r="E532">
        <v>526</v>
      </c>
      <c r="F532">
        <v>525</v>
      </c>
      <c r="G532">
        <v>1051</v>
      </c>
      <c r="H532">
        <v>960</v>
      </c>
      <c r="I532">
        <v>1216</v>
      </c>
      <c r="J532">
        <v>2176</v>
      </c>
      <c r="K532">
        <v>77</v>
      </c>
      <c r="L532">
        <v>108</v>
      </c>
      <c r="M532">
        <v>185</v>
      </c>
      <c r="N532">
        <v>21</v>
      </c>
      <c r="O532">
        <v>33</v>
      </c>
      <c r="P532">
        <v>54</v>
      </c>
      <c r="Q532">
        <v>9</v>
      </c>
      <c r="R532">
        <v>10</v>
      </c>
      <c r="S532">
        <v>19</v>
      </c>
      <c r="T532">
        <v>17</v>
      </c>
      <c r="U532">
        <v>15</v>
      </c>
      <c r="V532">
        <v>32</v>
      </c>
      <c r="W532" s="1">
        <f t="shared" si="3571"/>
        <v>1610</v>
      </c>
      <c r="X532" s="1">
        <f t="shared" si="3571"/>
        <v>1907</v>
      </c>
      <c r="Y532" s="1">
        <f t="shared" si="3565"/>
        <v>3517</v>
      </c>
      <c r="Z532" s="1">
        <f t="shared" si="3572"/>
        <v>1593</v>
      </c>
      <c r="AA532" s="1">
        <f t="shared" si="3572"/>
        <v>1892</v>
      </c>
      <c r="AB532" s="1">
        <f t="shared" si="3566"/>
        <v>3485</v>
      </c>
      <c r="AC532" s="1">
        <f t="shared" si="3573"/>
        <v>1584</v>
      </c>
      <c r="AD532" s="1">
        <f t="shared" si="3573"/>
        <v>1882</v>
      </c>
      <c r="AE532" s="1">
        <f t="shared" si="3567"/>
        <v>3466</v>
      </c>
      <c r="AF532" s="2">
        <f t="shared" si="3574"/>
        <v>0.99435028248587576</v>
      </c>
      <c r="AG532" s="2">
        <f t="shared" si="3574"/>
        <v>0.9947145877378436</v>
      </c>
      <c r="AH532" s="2">
        <f t="shared" si="3574"/>
        <v>0.99454806312769006</v>
      </c>
      <c r="AI532" s="1">
        <f t="shared" si="3575"/>
        <v>1563</v>
      </c>
      <c r="AJ532" s="1">
        <f t="shared" si="3575"/>
        <v>1849</v>
      </c>
      <c r="AK532" s="1">
        <f t="shared" si="3568"/>
        <v>3412</v>
      </c>
      <c r="AL532" s="2">
        <f t="shared" si="3576"/>
        <v>0.98116760828625238</v>
      </c>
      <c r="AM532" s="2">
        <f t="shared" si="3576"/>
        <v>0.97727272727272729</v>
      </c>
      <c r="AN532" s="2">
        <f t="shared" si="3576"/>
        <v>0.9790530846484935</v>
      </c>
      <c r="AO532" s="2">
        <f t="shared" si="3577"/>
        <v>0.33019460138104206</v>
      </c>
      <c r="AP532" s="2">
        <f t="shared" si="3577"/>
        <v>0.27748414376321351</v>
      </c>
      <c r="AQ532" s="2">
        <f t="shared" si="3577"/>
        <v>0.30157819225251076</v>
      </c>
      <c r="AR532" s="2">
        <f t="shared" si="3569"/>
        <v>6.2774639045825482E-3</v>
      </c>
      <c r="AS532" s="2">
        <f t="shared" si="3578"/>
        <v>5.2854122621564482E-3</v>
      </c>
      <c r="AT532" s="2">
        <f t="shared" si="3578"/>
        <v>5.4519368723098998E-3</v>
      </c>
      <c r="AU532" s="2">
        <f t="shared" si="3570"/>
        <v>1.0559006211180125E-2</v>
      </c>
      <c r="AV532" s="2">
        <f t="shared" si="3570"/>
        <v>7.8657577346617717E-3</v>
      </c>
      <c r="AW532" s="2">
        <f t="shared" si="3570"/>
        <v>9.098663633778788E-3</v>
      </c>
    </row>
    <row r="533" spans="1:49" ht="15.75" customHeight="1" x14ac:dyDescent="0.15">
      <c r="A533" s="1">
        <v>2025</v>
      </c>
      <c r="C533" s="3" t="s">
        <v>54</v>
      </c>
      <c r="D533" t="s">
        <v>346</v>
      </c>
      <c r="E533">
        <v>332</v>
      </c>
      <c r="F533">
        <v>354</v>
      </c>
      <c r="G533">
        <v>686</v>
      </c>
      <c r="H533">
        <v>1281</v>
      </c>
      <c r="I533">
        <v>1546</v>
      </c>
      <c r="J533">
        <v>2827</v>
      </c>
      <c r="K533">
        <v>340</v>
      </c>
      <c r="L533">
        <v>413</v>
      </c>
      <c r="M533">
        <v>753</v>
      </c>
      <c r="N533">
        <v>160</v>
      </c>
      <c r="O533">
        <v>167</v>
      </c>
      <c r="P533">
        <v>327</v>
      </c>
      <c r="Q533">
        <v>99</v>
      </c>
      <c r="R533">
        <v>104</v>
      </c>
      <c r="S533">
        <v>203</v>
      </c>
      <c r="T533">
        <v>24</v>
      </c>
      <c r="U533">
        <v>28</v>
      </c>
      <c r="V533">
        <v>52</v>
      </c>
      <c r="W533" s="1">
        <f t="shared" si="3571"/>
        <v>2236</v>
      </c>
      <c r="X533" s="1">
        <f t="shared" si="3571"/>
        <v>2612</v>
      </c>
      <c r="Y533" s="1">
        <f t="shared" si="3565"/>
        <v>4848</v>
      </c>
      <c r="Z533" s="1">
        <f t="shared" si="3572"/>
        <v>2212</v>
      </c>
      <c r="AA533" s="1">
        <f t="shared" si="3572"/>
        <v>2584</v>
      </c>
      <c r="AB533" s="1">
        <f t="shared" si="3566"/>
        <v>4796</v>
      </c>
      <c r="AC533" s="1">
        <f t="shared" si="3573"/>
        <v>2113</v>
      </c>
      <c r="AD533" s="1">
        <f t="shared" si="3573"/>
        <v>2480</v>
      </c>
      <c r="AE533" s="1">
        <f t="shared" si="3567"/>
        <v>4593</v>
      </c>
      <c r="AF533" s="2">
        <f t="shared" si="3574"/>
        <v>0.95524412296564198</v>
      </c>
      <c r="AG533" s="2">
        <f t="shared" si="3574"/>
        <v>0.95975232198142413</v>
      </c>
      <c r="AH533" s="2">
        <f t="shared" si="3574"/>
        <v>0.95767306088407</v>
      </c>
      <c r="AI533" s="1">
        <f t="shared" si="3575"/>
        <v>1953</v>
      </c>
      <c r="AJ533" s="1">
        <f t="shared" si="3575"/>
        <v>2313</v>
      </c>
      <c r="AK533" s="1">
        <f t="shared" si="3568"/>
        <v>4266</v>
      </c>
      <c r="AL533" s="2">
        <f t="shared" si="3576"/>
        <v>0.88291139240506333</v>
      </c>
      <c r="AM533" s="2">
        <f t="shared" si="3576"/>
        <v>0.89512383900928794</v>
      </c>
      <c r="AN533" s="2">
        <f t="shared" si="3576"/>
        <v>0.88949124270225188</v>
      </c>
      <c r="AO533" s="2">
        <f t="shared" si="3577"/>
        <v>0.15009041591320071</v>
      </c>
      <c r="AP533" s="2">
        <f t="shared" si="3577"/>
        <v>0.1369969040247678</v>
      </c>
      <c r="AQ533" s="2">
        <f t="shared" si="3577"/>
        <v>0.14303586321934947</v>
      </c>
      <c r="AR533" s="2">
        <f t="shared" si="3569"/>
        <v>4.701627486437613E-2</v>
      </c>
      <c r="AS533" s="2">
        <f t="shared" si="3578"/>
        <v>4.0247678018575851E-2</v>
      </c>
      <c r="AT533" s="2">
        <f t="shared" si="3578"/>
        <v>4.232693911592994E-2</v>
      </c>
      <c r="AU533" s="2">
        <f t="shared" si="3570"/>
        <v>1.0733452593917709E-2</v>
      </c>
      <c r="AV533" s="2">
        <f t="shared" si="3570"/>
        <v>1.0719754977029096E-2</v>
      </c>
      <c r="AW533" s="2">
        <f t="shared" si="3570"/>
        <v>1.0726072607260726E-2</v>
      </c>
    </row>
    <row r="534" spans="1:49" ht="15.75" customHeight="1" x14ac:dyDescent="0.15">
      <c r="A534" s="1">
        <v>2025</v>
      </c>
      <c r="D534" t="s">
        <v>347</v>
      </c>
      <c r="E534">
        <v>230</v>
      </c>
      <c r="F534">
        <v>162</v>
      </c>
      <c r="G534">
        <v>392</v>
      </c>
      <c r="H534">
        <v>892</v>
      </c>
      <c r="I534">
        <v>1051</v>
      </c>
      <c r="J534">
        <v>1943</v>
      </c>
      <c r="K534">
        <v>319</v>
      </c>
      <c r="L534">
        <v>377</v>
      </c>
      <c r="M534">
        <v>696</v>
      </c>
      <c r="N534">
        <v>143</v>
      </c>
      <c r="O534">
        <v>210</v>
      </c>
      <c r="P534">
        <v>353</v>
      </c>
      <c r="Q534">
        <v>219</v>
      </c>
      <c r="R534">
        <v>213</v>
      </c>
      <c r="S534">
        <v>432</v>
      </c>
      <c r="T534">
        <v>34</v>
      </c>
      <c r="U534">
        <v>28</v>
      </c>
      <c r="V534">
        <v>62</v>
      </c>
      <c r="W534" s="1">
        <f t="shared" si="3571"/>
        <v>1837</v>
      </c>
      <c r="X534" s="1">
        <f t="shared" si="3571"/>
        <v>2041</v>
      </c>
      <c r="Y534" s="1">
        <f t="shared" si="3565"/>
        <v>3878</v>
      </c>
      <c r="Z534" s="1">
        <f t="shared" si="3572"/>
        <v>1803</v>
      </c>
      <c r="AA534" s="1">
        <f t="shared" si="3572"/>
        <v>2013</v>
      </c>
      <c r="AB534" s="1">
        <f t="shared" si="3566"/>
        <v>3816</v>
      </c>
      <c r="AC534" s="1">
        <f t="shared" si="3573"/>
        <v>1584</v>
      </c>
      <c r="AD534" s="1">
        <f t="shared" si="3573"/>
        <v>1800</v>
      </c>
      <c r="AE534" s="1">
        <f t="shared" si="3567"/>
        <v>3384</v>
      </c>
      <c r="AF534" s="2">
        <f t="shared" si="3574"/>
        <v>0.87853577371048253</v>
      </c>
      <c r="AG534" s="2">
        <f t="shared" si="3574"/>
        <v>0.89418777943368111</v>
      </c>
      <c r="AH534" s="2">
        <f t="shared" si="3574"/>
        <v>0.8867924528301887</v>
      </c>
      <c r="AI534" s="1">
        <f t="shared" si="3575"/>
        <v>1441</v>
      </c>
      <c r="AJ534" s="1">
        <f t="shared" si="3575"/>
        <v>1590</v>
      </c>
      <c r="AK534" s="1">
        <f t="shared" si="3568"/>
        <v>3031</v>
      </c>
      <c r="AL534" s="2">
        <f t="shared" si="3576"/>
        <v>0.79922351636161948</v>
      </c>
      <c r="AM534" s="2">
        <f t="shared" si="3576"/>
        <v>0.78986587183308499</v>
      </c>
      <c r="AN534" s="2">
        <f t="shared" si="3576"/>
        <v>0.79428721174004191</v>
      </c>
      <c r="AO534" s="2">
        <f t="shared" si="3577"/>
        <v>0.12756516916250693</v>
      </c>
      <c r="AP534" s="2">
        <f t="shared" si="3577"/>
        <v>8.0476900149031291E-2</v>
      </c>
      <c r="AQ534" s="2">
        <f t="shared" si="3577"/>
        <v>0.10272536687631027</v>
      </c>
      <c r="AR534" s="2">
        <f t="shared" si="3569"/>
        <v>0.11813643926788686</v>
      </c>
      <c r="AS534" s="2">
        <f t="shared" si="3578"/>
        <v>0.10581222056631892</v>
      </c>
      <c r="AT534" s="2">
        <f t="shared" si="3578"/>
        <v>0.11320754716981132</v>
      </c>
      <c r="AU534" s="2">
        <f t="shared" si="3570"/>
        <v>1.8508437670114317E-2</v>
      </c>
      <c r="AV534" s="2">
        <f t="shared" si="3570"/>
        <v>1.3718765311121999E-2</v>
      </c>
      <c r="AW534" s="2">
        <f t="shared" si="3570"/>
        <v>1.5987622485817431E-2</v>
      </c>
    </row>
    <row r="535" spans="1:49" ht="15.75" customHeight="1" x14ac:dyDescent="0.15">
      <c r="A535" s="1">
        <v>2025</v>
      </c>
      <c r="D535" t="s">
        <v>348</v>
      </c>
      <c r="E535">
        <v>464</v>
      </c>
      <c r="F535">
        <v>511</v>
      </c>
      <c r="G535">
        <v>975</v>
      </c>
      <c r="H535">
        <v>1794</v>
      </c>
      <c r="I535">
        <v>2109</v>
      </c>
      <c r="J535">
        <v>3903</v>
      </c>
      <c r="K535">
        <v>528</v>
      </c>
      <c r="L535">
        <v>682</v>
      </c>
      <c r="M535">
        <v>1210</v>
      </c>
      <c r="N535">
        <v>269</v>
      </c>
      <c r="O535">
        <v>333</v>
      </c>
      <c r="P535">
        <v>602</v>
      </c>
      <c r="Q535">
        <v>249</v>
      </c>
      <c r="R535">
        <v>344</v>
      </c>
      <c r="S535">
        <v>593</v>
      </c>
      <c r="T535">
        <v>84</v>
      </c>
      <c r="U535">
        <v>97</v>
      </c>
      <c r="V535">
        <v>181</v>
      </c>
      <c r="W535" s="1">
        <f t="shared" si="3571"/>
        <v>3388</v>
      </c>
      <c r="X535" s="1">
        <f t="shared" si="3571"/>
        <v>4076</v>
      </c>
      <c r="Y535" s="1">
        <f t="shared" si="3565"/>
        <v>7464</v>
      </c>
      <c r="Z535" s="1">
        <f t="shared" si="3572"/>
        <v>3304</v>
      </c>
      <c r="AA535" s="1">
        <f t="shared" si="3572"/>
        <v>3979</v>
      </c>
      <c r="AB535" s="1">
        <f t="shared" si="3566"/>
        <v>7283</v>
      </c>
      <c r="AC535" s="1">
        <f t="shared" si="3573"/>
        <v>3055</v>
      </c>
      <c r="AD535" s="1">
        <f t="shared" si="3573"/>
        <v>3635</v>
      </c>
      <c r="AE535" s="1">
        <f t="shared" si="3567"/>
        <v>6690</v>
      </c>
      <c r="AF535" s="2">
        <f t="shared" si="3574"/>
        <v>0.92463680387409197</v>
      </c>
      <c r="AG535" s="2">
        <f t="shared" si="3574"/>
        <v>0.91354611711485301</v>
      </c>
      <c r="AH535" s="2">
        <f t="shared" si="3574"/>
        <v>0.91857750926815873</v>
      </c>
      <c r="AI535" s="1">
        <f t="shared" si="3575"/>
        <v>2786</v>
      </c>
      <c r="AJ535" s="1">
        <f t="shared" si="3575"/>
        <v>3302</v>
      </c>
      <c r="AK535" s="1">
        <f t="shared" si="3568"/>
        <v>6088</v>
      </c>
      <c r="AL535" s="2">
        <f t="shared" si="3576"/>
        <v>0.84322033898305082</v>
      </c>
      <c r="AM535" s="2">
        <f t="shared" si="3576"/>
        <v>0.82985674792661468</v>
      </c>
      <c r="AN535" s="2">
        <f t="shared" si="3576"/>
        <v>0.8359192640395442</v>
      </c>
      <c r="AO535" s="2">
        <f t="shared" si="3577"/>
        <v>0.14043583535108958</v>
      </c>
      <c r="AP535" s="2">
        <f t="shared" si="3577"/>
        <v>0.128424227192762</v>
      </c>
      <c r="AQ535" s="2">
        <f t="shared" si="3577"/>
        <v>0.13387340381710833</v>
      </c>
      <c r="AR535" s="2">
        <f t="shared" si="3569"/>
        <v>0.10411622276029056</v>
      </c>
      <c r="AS535" s="2">
        <f t="shared" si="3578"/>
        <v>8.6453882885147021E-2</v>
      </c>
      <c r="AT535" s="2">
        <f t="shared" si="3578"/>
        <v>8.1422490731841268E-2</v>
      </c>
      <c r="AU535" s="2">
        <f t="shared" si="3570"/>
        <v>2.4793388429752067E-2</v>
      </c>
      <c r="AV535" s="2">
        <f t="shared" si="3570"/>
        <v>2.3797841020608439E-2</v>
      </c>
      <c r="AW535" s="2">
        <f t="shared" si="3570"/>
        <v>2.4249732047159699E-2</v>
      </c>
    </row>
    <row r="536" spans="1:49" ht="15.75" customHeight="1" x14ac:dyDescent="0.15">
      <c r="A536" s="1">
        <v>2025</v>
      </c>
      <c r="C536" s="3" t="s">
        <v>75</v>
      </c>
      <c r="D536" t="s">
        <v>349</v>
      </c>
      <c r="E536">
        <v>19</v>
      </c>
      <c r="F536">
        <v>10</v>
      </c>
      <c r="G536">
        <v>29</v>
      </c>
      <c r="H536">
        <v>59</v>
      </c>
      <c r="I536">
        <v>78</v>
      </c>
      <c r="J536">
        <v>137</v>
      </c>
      <c r="K536">
        <v>17</v>
      </c>
      <c r="L536">
        <v>23</v>
      </c>
      <c r="M536">
        <v>40</v>
      </c>
      <c r="N536">
        <v>8</v>
      </c>
      <c r="O536">
        <v>1</v>
      </c>
      <c r="P536">
        <v>9</v>
      </c>
      <c r="Q536">
        <v>9</v>
      </c>
      <c r="R536">
        <v>9</v>
      </c>
      <c r="S536">
        <v>18</v>
      </c>
      <c r="T536">
        <v>8</v>
      </c>
      <c r="U536">
        <v>4</v>
      </c>
      <c r="V536">
        <v>12</v>
      </c>
      <c r="W536" s="1">
        <f t="shared" si="3571"/>
        <v>120</v>
      </c>
      <c r="X536" s="1">
        <f t="shared" si="3571"/>
        <v>125</v>
      </c>
      <c r="Y536" s="1">
        <f t="shared" si="3565"/>
        <v>245</v>
      </c>
      <c r="Z536" s="1">
        <f t="shared" si="3572"/>
        <v>112</v>
      </c>
      <c r="AA536" s="1">
        <f t="shared" si="3572"/>
        <v>121</v>
      </c>
      <c r="AB536" s="1">
        <f t="shared" si="3566"/>
        <v>233</v>
      </c>
      <c r="AC536" s="1">
        <f t="shared" si="3573"/>
        <v>103</v>
      </c>
      <c r="AD536" s="1">
        <f t="shared" si="3573"/>
        <v>112</v>
      </c>
      <c r="AE536" s="1">
        <f t="shared" si="3567"/>
        <v>215</v>
      </c>
      <c r="AF536" s="2">
        <f t="shared" si="3574"/>
        <v>0.9196428571428571</v>
      </c>
      <c r="AG536" s="2">
        <f t="shared" si="3574"/>
        <v>0.92561983471074383</v>
      </c>
      <c r="AH536" s="2">
        <f t="shared" si="3574"/>
        <v>0.92274678111587982</v>
      </c>
      <c r="AI536" s="1">
        <f t="shared" si="3575"/>
        <v>95</v>
      </c>
      <c r="AJ536" s="1">
        <f t="shared" si="3575"/>
        <v>111</v>
      </c>
      <c r="AK536" s="1">
        <f t="shared" si="3568"/>
        <v>206</v>
      </c>
      <c r="AL536" s="2">
        <f t="shared" si="3576"/>
        <v>0.8482142857142857</v>
      </c>
      <c r="AM536" s="2">
        <f t="shared" si="3576"/>
        <v>0.9173553719008265</v>
      </c>
      <c r="AN536" s="2">
        <f t="shared" si="3576"/>
        <v>0.88412017167381973</v>
      </c>
      <c r="AO536" s="2">
        <f t="shared" si="3577"/>
        <v>0.16964285714285715</v>
      </c>
      <c r="AP536" s="2">
        <f t="shared" si="3577"/>
        <v>8.2644628099173556E-2</v>
      </c>
      <c r="AQ536" s="2">
        <f t="shared" si="3577"/>
        <v>0.12446351931330472</v>
      </c>
      <c r="AR536" s="2">
        <f t="shared" si="3569"/>
        <v>8.0357142857142863E-2</v>
      </c>
      <c r="AS536" s="2">
        <f t="shared" si="3578"/>
        <v>7.43801652892562E-2</v>
      </c>
      <c r="AT536" s="2">
        <f t="shared" si="3578"/>
        <v>7.7253218884120178E-2</v>
      </c>
      <c r="AU536" s="2">
        <f t="shared" si="3570"/>
        <v>6.6666666666666666E-2</v>
      </c>
      <c r="AV536" s="2">
        <f t="shared" si="3570"/>
        <v>3.2000000000000001E-2</v>
      </c>
      <c r="AW536" s="2">
        <f t="shared" si="3570"/>
        <v>4.8979591836734691E-2</v>
      </c>
    </row>
    <row r="537" spans="1:49" ht="15.75" customHeight="1" x14ac:dyDescent="0.15">
      <c r="A537" s="1">
        <v>2025</v>
      </c>
      <c r="C537" s="3" t="s">
        <v>75</v>
      </c>
      <c r="D537" t="s">
        <v>350</v>
      </c>
      <c r="E537">
        <v>29</v>
      </c>
      <c r="F537">
        <v>13</v>
      </c>
      <c r="G537">
        <v>42</v>
      </c>
      <c r="H537">
        <v>386</v>
      </c>
      <c r="I537">
        <v>381</v>
      </c>
      <c r="J537">
        <v>767</v>
      </c>
      <c r="K537">
        <v>40</v>
      </c>
      <c r="L537">
        <v>44</v>
      </c>
      <c r="M537">
        <v>84</v>
      </c>
      <c r="N537">
        <v>17</v>
      </c>
      <c r="O537">
        <v>17</v>
      </c>
      <c r="P537">
        <v>34</v>
      </c>
      <c r="Q537">
        <v>4</v>
      </c>
      <c r="R537">
        <v>3</v>
      </c>
      <c r="S537">
        <v>7</v>
      </c>
      <c r="T537">
        <v>7</v>
      </c>
      <c r="U537">
        <v>4</v>
      </c>
      <c r="V537">
        <v>11</v>
      </c>
      <c r="W537" s="1">
        <f t="shared" si="3571"/>
        <v>483</v>
      </c>
      <c r="X537" s="1">
        <f t="shared" si="3571"/>
        <v>462</v>
      </c>
      <c r="Y537" s="1">
        <f t="shared" si="3565"/>
        <v>945</v>
      </c>
      <c r="Z537" s="1">
        <f t="shared" si="3572"/>
        <v>476</v>
      </c>
      <c r="AA537" s="1">
        <f t="shared" si="3572"/>
        <v>458</v>
      </c>
      <c r="AB537" s="1">
        <f t="shared" si="3566"/>
        <v>934</v>
      </c>
      <c r="AC537" s="1">
        <f t="shared" si="3573"/>
        <v>472</v>
      </c>
      <c r="AD537" s="1">
        <f t="shared" si="3573"/>
        <v>455</v>
      </c>
      <c r="AE537" s="1">
        <f t="shared" si="3567"/>
        <v>927</v>
      </c>
      <c r="AF537" s="2">
        <f t="shared" si="3574"/>
        <v>0.99159663865546221</v>
      </c>
      <c r="AG537" s="2">
        <f t="shared" si="3574"/>
        <v>0.99344978165938869</v>
      </c>
      <c r="AH537" s="2">
        <f t="shared" si="3574"/>
        <v>0.99250535331905787</v>
      </c>
      <c r="AI537" s="1">
        <f t="shared" si="3575"/>
        <v>455</v>
      </c>
      <c r="AJ537" s="1">
        <f t="shared" si="3575"/>
        <v>438</v>
      </c>
      <c r="AK537" s="1">
        <f t="shared" si="3568"/>
        <v>893</v>
      </c>
      <c r="AL537" s="2">
        <f t="shared" si="3576"/>
        <v>0.95588235294117652</v>
      </c>
      <c r="AM537" s="2">
        <f t="shared" si="3576"/>
        <v>0.95633187772925765</v>
      </c>
      <c r="AN537" s="2">
        <f t="shared" si="3576"/>
        <v>0.95610278372591007</v>
      </c>
      <c r="AO537" s="2">
        <f t="shared" si="3577"/>
        <v>6.0924369747899158E-2</v>
      </c>
      <c r="AP537" s="2">
        <f t="shared" si="3577"/>
        <v>2.8384279475982533E-2</v>
      </c>
      <c r="AQ537" s="2">
        <f t="shared" si="3577"/>
        <v>4.4967880085653104E-2</v>
      </c>
      <c r="AR537" s="2">
        <f t="shared" si="3569"/>
        <v>6.3025210084033615E-3</v>
      </c>
      <c r="AS537" s="2">
        <f t="shared" si="3578"/>
        <v>6.5502183406113534E-3</v>
      </c>
      <c r="AT537" s="2">
        <f t="shared" si="3578"/>
        <v>7.4946466809421844E-3</v>
      </c>
      <c r="AU537" s="2">
        <f t="shared" si="3570"/>
        <v>1.4492753623188406E-2</v>
      </c>
      <c r="AV537" s="2">
        <f t="shared" si="3570"/>
        <v>8.658008658008658E-3</v>
      </c>
      <c r="AW537" s="2">
        <f t="shared" si="3570"/>
        <v>1.164021164021164E-2</v>
      </c>
    </row>
    <row r="538" spans="1:49" ht="15.75" customHeight="1" x14ac:dyDescent="0.15">
      <c r="A538" s="1">
        <v>2025</v>
      </c>
      <c r="D538" t="s">
        <v>351</v>
      </c>
      <c r="E538">
        <v>19</v>
      </c>
      <c r="F538">
        <v>16</v>
      </c>
      <c r="G538">
        <v>35</v>
      </c>
      <c r="H538">
        <v>247</v>
      </c>
      <c r="I538">
        <v>211</v>
      </c>
      <c r="J538">
        <v>458</v>
      </c>
      <c r="K538">
        <v>330</v>
      </c>
      <c r="L538">
        <v>292</v>
      </c>
      <c r="M538">
        <v>622</v>
      </c>
      <c r="N538">
        <v>173</v>
      </c>
      <c r="O538">
        <v>201</v>
      </c>
      <c r="P538">
        <v>374</v>
      </c>
      <c r="Q538">
        <v>144</v>
      </c>
      <c r="R538">
        <v>178</v>
      </c>
      <c r="S538">
        <v>322</v>
      </c>
      <c r="T538">
        <v>3</v>
      </c>
      <c r="U538">
        <v>4</v>
      </c>
      <c r="V538">
        <v>7</v>
      </c>
      <c r="W538" s="1">
        <f t="shared" si="3571"/>
        <v>916</v>
      </c>
      <c r="X538" s="1">
        <f t="shared" si="3571"/>
        <v>902</v>
      </c>
      <c r="Y538" s="1">
        <f t="shared" si="3565"/>
        <v>1818</v>
      </c>
      <c r="Z538" s="1">
        <f t="shared" si="3572"/>
        <v>913</v>
      </c>
      <c r="AA538" s="1">
        <f t="shared" si="3572"/>
        <v>898</v>
      </c>
      <c r="AB538" s="1">
        <f t="shared" si="3566"/>
        <v>1811</v>
      </c>
      <c r="AC538" s="1">
        <f t="shared" si="3573"/>
        <v>769</v>
      </c>
      <c r="AD538" s="1">
        <f t="shared" si="3573"/>
        <v>720</v>
      </c>
      <c r="AE538" s="1">
        <f t="shared" si="3567"/>
        <v>1489</v>
      </c>
      <c r="AF538" s="2">
        <f t="shared" si="3574"/>
        <v>0.84227820372398687</v>
      </c>
      <c r="AG538" s="2">
        <f t="shared" si="3574"/>
        <v>0.80178173719376389</v>
      </c>
      <c r="AH538" s="2">
        <f t="shared" si="3574"/>
        <v>0.82219768083931533</v>
      </c>
      <c r="AI538" s="1">
        <f t="shared" si="3575"/>
        <v>596</v>
      </c>
      <c r="AJ538" s="1">
        <f t="shared" si="3575"/>
        <v>519</v>
      </c>
      <c r="AK538" s="1">
        <f t="shared" si="3568"/>
        <v>1115</v>
      </c>
      <c r="AL538" s="2">
        <f t="shared" si="3576"/>
        <v>0.65279299014238779</v>
      </c>
      <c r="AM538" s="2">
        <f t="shared" si="3576"/>
        <v>0.57795100222717144</v>
      </c>
      <c r="AN538" s="2">
        <f t="shared" si="3576"/>
        <v>0.61568194367752627</v>
      </c>
      <c r="AO538" s="2">
        <f t="shared" si="3577"/>
        <v>2.0810514786418401E-2</v>
      </c>
      <c r="AP538" s="2">
        <f t="shared" si="3577"/>
        <v>1.7817371937639197E-2</v>
      </c>
      <c r="AQ538" s="2">
        <f t="shared" si="3577"/>
        <v>1.932633903920486E-2</v>
      </c>
      <c r="AR538" s="2">
        <f t="shared" si="3569"/>
        <v>0.19496166484118291</v>
      </c>
      <c r="AS538" s="2">
        <f t="shared" si="3578"/>
        <v>0.19821826280623608</v>
      </c>
      <c r="AT538" s="2">
        <f t="shared" si="3578"/>
        <v>0.1778023191606847</v>
      </c>
      <c r="AU538" s="2">
        <f t="shared" si="3570"/>
        <v>3.2751091703056767E-3</v>
      </c>
      <c r="AV538" s="2">
        <f t="shared" si="3570"/>
        <v>4.434589800443459E-3</v>
      </c>
      <c r="AW538" s="2">
        <f t="shared" si="3570"/>
        <v>3.8503850385038503E-3</v>
      </c>
    </row>
    <row r="539" spans="1:49" ht="15.75" customHeight="1" x14ac:dyDescent="0.15">
      <c r="A539" s="1">
        <v>2025</v>
      </c>
      <c r="D539" t="s">
        <v>352</v>
      </c>
      <c r="E539">
        <v>738</v>
      </c>
      <c r="F539">
        <v>660</v>
      </c>
      <c r="G539">
        <v>1398</v>
      </c>
      <c r="H539">
        <v>3040</v>
      </c>
      <c r="I539">
        <v>3603</v>
      </c>
      <c r="J539">
        <v>6643</v>
      </c>
      <c r="K539">
        <v>633</v>
      </c>
      <c r="L539">
        <v>793</v>
      </c>
      <c r="M539">
        <v>1426</v>
      </c>
      <c r="N539">
        <v>288</v>
      </c>
      <c r="O539">
        <v>362</v>
      </c>
      <c r="P539">
        <v>650</v>
      </c>
      <c r="Q539">
        <v>184</v>
      </c>
      <c r="R539">
        <v>215</v>
      </c>
      <c r="S539">
        <v>399</v>
      </c>
      <c r="T539">
        <v>92</v>
      </c>
      <c r="U539">
        <v>68</v>
      </c>
      <c r="V539">
        <v>160</v>
      </c>
      <c r="W539" s="1">
        <f t="shared" si="3571"/>
        <v>4975</v>
      </c>
      <c r="X539" s="1">
        <f t="shared" si="3571"/>
        <v>5701</v>
      </c>
      <c r="Y539" s="1">
        <f t="shared" ref="Y539:Y587" si="3579">SUM(W539:X539)</f>
        <v>10676</v>
      </c>
      <c r="Z539" s="1">
        <f t="shared" si="3572"/>
        <v>4883</v>
      </c>
      <c r="AA539" s="1">
        <f t="shared" si="3572"/>
        <v>5633</v>
      </c>
      <c r="AB539" s="1">
        <f t="shared" ref="AB539:AB587" si="3580">SUM(Z539:AA539)</f>
        <v>10516</v>
      </c>
      <c r="AC539" s="1">
        <f t="shared" si="3573"/>
        <v>4699</v>
      </c>
      <c r="AD539" s="1">
        <f t="shared" si="3573"/>
        <v>5418</v>
      </c>
      <c r="AE539" s="1">
        <f t="shared" ref="AE539:AE587" si="3581">SUM(AC539:AD539)</f>
        <v>10117</v>
      </c>
      <c r="AF539" s="2">
        <f t="shared" si="3574"/>
        <v>0.96231824697931601</v>
      </c>
      <c r="AG539" s="2">
        <f t="shared" si="3574"/>
        <v>0.96183206106870234</v>
      </c>
      <c r="AH539" s="2">
        <f t="shared" si="3574"/>
        <v>0.96205781666032708</v>
      </c>
      <c r="AI539" s="1">
        <f t="shared" si="3575"/>
        <v>4411</v>
      </c>
      <c r="AJ539" s="1">
        <f t="shared" si="3575"/>
        <v>5056</v>
      </c>
      <c r="AK539" s="1">
        <f t="shared" ref="AK539:AK587" si="3582">SUM(AI539:AJ539)</f>
        <v>9467</v>
      </c>
      <c r="AL539" s="2">
        <f t="shared" si="3576"/>
        <v>0.90333811181650625</v>
      </c>
      <c r="AM539" s="2">
        <f t="shared" si="3576"/>
        <v>0.89756790342623827</v>
      </c>
      <c r="AN539" s="2">
        <f t="shared" si="3576"/>
        <v>0.90024724229745146</v>
      </c>
      <c r="AO539" s="2">
        <f t="shared" si="3577"/>
        <v>0.15113659635469998</v>
      </c>
      <c r="AP539" s="2">
        <f t="shared" si="3577"/>
        <v>0.11716669625421623</v>
      </c>
      <c r="AQ539" s="2">
        <f t="shared" si="3577"/>
        <v>0.13294028147584633</v>
      </c>
      <c r="AR539" s="2">
        <f t="shared" ref="AR539:AR587" si="3583">R539/Z539</f>
        <v>4.4030309236125331E-2</v>
      </c>
      <c r="AS539" s="2">
        <f t="shared" si="3578"/>
        <v>3.8167938931297711E-2</v>
      </c>
      <c r="AT539" s="2">
        <f t="shared" si="3578"/>
        <v>3.7942183339672877E-2</v>
      </c>
      <c r="AU539" s="2">
        <f t="shared" ref="AU539:AW587" si="3584">T539/W539</f>
        <v>1.8492462311557788E-2</v>
      </c>
      <c r="AV539" s="2">
        <f t="shared" si="3584"/>
        <v>1.1927731976846167E-2</v>
      </c>
      <c r="AW539" s="2">
        <f t="shared" si="3584"/>
        <v>1.4986886474334956E-2</v>
      </c>
    </row>
    <row r="540" spans="1:49" ht="15.75" customHeight="1" x14ac:dyDescent="0.15">
      <c r="A540" s="1">
        <v>2025</v>
      </c>
      <c r="D540" t="s">
        <v>353</v>
      </c>
      <c r="E540">
        <v>175</v>
      </c>
      <c r="F540">
        <v>124</v>
      </c>
      <c r="G540">
        <v>299</v>
      </c>
      <c r="H540">
        <v>521</v>
      </c>
      <c r="I540">
        <v>595</v>
      </c>
      <c r="J540">
        <v>1116</v>
      </c>
      <c r="K540">
        <v>170</v>
      </c>
      <c r="L540">
        <v>236</v>
      </c>
      <c r="M540">
        <v>406</v>
      </c>
      <c r="N540">
        <v>102</v>
      </c>
      <c r="O540">
        <v>126</v>
      </c>
      <c r="P540">
        <v>228</v>
      </c>
      <c r="Q540">
        <v>100</v>
      </c>
      <c r="R540">
        <v>113</v>
      </c>
      <c r="S540">
        <v>213</v>
      </c>
      <c r="T540">
        <v>15</v>
      </c>
      <c r="U540">
        <v>12</v>
      </c>
      <c r="V540">
        <v>27</v>
      </c>
      <c r="W540" s="1">
        <f t="shared" si="3571"/>
        <v>1083</v>
      </c>
      <c r="X540" s="1">
        <f t="shared" si="3571"/>
        <v>1206</v>
      </c>
      <c r="Y540" s="1">
        <f t="shared" si="3579"/>
        <v>2289</v>
      </c>
      <c r="Z540" s="1">
        <f t="shared" si="3572"/>
        <v>1068</v>
      </c>
      <c r="AA540" s="1">
        <f t="shared" si="3572"/>
        <v>1194</v>
      </c>
      <c r="AB540" s="1">
        <f t="shared" si="3580"/>
        <v>2262</v>
      </c>
      <c r="AC540" s="1">
        <f t="shared" si="3573"/>
        <v>968</v>
      </c>
      <c r="AD540" s="1">
        <f t="shared" si="3573"/>
        <v>1081</v>
      </c>
      <c r="AE540" s="1">
        <f t="shared" si="3581"/>
        <v>2049</v>
      </c>
      <c r="AF540" s="2">
        <f t="shared" si="3574"/>
        <v>0.90636704119850187</v>
      </c>
      <c r="AG540" s="2">
        <f t="shared" si="3574"/>
        <v>0.90536013400335014</v>
      </c>
      <c r="AH540" s="2">
        <f t="shared" si="3574"/>
        <v>0.90583554376657827</v>
      </c>
      <c r="AI540" s="1">
        <f t="shared" si="3575"/>
        <v>866</v>
      </c>
      <c r="AJ540" s="1">
        <f t="shared" si="3575"/>
        <v>955</v>
      </c>
      <c r="AK540" s="1">
        <f t="shared" si="3582"/>
        <v>1821</v>
      </c>
      <c r="AL540" s="2">
        <f t="shared" si="3576"/>
        <v>0.81086142322097376</v>
      </c>
      <c r="AM540" s="2">
        <f t="shared" si="3576"/>
        <v>0.79983249581239535</v>
      </c>
      <c r="AN540" s="2">
        <f t="shared" si="3576"/>
        <v>0.80503978779840846</v>
      </c>
      <c r="AO540" s="2">
        <f t="shared" si="3577"/>
        <v>0.16385767790262173</v>
      </c>
      <c r="AP540" s="2">
        <f t="shared" si="3577"/>
        <v>0.10385259631490787</v>
      </c>
      <c r="AQ540" s="2">
        <f t="shared" si="3577"/>
        <v>0.13218390804597702</v>
      </c>
      <c r="AR540" s="2">
        <f t="shared" si="3583"/>
        <v>0.10580524344569288</v>
      </c>
      <c r="AS540" s="2">
        <f t="shared" si="3578"/>
        <v>9.4639865996649919E-2</v>
      </c>
      <c r="AT540" s="2">
        <f t="shared" si="3578"/>
        <v>9.4164456233421748E-2</v>
      </c>
      <c r="AU540" s="2">
        <f t="shared" si="3584"/>
        <v>1.3850415512465374E-2</v>
      </c>
      <c r="AV540" s="2">
        <f t="shared" si="3584"/>
        <v>9.9502487562189053E-3</v>
      </c>
      <c r="AW540" s="2">
        <f t="shared" si="3584"/>
        <v>1.1795543905635648E-2</v>
      </c>
    </row>
    <row r="541" spans="1:49" ht="15.75" customHeight="1" x14ac:dyDescent="0.15">
      <c r="A541" s="1">
        <v>2025</v>
      </c>
      <c r="D541" t="s">
        <v>354</v>
      </c>
      <c r="E541">
        <v>192</v>
      </c>
      <c r="F541">
        <v>123</v>
      </c>
      <c r="G541">
        <v>315</v>
      </c>
      <c r="H541">
        <v>1536</v>
      </c>
      <c r="I541">
        <v>1828</v>
      </c>
      <c r="J541">
        <v>3364</v>
      </c>
      <c r="K541">
        <v>573</v>
      </c>
      <c r="L541">
        <v>760</v>
      </c>
      <c r="M541">
        <v>1333</v>
      </c>
      <c r="N541">
        <v>280</v>
      </c>
      <c r="O541">
        <v>343</v>
      </c>
      <c r="P541">
        <v>623</v>
      </c>
      <c r="Q541">
        <v>175</v>
      </c>
      <c r="R541">
        <v>235</v>
      </c>
      <c r="S541">
        <v>410</v>
      </c>
      <c r="T541">
        <v>52</v>
      </c>
      <c r="U541">
        <v>62</v>
      </c>
      <c r="V541">
        <v>114</v>
      </c>
      <c r="W541" s="1">
        <f t="shared" si="3571"/>
        <v>2808</v>
      </c>
      <c r="X541" s="1">
        <f t="shared" si="3571"/>
        <v>3351</v>
      </c>
      <c r="Y541" s="1">
        <f t="shared" si="3579"/>
        <v>6159</v>
      </c>
      <c r="Z541" s="1">
        <f t="shared" si="3572"/>
        <v>2756</v>
      </c>
      <c r="AA541" s="1">
        <f t="shared" si="3572"/>
        <v>3289</v>
      </c>
      <c r="AB541" s="1">
        <f t="shared" si="3580"/>
        <v>6045</v>
      </c>
      <c r="AC541" s="1">
        <f t="shared" si="3573"/>
        <v>2581</v>
      </c>
      <c r="AD541" s="1">
        <f t="shared" si="3573"/>
        <v>3054</v>
      </c>
      <c r="AE541" s="1">
        <f t="shared" si="3581"/>
        <v>5635</v>
      </c>
      <c r="AF541" s="2">
        <f t="shared" si="3574"/>
        <v>0.93650217706821481</v>
      </c>
      <c r="AG541" s="2">
        <f t="shared" si="3574"/>
        <v>0.92854971115840679</v>
      </c>
      <c r="AH541" s="2">
        <f t="shared" si="3574"/>
        <v>0.93217535153019027</v>
      </c>
      <c r="AI541" s="1">
        <f t="shared" si="3575"/>
        <v>2301</v>
      </c>
      <c r="AJ541" s="1">
        <f t="shared" si="3575"/>
        <v>2711</v>
      </c>
      <c r="AK541" s="1">
        <f t="shared" si="3582"/>
        <v>5012</v>
      </c>
      <c r="AL541" s="2">
        <f t="shared" si="3576"/>
        <v>0.83490566037735847</v>
      </c>
      <c r="AM541" s="2">
        <f t="shared" si="3576"/>
        <v>0.82426269382791117</v>
      </c>
      <c r="AN541" s="2">
        <f t="shared" si="3576"/>
        <v>0.82911497105045495</v>
      </c>
      <c r="AO541" s="2">
        <f t="shared" si="3577"/>
        <v>6.966618287373004E-2</v>
      </c>
      <c r="AP541" s="2">
        <f t="shared" si="3577"/>
        <v>3.7397385223472177E-2</v>
      </c>
      <c r="AQ541" s="2">
        <f t="shared" si="3577"/>
        <v>5.2109181141439205E-2</v>
      </c>
      <c r="AR541" s="2">
        <f t="shared" si="3583"/>
        <v>8.5268505079825835E-2</v>
      </c>
      <c r="AS541" s="2">
        <f t="shared" si="3578"/>
        <v>7.1450288841593185E-2</v>
      </c>
      <c r="AT541" s="2">
        <f t="shared" si="3578"/>
        <v>6.7824648469809762E-2</v>
      </c>
      <c r="AU541" s="2">
        <f t="shared" si="3584"/>
        <v>1.8518518518518517E-2</v>
      </c>
      <c r="AV541" s="2">
        <f t="shared" si="3584"/>
        <v>1.8501939719486719E-2</v>
      </c>
      <c r="AW541" s="2">
        <f t="shared" si="3584"/>
        <v>1.8509498295177788E-2</v>
      </c>
    </row>
    <row r="542" spans="1:49" ht="15.75" customHeight="1" x14ac:dyDescent="0.15">
      <c r="A542" s="1">
        <v>2025</v>
      </c>
      <c r="D542" t="s">
        <v>355</v>
      </c>
      <c r="E542">
        <v>1379</v>
      </c>
      <c r="F542">
        <v>1164</v>
      </c>
      <c r="G542">
        <v>2543</v>
      </c>
      <c r="H542">
        <v>1821</v>
      </c>
      <c r="I542">
        <v>2194</v>
      </c>
      <c r="J542">
        <v>4015</v>
      </c>
      <c r="K542">
        <v>305</v>
      </c>
      <c r="L542">
        <v>400</v>
      </c>
      <c r="M542">
        <v>705</v>
      </c>
      <c r="N542">
        <v>132</v>
      </c>
      <c r="O542">
        <v>175</v>
      </c>
      <c r="P542">
        <v>307</v>
      </c>
      <c r="Q542">
        <v>99</v>
      </c>
      <c r="R542">
        <v>105</v>
      </c>
      <c r="S542">
        <v>204</v>
      </c>
      <c r="T542">
        <v>25</v>
      </c>
      <c r="U542">
        <v>32</v>
      </c>
      <c r="V542">
        <v>57</v>
      </c>
      <c r="W542" s="1">
        <f t="shared" si="3571"/>
        <v>3761</v>
      </c>
      <c r="X542" s="1">
        <f t="shared" si="3571"/>
        <v>4070</v>
      </c>
      <c r="Y542" s="1">
        <f t="shared" si="3579"/>
        <v>7831</v>
      </c>
      <c r="Z542" s="1">
        <f t="shared" si="3572"/>
        <v>3736</v>
      </c>
      <c r="AA542" s="1">
        <f t="shared" si="3572"/>
        <v>4038</v>
      </c>
      <c r="AB542" s="1">
        <f t="shared" si="3580"/>
        <v>7774</v>
      </c>
      <c r="AC542" s="1">
        <f t="shared" si="3573"/>
        <v>3637</v>
      </c>
      <c r="AD542" s="1">
        <f t="shared" si="3573"/>
        <v>3933</v>
      </c>
      <c r="AE542" s="1">
        <f t="shared" si="3581"/>
        <v>7570</v>
      </c>
      <c r="AF542" s="2">
        <f t="shared" si="3574"/>
        <v>0.97350107066381153</v>
      </c>
      <c r="AG542" s="2">
        <f t="shared" si="3574"/>
        <v>0.9739970282317979</v>
      </c>
      <c r="AH542" s="2">
        <f t="shared" si="3574"/>
        <v>0.97375868278878308</v>
      </c>
      <c r="AI542" s="1">
        <f t="shared" si="3575"/>
        <v>3505</v>
      </c>
      <c r="AJ542" s="1">
        <f t="shared" si="3575"/>
        <v>3758</v>
      </c>
      <c r="AK542" s="1">
        <f t="shared" si="3582"/>
        <v>7263</v>
      </c>
      <c r="AL542" s="2">
        <f t="shared" si="3576"/>
        <v>0.93816916488222701</v>
      </c>
      <c r="AM542" s="2">
        <f t="shared" si="3576"/>
        <v>0.93065874195146114</v>
      </c>
      <c r="AN542" s="2">
        <f t="shared" si="3576"/>
        <v>0.93426807306405968</v>
      </c>
      <c r="AO542" s="2">
        <f t="shared" si="3577"/>
        <v>0.36911134903640258</v>
      </c>
      <c r="AP542" s="2">
        <f t="shared" si="3577"/>
        <v>0.28826151560178304</v>
      </c>
      <c r="AQ542" s="2">
        <f t="shared" si="3577"/>
        <v>0.3271160277849241</v>
      </c>
      <c r="AR542" s="2">
        <f t="shared" si="3583"/>
        <v>2.8104925053533191E-2</v>
      </c>
      <c r="AS542" s="2">
        <f t="shared" si="3578"/>
        <v>2.6002971768202082E-2</v>
      </c>
      <c r="AT542" s="2">
        <f t="shared" si="3578"/>
        <v>2.6241317211216877E-2</v>
      </c>
      <c r="AU542" s="2">
        <f t="shared" si="3584"/>
        <v>6.6471683063015156E-3</v>
      </c>
      <c r="AV542" s="2">
        <f t="shared" si="3584"/>
        <v>7.8624078624078622E-3</v>
      </c>
      <c r="AW542" s="2">
        <f t="shared" si="3584"/>
        <v>7.2787638871153106E-3</v>
      </c>
    </row>
    <row r="543" spans="1:49" ht="15.75" customHeight="1" x14ac:dyDescent="0.15">
      <c r="A543" s="1">
        <v>2025</v>
      </c>
      <c r="D543" t="s">
        <v>356</v>
      </c>
      <c r="E543">
        <v>1231</v>
      </c>
      <c r="F543">
        <v>1494</v>
      </c>
      <c r="G543">
        <v>2725</v>
      </c>
      <c r="H543">
        <v>3898</v>
      </c>
      <c r="I543">
        <v>4721</v>
      </c>
      <c r="J543">
        <v>8619</v>
      </c>
      <c r="K543">
        <v>1208</v>
      </c>
      <c r="L543">
        <v>1512</v>
      </c>
      <c r="M543">
        <v>2720</v>
      </c>
      <c r="N543">
        <v>508</v>
      </c>
      <c r="O543">
        <v>795</v>
      </c>
      <c r="P543">
        <v>1303</v>
      </c>
      <c r="Q543">
        <v>449</v>
      </c>
      <c r="R543">
        <v>600</v>
      </c>
      <c r="S543">
        <v>1049</v>
      </c>
      <c r="T543">
        <v>137</v>
      </c>
      <c r="U543">
        <v>131</v>
      </c>
      <c r="V543">
        <v>268</v>
      </c>
      <c r="W543" s="1">
        <f t="shared" si="3571"/>
        <v>7431</v>
      </c>
      <c r="X543" s="1">
        <f t="shared" si="3571"/>
        <v>9253</v>
      </c>
      <c r="Y543" s="1">
        <f t="shared" si="3579"/>
        <v>16684</v>
      </c>
      <c r="Z543" s="1">
        <f t="shared" si="3572"/>
        <v>7294</v>
      </c>
      <c r="AA543" s="1">
        <f t="shared" si="3572"/>
        <v>9122</v>
      </c>
      <c r="AB543" s="1">
        <f t="shared" si="3580"/>
        <v>16416</v>
      </c>
      <c r="AC543" s="1">
        <f t="shared" si="3573"/>
        <v>6845</v>
      </c>
      <c r="AD543" s="1">
        <f t="shared" si="3573"/>
        <v>8522</v>
      </c>
      <c r="AE543" s="1">
        <f t="shared" si="3581"/>
        <v>15367</v>
      </c>
      <c r="AF543" s="2">
        <f t="shared" si="3574"/>
        <v>0.93844255552508915</v>
      </c>
      <c r="AG543" s="2">
        <f t="shared" si="3574"/>
        <v>0.93422495066871303</v>
      </c>
      <c r="AH543" s="2">
        <f t="shared" si="3574"/>
        <v>0.93609892787524362</v>
      </c>
      <c r="AI543" s="1">
        <f t="shared" si="3575"/>
        <v>6337</v>
      </c>
      <c r="AJ543" s="1">
        <f t="shared" si="3575"/>
        <v>7727</v>
      </c>
      <c r="AK543" s="1">
        <f t="shared" si="3582"/>
        <v>14064</v>
      </c>
      <c r="AL543" s="2">
        <f t="shared" si="3576"/>
        <v>0.86879627090759526</v>
      </c>
      <c r="AM543" s="2">
        <f t="shared" si="3576"/>
        <v>0.84707301030475768</v>
      </c>
      <c r="AN543" s="2">
        <f t="shared" si="3576"/>
        <v>0.85672514619883045</v>
      </c>
      <c r="AO543" s="2">
        <f t="shared" si="3577"/>
        <v>0.16876885111050177</v>
      </c>
      <c r="AP543" s="2">
        <f t="shared" si="3577"/>
        <v>0.16377987283490464</v>
      </c>
      <c r="AQ543" s="2">
        <f t="shared" si="3577"/>
        <v>0.16599658869395711</v>
      </c>
      <c r="AR543" s="2">
        <f t="shared" si="3583"/>
        <v>8.2259391280504524E-2</v>
      </c>
      <c r="AS543" s="2">
        <f t="shared" si="3578"/>
        <v>6.5775049331287E-2</v>
      </c>
      <c r="AT543" s="2">
        <f t="shared" si="3578"/>
        <v>6.3901072124756333E-2</v>
      </c>
      <c r="AU543" s="2">
        <f t="shared" si="3584"/>
        <v>1.8436280446777014E-2</v>
      </c>
      <c r="AV543" s="2">
        <f t="shared" si="3584"/>
        <v>1.4157570517669945E-2</v>
      </c>
      <c r="AW543" s="2">
        <f t="shared" si="3584"/>
        <v>1.6063294174058978E-2</v>
      </c>
    </row>
    <row r="544" spans="1:49" ht="15.75" customHeight="1" x14ac:dyDescent="0.15">
      <c r="A544" s="1">
        <v>2025</v>
      </c>
      <c r="C544" s="3" t="s">
        <v>75</v>
      </c>
      <c r="D544" t="s">
        <v>357</v>
      </c>
      <c r="E544">
        <v>13</v>
      </c>
      <c r="F544">
        <v>0</v>
      </c>
      <c r="G544">
        <v>13</v>
      </c>
      <c r="H544">
        <v>72</v>
      </c>
      <c r="I544">
        <v>195</v>
      </c>
      <c r="J544">
        <v>267</v>
      </c>
      <c r="K544">
        <v>65</v>
      </c>
      <c r="L544">
        <v>65</v>
      </c>
      <c r="M544">
        <v>130</v>
      </c>
      <c r="N544">
        <v>18</v>
      </c>
      <c r="O544">
        <v>30</v>
      </c>
      <c r="P544">
        <v>48</v>
      </c>
      <c r="Q544">
        <v>9</v>
      </c>
      <c r="R544">
        <v>20</v>
      </c>
      <c r="S544">
        <v>29</v>
      </c>
      <c r="T544">
        <v>7</v>
      </c>
      <c r="U544">
        <v>2</v>
      </c>
      <c r="V544">
        <v>9</v>
      </c>
      <c r="W544" s="1">
        <f t="shared" si="3571"/>
        <v>184</v>
      </c>
      <c r="X544" s="1">
        <f t="shared" si="3571"/>
        <v>312</v>
      </c>
      <c r="Y544" s="1">
        <f t="shared" si="3579"/>
        <v>496</v>
      </c>
      <c r="Z544" s="1">
        <f t="shared" si="3572"/>
        <v>177</v>
      </c>
      <c r="AA544" s="1">
        <f t="shared" si="3572"/>
        <v>310</v>
      </c>
      <c r="AB544" s="1">
        <f t="shared" si="3580"/>
        <v>487</v>
      </c>
      <c r="AC544" s="1">
        <f t="shared" si="3573"/>
        <v>168</v>
      </c>
      <c r="AD544" s="1">
        <f t="shared" si="3573"/>
        <v>290</v>
      </c>
      <c r="AE544" s="1">
        <f t="shared" si="3581"/>
        <v>458</v>
      </c>
      <c r="AF544" s="2">
        <f t="shared" si="3574"/>
        <v>0.94915254237288138</v>
      </c>
      <c r="AG544" s="2">
        <f t="shared" si="3574"/>
        <v>0.93548387096774188</v>
      </c>
      <c r="AH544" s="2">
        <f t="shared" si="3574"/>
        <v>0.94045174537987675</v>
      </c>
      <c r="AI544" s="1">
        <f t="shared" si="3575"/>
        <v>150</v>
      </c>
      <c r="AJ544" s="1">
        <f t="shared" si="3575"/>
        <v>260</v>
      </c>
      <c r="AK544" s="1">
        <f t="shared" si="3582"/>
        <v>410</v>
      </c>
      <c r="AL544" s="2">
        <f t="shared" si="3576"/>
        <v>0.84745762711864403</v>
      </c>
      <c r="AM544" s="2">
        <f t="shared" si="3576"/>
        <v>0.83870967741935487</v>
      </c>
      <c r="AN544" s="2">
        <f t="shared" si="3576"/>
        <v>0.84188911704312119</v>
      </c>
      <c r="AO544" s="2">
        <f t="shared" si="3577"/>
        <v>7.3446327683615822E-2</v>
      </c>
      <c r="AP544" s="2">
        <f t="shared" si="3577"/>
        <v>0</v>
      </c>
      <c r="AQ544" s="2">
        <f t="shared" si="3577"/>
        <v>2.6694045174537988E-2</v>
      </c>
      <c r="AR544" s="2">
        <f t="shared" si="3583"/>
        <v>0.11299435028248588</v>
      </c>
      <c r="AS544" s="2">
        <f t="shared" si="3578"/>
        <v>6.4516129032258063E-2</v>
      </c>
      <c r="AT544" s="2">
        <f t="shared" si="3578"/>
        <v>5.9548254620123205E-2</v>
      </c>
      <c r="AU544" s="2">
        <f t="shared" si="3584"/>
        <v>3.8043478260869568E-2</v>
      </c>
      <c r="AV544" s="2">
        <f t="shared" si="3584"/>
        <v>6.41025641025641E-3</v>
      </c>
      <c r="AW544" s="2">
        <f t="shared" si="3584"/>
        <v>1.8145161290322582E-2</v>
      </c>
    </row>
    <row r="545" spans="1:49" ht="15.75" customHeight="1" x14ac:dyDescent="0.15">
      <c r="A545" s="1">
        <v>2025</v>
      </c>
      <c r="C545" s="3" t="s">
        <v>75</v>
      </c>
      <c r="D545" t="s">
        <v>358</v>
      </c>
      <c r="E545">
        <v>10</v>
      </c>
      <c r="F545">
        <v>0</v>
      </c>
      <c r="G545">
        <v>10</v>
      </c>
      <c r="H545">
        <v>120</v>
      </c>
      <c r="I545">
        <v>85</v>
      </c>
      <c r="J545">
        <v>205</v>
      </c>
      <c r="K545">
        <v>83</v>
      </c>
      <c r="L545">
        <v>58</v>
      </c>
      <c r="M545">
        <v>141</v>
      </c>
      <c r="N545">
        <v>25</v>
      </c>
      <c r="O545">
        <v>30</v>
      </c>
      <c r="P545">
        <v>55</v>
      </c>
      <c r="Q545">
        <v>35</v>
      </c>
      <c r="R545">
        <v>27</v>
      </c>
      <c r="S545">
        <v>62</v>
      </c>
      <c r="T545">
        <v>3</v>
      </c>
      <c r="U545">
        <v>2</v>
      </c>
      <c r="V545">
        <v>5</v>
      </c>
      <c r="W545" s="1">
        <f t="shared" si="3571"/>
        <v>276</v>
      </c>
      <c r="X545" s="1">
        <f t="shared" si="3571"/>
        <v>202</v>
      </c>
      <c r="Y545" s="1">
        <f t="shared" si="3579"/>
        <v>478</v>
      </c>
      <c r="Z545" s="1">
        <f t="shared" si="3572"/>
        <v>273</v>
      </c>
      <c r="AA545" s="1">
        <f t="shared" si="3572"/>
        <v>200</v>
      </c>
      <c r="AB545" s="1">
        <f t="shared" si="3580"/>
        <v>473</v>
      </c>
      <c r="AC545" s="1">
        <f t="shared" si="3573"/>
        <v>238</v>
      </c>
      <c r="AD545" s="1">
        <f t="shared" si="3573"/>
        <v>173</v>
      </c>
      <c r="AE545" s="1">
        <f t="shared" si="3581"/>
        <v>411</v>
      </c>
      <c r="AF545" s="2">
        <f t="shared" si="3574"/>
        <v>0.87179487179487181</v>
      </c>
      <c r="AG545" s="2">
        <f t="shared" si="3574"/>
        <v>0.86499999999999999</v>
      </c>
      <c r="AH545" s="2">
        <f t="shared" si="3574"/>
        <v>0.86892177589852004</v>
      </c>
      <c r="AI545" s="1">
        <f t="shared" si="3575"/>
        <v>213</v>
      </c>
      <c r="AJ545" s="1">
        <f t="shared" si="3575"/>
        <v>143</v>
      </c>
      <c r="AK545" s="1">
        <f t="shared" si="3582"/>
        <v>356</v>
      </c>
      <c r="AL545" s="2">
        <f t="shared" si="3576"/>
        <v>0.78021978021978022</v>
      </c>
      <c r="AM545" s="2">
        <f t="shared" si="3576"/>
        <v>0.71499999999999997</v>
      </c>
      <c r="AN545" s="2">
        <f t="shared" si="3576"/>
        <v>0.7526427061310782</v>
      </c>
      <c r="AO545" s="2">
        <f t="shared" si="3577"/>
        <v>3.6630036630036632E-2</v>
      </c>
      <c r="AP545" s="2">
        <f t="shared" si="3577"/>
        <v>0</v>
      </c>
      <c r="AQ545" s="2">
        <f t="shared" si="3577"/>
        <v>2.1141649048625793E-2</v>
      </c>
      <c r="AR545" s="2">
        <f t="shared" si="3583"/>
        <v>9.8901098901098897E-2</v>
      </c>
      <c r="AS545" s="2">
        <f t="shared" si="3578"/>
        <v>0.13500000000000001</v>
      </c>
      <c r="AT545" s="2">
        <f t="shared" si="3578"/>
        <v>0.13107822410147993</v>
      </c>
      <c r="AU545" s="2">
        <f t="shared" si="3584"/>
        <v>1.0869565217391304E-2</v>
      </c>
      <c r="AV545" s="2">
        <f t="shared" si="3584"/>
        <v>9.9009900990099011E-3</v>
      </c>
      <c r="AW545" s="2">
        <f t="shared" si="3584"/>
        <v>1.0460251046025104E-2</v>
      </c>
    </row>
    <row r="546" spans="1:49" ht="15.75" customHeight="1" x14ac:dyDescent="0.15">
      <c r="A546" s="1">
        <v>2025</v>
      </c>
      <c r="D546" t="s">
        <v>359</v>
      </c>
      <c r="E546">
        <v>334</v>
      </c>
      <c r="F546">
        <v>324</v>
      </c>
      <c r="G546">
        <v>658</v>
      </c>
      <c r="H546">
        <v>1707</v>
      </c>
      <c r="I546">
        <v>2112</v>
      </c>
      <c r="J546">
        <v>3819</v>
      </c>
      <c r="K546">
        <v>431</v>
      </c>
      <c r="L546">
        <v>490</v>
      </c>
      <c r="M546">
        <v>921</v>
      </c>
      <c r="N546">
        <v>169</v>
      </c>
      <c r="O546">
        <v>215</v>
      </c>
      <c r="P546">
        <v>384</v>
      </c>
      <c r="Q546">
        <v>85</v>
      </c>
      <c r="R546">
        <v>139</v>
      </c>
      <c r="S546">
        <v>224</v>
      </c>
      <c r="T546">
        <v>48</v>
      </c>
      <c r="U546">
        <v>52</v>
      </c>
      <c r="V546">
        <v>100</v>
      </c>
      <c r="W546" s="1">
        <f t="shared" si="3571"/>
        <v>2774</v>
      </c>
      <c r="X546" s="1">
        <f t="shared" si="3571"/>
        <v>3332</v>
      </c>
      <c r="Y546" s="1">
        <f t="shared" si="3579"/>
        <v>6106</v>
      </c>
      <c r="Z546" s="1">
        <f t="shared" si="3572"/>
        <v>2726</v>
      </c>
      <c r="AA546" s="1">
        <f t="shared" si="3572"/>
        <v>3280</v>
      </c>
      <c r="AB546" s="1">
        <f t="shared" si="3580"/>
        <v>6006</v>
      </c>
      <c r="AC546" s="1">
        <f t="shared" si="3573"/>
        <v>2641</v>
      </c>
      <c r="AD546" s="1">
        <f t="shared" si="3573"/>
        <v>3141</v>
      </c>
      <c r="AE546" s="1">
        <f t="shared" si="3581"/>
        <v>5782</v>
      </c>
      <c r="AF546" s="2">
        <f t="shared" si="3574"/>
        <v>0.96881878209831251</v>
      </c>
      <c r="AG546" s="2">
        <f t="shared" si="3574"/>
        <v>0.95762195121951221</v>
      </c>
      <c r="AH546" s="2">
        <f t="shared" si="3574"/>
        <v>0.96270396270396275</v>
      </c>
      <c r="AI546" s="1">
        <f t="shared" si="3575"/>
        <v>2472</v>
      </c>
      <c r="AJ546" s="1">
        <f t="shared" si="3575"/>
        <v>2926</v>
      </c>
      <c r="AK546" s="1">
        <f t="shared" si="3582"/>
        <v>5398</v>
      </c>
      <c r="AL546" s="2">
        <f t="shared" si="3576"/>
        <v>0.90682318415260454</v>
      </c>
      <c r="AM546" s="2">
        <f t="shared" si="3576"/>
        <v>0.89207317073170733</v>
      </c>
      <c r="AN546" s="2">
        <f t="shared" si="3576"/>
        <v>0.89876789876789875</v>
      </c>
      <c r="AO546" s="2">
        <f t="shared" si="3577"/>
        <v>0.12252384446074835</v>
      </c>
      <c r="AP546" s="2">
        <f t="shared" si="3577"/>
        <v>9.8780487804878053E-2</v>
      </c>
      <c r="AQ546" s="2">
        <f t="shared" si="3577"/>
        <v>0.10955710955710955</v>
      </c>
      <c r="AR546" s="2">
        <f t="shared" si="3583"/>
        <v>5.0990462215700659E-2</v>
      </c>
      <c r="AS546" s="2">
        <f t="shared" si="3578"/>
        <v>4.2378048780487808E-2</v>
      </c>
      <c r="AT546" s="2">
        <f t="shared" si="3578"/>
        <v>3.7296037296037296E-2</v>
      </c>
      <c r="AU546" s="2">
        <f t="shared" si="3584"/>
        <v>1.7303532804614274E-2</v>
      </c>
      <c r="AV546" s="2">
        <f t="shared" si="3584"/>
        <v>1.5606242496998799E-2</v>
      </c>
      <c r="AW546" s="2">
        <f t="shared" si="3584"/>
        <v>1.6377333770062234E-2</v>
      </c>
    </row>
    <row r="547" spans="1:49" ht="15.75" customHeight="1" x14ac:dyDescent="0.15">
      <c r="A547" s="1">
        <v>2025</v>
      </c>
      <c r="D547" t="s">
        <v>360</v>
      </c>
      <c r="E547">
        <v>148</v>
      </c>
      <c r="F547">
        <v>152</v>
      </c>
      <c r="G547">
        <v>300</v>
      </c>
      <c r="H547">
        <v>861</v>
      </c>
      <c r="I547">
        <v>1001</v>
      </c>
      <c r="J547">
        <v>1862</v>
      </c>
      <c r="K547">
        <v>444</v>
      </c>
      <c r="L547">
        <v>581</v>
      </c>
      <c r="M547">
        <v>1025</v>
      </c>
      <c r="N547">
        <v>225</v>
      </c>
      <c r="O547">
        <v>317</v>
      </c>
      <c r="P547">
        <v>542</v>
      </c>
      <c r="Q547">
        <v>266</v>
      </c>
      <c r="R547">
        <v>361</v>
      </c>
      <c r="S547">
        <v>627</v>
      </c>
      <c r="T547">
        <v>49</v>
      </c>
      <c r="U547">
        <v>66</v>
      </c>
      <c r="V547">
        <v>115</v>
      </c>
      <c r="W547" s="1">
        <f t="shared" si="3571"/>
        <v>1993</v>
      </c>
      <c r="X547" s="1">
        <f t="shared" si="3571"/>
        <v>2478</v>
      </c>
      <c r="Y547" s="1">
        <f t="shared" si="3579"/>
        <v>4471</v>
      </c>
      <c r="Z547" s="1">
        <f t="shared" si="3572"/>
        <v>1944</v>
      </c>
      <c r="AA547" s="1">
        <f t="shared" si="3572"/>
        <v>2412</v>
      </c>
      <c r="AB547" s="1">
        <f t="shared" si="3580"/>
        <v>4356</v>
      </c>
      <c r="AC547" s="1">
        <f t="shared" si="3573"/>
        <v>1678</v>
      </c>
      <c r="AD547" s="1">
        <f t="shared" si="3573"/>
        <v>2051</v>
      </c>
      <c r="AE547" s="1">
        <f t="shared" si="3581"/>
        <v>3729</v>
      </c>
      <c r="AF547" s="2">
        <f t="shared" si="3574"/>
        <v>0.86316872427983538</v>
      </c>
      <c r="AG547" s="2">
        <f t="shared" si="3574"/>
        <v>0.85033167495854067</v>
      </c>
      <c r="AH547" s="2">
        <f t="shared" si="3574"/>
        <v>0.85606060606060608</v>
      </c>
      <c r="AI547" s="1">
        <f t="shared" si="3575"/>
        <v>1453</v>
      </c>
      <c r="AJ547" s="1">
        <f t="shared" si="3575"/>
        <v>1734</v>
      </c>
      <c r="AK547" s="1">
        <f t="shared" si="3582"/>
        <v>3187</v>
      </c>
      <c r="AL547" s="2">
        <f t="shared" si="3576"/>
        <v>0.74742798353909468</v>
      </c>
      <c r="AM547" s="2">
        <f t="shared" si="3576"/>
        <v>0.71890547263681592</v>
      </c>
      <c r="AN547" s="2">
        <f t="shared" si="3576"/>
        <v>0.73163452708907251</v>
      </c>
      <c r="AO547" s="2">
        <f t="shared" si="3577"/>
        <v>7.6131687242798354E-2</v>
      </c>
      <c r="AP547" s="2">
        <f t="shared" si="3577"/>
        <v>6.3018242122719739E-2</v>
      </c>
      <c r="AQ547" s="2">
        <f t="shared" si="3577"/>
        <v>6.8870523415977963E-2</v>
      </c>
      <c r="AR547" s="2">
        <f t="shared" si="3583"/>
        <v>0.18569958847736626</v>
      </c>
      <c r="AS547" s="2">
        <f t="shared" si="3578"/>
        <v>0.14966832504145938</v>
      </c>
      <c r="AT547" s="2">
        <f t="shared" si="3578"/>
        <v>0.14393939393939395</v>
      </c>
      <c r="AU547" s="2">
        <f t="shared" si="3584"/>
        <v>2.4586051179126944E-2</v>
      </c>
      <c r="AV547" s="2">
        <f t="shared" si="3584"/>
        <v>2.6634382566585957E-2</v>
      </c>
      <c r="AW547" s="2">
        <f t="shared" si="3584"/>
        <v>2.5721315142026392E-2</v>
      </c>
    </row>
    <row r="548" spans="1:49" ht="15.75" customHeight="1" x14ac:dyDescent="0.15">
      <c r="A548" s="1">
        <v>2025</v>
      </c>
      <c r="C548" s="3" t="s">
        <v>89</v>
      </c>
      <c r="D548" t="s">
        <v>361</v>
      </c>
      <c r="E548">
        <v>183</v>
      </c>
      <c r="F548">
        <v>155</v>
      </c>
      <c r="G548">
        <v>338</v>
      </c>
      <c r="H548">
        <v>1222</v>
      </c>
      <c r="I548">
        <v>1116</v>
      </c>
      <c r="J548">
        <v>2338</v>
      </c>
      <c r="K548">
        <v>540</v>
      </c>
      <c r="L548">
        <v>527</v>
      </c>
      <c r="M548">
        <v>1067</v>
      </c>
      <c r="N548">
        <v>254</v>
      </c>
      <c r="O548">
        <v>266</v>
      </c>
      <c r="P548">
        <v>520</v>
      </c>
      <c r="Q548">
        <v>94</v>
      </c>
      <c r="R548">
        <v>100</v>
      </c>
      <c r="S548">
        <v>194</v>
      </c>
      <c r="T548">
        <v>6</v>
      </c>
      <c r="U548">
        <v>12</v>
      </c>
      <c r="V548">
        <v>18</v>
      </c>
      <c r="W548" s="1">
        <f t="shared" si="3571"/>
        <v>2299</v>
      </c>
      <c r="X548" s="1">
        <f t="shared" si="3571"/>
        <v>2176</v>
      </c>
      <c r="Y548" s="1">
        <f t="shared" si="3579"/>
        <v>4475</v>
      </c>
      <c r="Z548" s="1">
        <f t="shared" si="3572"/>
        <v>2293</v>
      </c>
      <c r="AA548" s="1">
        <f t="shared" si="3572"/>
        <v>2164</v>
      </c>
      <c r="AB548" s="1">
        <f t="shared" si="3580"/>
        <v>4457</v>
      </c>
      <c r="AC548" s="1">
        <f t="shared" si="3573"/>
        <v>2199</v>
      </c>
      <c r="AD548" s="1">
        <f t="shared" si="3573"/>
        <v>2064</v>
      </c>
      <c r="AE548" s="1">
        <f t="shared" si="3581"/>
        <v>4263</v>
      </c>
      <c r="AF548" s="2">
        <f t="shared" si="3574"/>
        <v>0.95900566942869603</v>
      </c>
      <c r="AG548" s="2">
        <f t="shared" si="3574"/>
        <v>0.95378927911275413</v>
      </c>
      <c r="AH548" s="2">
        <f t="shared" si="3574"/>
        <v>0.95647296387704739</v>
      </c>
      <c r="AI548" s="1">
        <f t="shared" si="3575"/>
        <v>1945</v>
      </c>
      <c r="AJ548" s="1">
        <f t="shared" si="3575"/>
        <v>1798</v>
      </c>
      <c r="AK548" s="1">
        <f t="shared" si="3582"/>
        <v>3743</v>
      </c>
      <c r="AL548" s="2">
        <f t="shared" si="3576"/>
        <v>0.84823375490623643</v>
      </c>
      <c r="AM548" s="2">
        <f t="shared" si="3576"/>
        <v>0.83086876155268019</v>
      </c>
      <c r="AN548" s="2">
        <f t="shared" si="3576"/>
        <v>0.83980255777428758</v>
      </c>
      <c r="AO548" s="2">
        <f t="shared" si="3577"/>
        <v>7.9808111644134316E-2</v>
      </c>
      <c r="AP548" s="2">
        <f t="shared" si="3577"/>
        <v>7.1626617375231058E-2</v>
      </c>
      <c r="AQ548" s="2">
        <f t="shared" si="3577"/>
        <v>7.5835763966793812E-2</v>
      </c>
      <c r="AR548" s="2">
        <f t="shared" si="3583"/>
        <v>4.3610989969472304E-2</v>
      </c>
      <c r="AS548" s="2">
        <f t="shared" si="3578"/>
        <v>4.6210720887245843E-2</v>
      </c>
      <c r="AT548" s="2">
        <f t="shared" si="3578"/>
        <v>4.352703612295266E-2</v>
      </c>
      <c r="AU548" s="2">
        <f t="shared" si="3584"/>
        <v>2.6098303610265334E-3</v>
      </c>
      <c r="AV548" s="2">
        <f t="shared" si="3584"/>
        <v>5.5147058823529415E-3</v>
      </c>
      <c r="AW548" s="2">
        <f t="shared" si="3584"/>
        <v>4.0223463687150841E-3</v>
      </c>
    </row>
    <row r="549" spans="1:49" ht="15.75" customHeight="1" x14ac:dyDescent="0.15">
      <c r="A549" s="1">
        <v>2025</v>
      </c>
      <c r="D549" t="s">
        <v>362</v>
      </c>
      <c r="E549">
        <v>85</v>
      </c>
      <c r="F549">
        <v>50</v>
      </c>
      <c r="G549">
        <v>135</v>
      </c>
      <c r="H549">
        <v>690</v>
      </c>
      <c r="I549">
        <v>734</v>
      </c>
      <c r="J549">
        <v>1424</v>
      </c>
      <c r="K549">
        <v>666</v>
      </c>
      <c r="L549">
        <v>742</v>
      </c>
      <c r="M549">
        <v>1408</v>
      </c>
      <c r="N549">
        <v>344</v>
      </c>
      <c r="O549">
        <v>487</v>
      </c>
      <c r="P549">
        <v>831</v>
      </c>
      <c r="Q549">
        <v>449</v>
      </c>
      <c r="R549">
        <v>619</v>
      </c>
      <c r="S549">
        <v>1068</v>
      </c>
      <c r="T549">
        <v>24</v>
      </c>
      <c r="U549">
        <v>41</v>
      </c>
      <c r="V549">
        <v>65</v>
      </c>
      <c r="W549" s="1">
        <f t="shared" si="3571"/>
        <v>2258</v>
      </c>
      <c r="X549" s="1">
        <f t="shared" si="3571"/>
        <v>2673</v>
      </c>
      <c r="Y549" s="1">
        <f t="shared" si="3579"/>
        <v>4931</v>
      </c>
      <c r="Z549" s="1">
        <f t="shared" si="3572"/>
        <v>2234</v>
      </c>
      <c r="AA549" s="1">
        <f t="shared" si="3572"/>
        <v>2632</v>
      </c>
      <c r="AB549" s="1">
        <f t="shared" si="3580"/>
        <v>4866</v>
      </c>
      <c r="AC549" s="1">
        <f t="shared" si="3573"/>
        <v>1785</v>
      </c>
      <c r="AD549" s="1">
        <f t="shared" si="3573"/>
        <v>2013</v>
      </c>
      <c r="AE549" s="1">
        <f t="shared" si="3581"/>
        <v>3798</v>
      </c>
      <c r="AF549" s="2">
        <f t="shared" si="3574"/>
        <v>0.79901521933751118</v>
      </c>
      <c r="AG549" s="2">
        <f t="shared" si="3574"/>
        <v>0.76481762917933127</v>
      </c>
      <c r="AH549" s="2">
        <f t="shared" si="3574"/>
        <v>0.78051787916152893</v>
      </c>
      <c r="AI549" s="1">
        <f t="shared" si="3575"/>
        <v>1441</v>
      </c>
      <c r="AJ549" s="1">
        <f t="shared" si="3575"/>
        <v>1526</v>
      </c>
      <c r="AK549" s="1">
        <f t="shared" si="3582"/>
        <v>2967</v>
      </c>
      <c r="AL549" s="2">
        <f t="shared" si="3576"/>
        <v>0.64503133393017009</v>
      </c>
      <c r="AM549" s="2">
        <f t="shared" si="3576"/>
        <v>0.57978723404255317</v>
      </c>
      <c r="AN549" s="2">
        <f t="shared" si="3576"/>
        <v>0.60974106041923548</v>
      </c>
      <c r="AO549" s="2">
        <f t="shared" si="3577"/>
        <v>3.8048343777976723E-2</v>
      </c>
      <c r="AP549" s="2">
        <f t="shared" si="3577"/>
        <v>1.8996960486322188E-2</v>
      </c>
      <c r="AQ549" s="2">
        <f t="shared" si="3577"/>
        <v>2.7743526510480888E-2</v>
      </c>
      <c r="AR549" s="2">
        <f t="shared" si="3583"/>
        <v>0.27708146821844226</v>
      </c>
      <c r="AS549" s="2">
        <f t="shared" si="3578"/>
        <v>0.2351823708206687</v>
      </c>
      <c r="AT549" s="2">
        <f t="shared" si="3578"/>
        <v>0.21948212083847102</v>
      </c>
      <c r="AU549" s="2">
        <f t="shared" si="3584"/>
        <v>1.0628875110717449E-2</v>
      </c>
      <c r="AV549" s="2">
        <f t="shared" si="3584"/>
        <v>1.5338570894126449E-2</v>
      </c>
      <c r="AW549" s="2">
        <f t="shared" si="3584"/>
        <v>1.3181910363009532E-2</v>
      </c>
    </row>
    <row r="550" spans="1:49" ht="15.75" customHeight="1" x14ac:dyDescent="0.15">
      <c r="A550" s="1">
        <v>2025</v>
      </c>
      <c r="C550" s="3" t="s">
        <v>89</v>
      </c>
      <c r="D550" t="s">
        <v>363</v>
      </c>
      <c r="E550">
        <v>160</v>
      </c>
      <c r="F550">
        <v>164</v>
      </c>
      <c r="G550">
        <v>324</v>
      </c>
      <c r="H550">
        <v>1385</v>
      </c>
      <c r="I550">
        <v>1677</v>
      </c>
      <c r="J550">
        <v>3062</v>
      </c>
      <c r="K550">
        <v>759</v>
      </c>
      <c r="L550">
        <v>884</v>
      </c>
      <c r="M550">
        <v>1643</v>
      </c>
      <c r="N550">
        <v>290</v>
      </c>
      <c r="O550">
        <v>365</v>
      </c>
      <c r="P550">
        <v>655</v>
      </c>
      <c r="Q550">
        <v>182</v>
      </c>
      <c r="R550">
        <v>199</v>
      </c>
      <c r="S550">
        <v>381</v>
      </c>
      <c r="T550">
        <v>10</v>
      </c>
      <c r="U550">
        <v>13</v>
      </c>
      <c r="V550">
        <v>23</v>
      </c>
      <c r="W550" s="1">
        <f t="shared" si="3571"/>
        <v>2786</v>
      </c>
      <c r="X550" s="1">
        <f t="shared" si="3571"/>
        <v>3302</v>
      </c>
      <c r="Y550" s="1">
        <f t="shared" si="3579"/>
        <v>6088</v>
      </c>
      <c r="Z550" s="1">
        <f t="shared" si="3572"/>
        <v>2776</v>
      </c>
      <c r="AA550" s="1">
        <f t="shared" si="3572"/>
        <v>3289</v>
      </c>
      <c r="AB550" s="1">
        <f t="shared" si="3580"/>
        <v>6065</v>
      </c>
      <c r="AC550" s="1">
        <f t="shared" si="3573"/>
        <v>2594</v>
      </c>
      <c r="AD550" s="1">
        <f t="shared" si="3573"/>
        <v>3090</v>
      </c>
      <c r="AE550" s="1">
        <f t="shared" si="3581"/>
        <v>5684</v>
      </c>
      <c r="AF550" s="2">
        <f t="shared" si="3574"/>
        <v>0.93443804034582134</v>
      </c>
      <c r="AG550" s="2">
        <f t="shared" si="3574"/>
        <v>0.93949528732137433</v>
      </c>
      <c r="AH550" s="2">
        <f t="shared" si="3574"/>
        <v>0.93718054410552354</v>
      </c>
      <c r="AI550" s="1">
        <f t="shared" si="3575"/>
        <v>2304</v>
      </c>
      <c r="AJ550" s="1">
        <f t="shared" si="3575"/>
        <v>2725</v>
      </c>
      <c r="AK550" s="1">
        <f t="shared" si="3582"/>
        <v>5029</v>
      </c>
      <c r="AL550" s="2">
        <f t="shared" si="3576"/>
        <v>0.82997118155619598</v>
      </c>
      <c r="AM550" s="2">
        <f t="shared" si="3576"/>
        <v>0.82851930678017638</v>
      </c>
      <c r="AN550" s="2">
        <f t="shared" si="3576"/>
        <v>0.82918384171475679</v>
      </c>
      <c r="AO550" s="2">
        <f t="shared" si="3577"/>
        <v>5.7636887608069162E-2</v>
      </c>
      <c r="AP550" s="2">
        <f t="shared" si="3577"/>
        <v>4.9863180297962904E-2</v>
      </c>
      <c r="AQ550" s="2">
        <f t="shared" si="3577"/>
        <v>5.3421269579554821E-2</v>
      </c>
      <c r="AR550" s="2">
        <f t="shared" si="3583"/>
        <v>7.1685878962536018E-2</v>
      </c>
      <c r="AS550" s="2">
        <f t="shared" si="3578"/>
        <v>6.050471267862572E-2</v>
      </c>
      <c r="AT550" s="2">
        <f t="shared" si="3578"/>
        <v>6.2819455894476503E-2</v>
      </c>
      <c r="AU550" s="2">
        <f t="shared" si="3584"/>
        <v>3.5893754486719309E-3</v>
      </c>
      <c r="AV550" s="2">
        <f t="shared" si="3584"/>
        <v>3.937007874015748E-3</v>
      </c>
      <c r="AW550" s="2">
        <f t="shared" si="3584"/>
        <v>3.7779237844940868E-3</v>
      </c>
    </row>
    <row r="551" spans="1:49" ht="15.75" customHeight="1" x14ac:dyDescent="0.15">
      <c r="A551" s="1">
        <v>2025</v>
      </c>
      <c r="D551" t="s">
        <v>364</v>
      </c>
      <c r="E551">
        <v>1154</v>
      </c>
      <c r="F551">
        <v>983</v>
      </c>
      <c r="G551">
        <v>2137</v>
      </c>
      <c r="H551">
        <v>3805</v>
      </c>
      <c r="I551">
        <v>4497</v>
      </c>
      <c r="J551">
        <v>8302</v>
      </c>
      <c r="K551">
        <v>896</v>
      </c>
      <c r="L551">
        <v>1158</v>
      </c>
      <c r="M551">
        <v>2054</v>
      </c>
      <c r="N551">
        <v>358</v>
      </c>
      <c r="O551">
        <v>500</v>
      </c>
      <c r="P551">
        <v>858</v>
      </c>
      <c r="Q551">
        <v>350</v>
      </c>
      <c r="R551">
        <v>367</v>
      </c>
      <c r="S551">
        <v>717</v>
      </c>
      <c r="T551">
        <v>85</v>
      </c>
      <c r="U551">
        <v>77</v>
      </c>
      <c r="V551">
        <v>162</v>
      </c>
      <c r="W551" s="1">
        <f t="shared" si="3571"/>
        <v>6648</v>
      </c>
      <c r="X551" s="1">
        <f t="shared" si="3571"/>
        <v>7582</v>
      </c>
      <c r="Y551" s="1">
        <f t="shared" si="3579"/>
        <v>14230</v>
      </c>
      <c r="Z551" s="1">
        <f t="shared" si="3572"/>
        <v>6563</v>
      </c>
      <c r="AA551" s="1">
        <f t="shared" si="3572"/>
        <v>7505</v>
      </c>
      <c r="AB551" s="1">
        <f t="shared" si="3580"/>
        <v>14068</v>
      </c>
      <c r="AC551" s="1">
        <f t="shared" si="3573"/>
        <v>6213</v>
      </c>
      <c r="AD551" s="1">
        <f t="shared" si="3573"/>
        <v>7138</v>
      </c>
      <c r="AE551" s="1">
        <f t="shared" si="3581"/>
        <v>13351</v>
      </c>
      <c r="AF551" s="2">
        <f t="shared" si="3574"/>
        <v>0.94667072984915435</v>
      </c>
      <c r="AG551" s="2">
        <f t="shared" si="3574"/>
        <v>0.95109926715522985</v>
      </c>
      <c r="AH551" s="2">
        <f t="shared" si="3574"/>
        <v>0.949033266988911</v>
      </c>
      <c r="AI551" s="1">
        <f t="shared" si="3575"/>
        <v>5855</v>
      </c>
      <c r="AJ551" s="1">
        <f t="shared" si="3575"/>
        <v>6638</v>
      </c>
      <c r="AK551" s="1">
        <f t="shared" si="3582"/>
        <v>12493</v>
      </c>
      <c r="AL551" s="2">
        <f t="shared" si="3576"/>
        <v>0.89212250495200363</v>
      </c>
      <c r="AM551" s="2">
        <f t="shared" si="3576"/>
        <v>0.88447701532311795</v>
      </c>
      <c r="AN551" s="2">
        <f t="shared" si="3576"/>
        <v>0.88804378731873757</v>
      </c>
      <c r="AO551" s="2">
        <f t="shared" si="3577"/>
        <v>0.17583422215450251</v>
      </c>
      <c r="AP551" s="2">
        <f t="shared" si="3577"/>
        <v>0.13097934710193204</v>
      </c>
      <c r="AQ551" s="2">
        <f t="shared" si="3577"/>
        <v>0.15190503269832242</v>
      </c>
      <c r="AR551" s="2">
        <f t="shared" si="3583"/>
        <v>5.5919548986743867E-2</v>
      </c>
      <c r="AS551" s="2">
        <f t="shared" si="3578"/>
        <v>4.8900732844770152E-2</v>
      </c>
      <c r="AT551" s="2">
        <f t="shared" si="3578"/>
        <v>5.0966733011088998E-2</v>
      </c>
      <c r="AU551" s="2">
        <f t="shared" si="3584"/>
        <v>1.2785800240673887E-2</v>
      </c>
      <c r="AV551" s="2">
        <f t="shared" si="3584"/>
        <v>1.0155631759430229E-2</v>
      </c>
      <c r="AW551" s="2">
        <f t="shared" si="3584"/>
        <v>1.1384399156711173E-2</v>
      </c>
    </row>
    <row r="552" spans="1:49" ht="15.75" customHeight="1" x14ac:dyDescent="0.15">
      <c r="A552" s="1">
        <v>2025</v>
      </c>
      <c r="C552" s="3" t="s">
        <v>75</v>
      </c>
      <c r="D552" t="s">
        <v>365</v>
      </c>
      <c r="E552">
        <v>17</v>
      </c>
      <c r="F552">
        <v>10</v>
      </c>
      <c r="G552">
        <v>27</v>
      </c>
      <c r="H552">
        <v>259</v>
      </c>
      <c r="I552">
        <v>258</v>
      </c>
      <c r="J552">
        <v>517</v>
      </c>
      <c r="K552">
        <v>117</v>
      </c>
      <c r="L552">
        <v>122</v>
      </c>
      <c r="M552">
        <v>239</v>
      </c>
      <c r="N552">
        <v>22</v>
      </c>
      <c r="O552">
        <v>29</v>
      </c>
      <c r="P552">
        <v>51</v>
      </c>
      <c r="Q552">
        <v>35</v>
      </c>
      <c r="R552">
        <v>36</v>
      </c>
      <c r="S552">
        <v>71</v>
      </c>
      <c r="T552">
        <v>6</v>
      </c>
      <c r="U552">
        <v>5</v>
      </c>
      <c r="V552">
        <v>11</v>
      </c>
      <c r="W552" s="1">
        <f t="shared" si="3571"/>
        <v>456</v>
      </c>
      <c r="X552" s="1">
        <f t="shared" si="3571"/>
        <v>460</v>
      </c>
      <c r="Y552" s="1">
        <f t="shared" si="3579"/>
        <v>916</v>
      </c>
      <c r="Z552" s="1">
        <f t="shared" si="3572"/>
        <v>450</v>
      </c>
      <c r="AA552" s="1">
        <f t="shared" si="3572"/>
        <v>455</v>
      </c>
      <c r="AB552" s="1">
        <f t="shared" si="3580"/>
        <v>905</v>
      </c>
      <c r="AC552" s="1">
        <f t="shared" si="3573"/>
        <v>415</v>
      </c>
      <c r="AD552" s="1">
        <f t="shared" si="3573"/>
        <v>419</v>
      </c>
      <c r="AE552" s="1">
        <f t="shared" si="3581"/>
        <v>834</v>
      </c>
      <c r="AF552" s="2">
        <f t="shared" si="3574"/>
        <v>0.92222222222222228</v>
      </c>
      <c r="AG552" s="2">
        <f t="shared" si="3574"/>
        <v>0.92087912087912083</v>
      </c>
      <c r="AH552" s="2">
        <f t="shared" si="3574"/>
        <v>0.92154696132596681</v>
      </c>
      <c r="AI552" s="1">
        <f t="shared" si="3575"/>
        <v>393</v>
      </c>
      <c r="AJ552" s="1">
        <f t="shared" si="3575"/>
        <v>390</v>
      </c>
      <c r="AK552" s="1">
        <f t="shared" si="3582"/>
        <v>783</v>
      </c>
      <c r="AL552" s="2">
        <f t="shared" si="3576"/>
        <v>0.87333333333333329</v>
      </c>
      <c r="AM552" s="2">
        <f t="shared" si="3576"/>
        <v>0.8571428571428571</v>
      </c>
      <c r="AN552" s="2">
        <f t="shared" si="3576"/>
        <v>0.86519337016574582</v>
      </c>
      <c r="AO552" s="2">
        <f t="shared" si="3577"/>
        <v>3.7777777777777778E-2</v>
      </c>
      <c r="AP552" s="2">
        <f t="shared" si="3577"/>
        <v>2.197802197802198E-2</v>
      </c>
      <c r="AQ552" s="2">
        <f t="shared" si="3577"/>
        <v>2.9834254143646408E-2</v>
      </c>
      <c r="AR552" s="2">
        <f t="shared" si="3583"/>
        <v>0.08</v>
      </c>
      <c r="AS552" s="2">
        <f t="shared" si="3578"/>
        <v>7.9120879120879117E-2</v>
      </c>
      <c r="AT552" s="2">
        <f t="shared" si="3578"/>
        <v>7.8453038674033151E-2</v>
      </c>
      <c r="AU552" s="2">
        <f t="shared" si="3584"/>
        <v>1.3157894736842105E-2</v>
      </c>
      <c r="AV552" s="2">
        <f t="shared" si="3584"/>
        <v>1.0869565217391304E-2</v>
      </c>
      <c r="AW552" s="2">
        <f t="shared" si="3584"/>
        <v>1.2008733624454149E-2</v>
      </c>
    </row>
    <row r="553" spans="1:49" ht="15.75" customHeight="1" x14ac:dyDescent="0.15">
      <c r="A553" s="1">
        <v>2025</v>
      </c>
      <c r="C553" s="3" t="s">
        <v>67</v>
      </c>
      <c r="D553" t="s">
        <v>366</v>
      </c>
      <c r="E553">
        <v>18</v>
      </c>
      <c r="F553">
        <v>26</v>
      </c>
      <c r="G553">
        <v>44</v>
      </c>
      <c r="H553">
        <v>168</v>
      </c>
      <c r="I553">
        <v>128</v>
      </c>
      <c r="J553">
        <v>296</v>
      </c>
      <c r="K553">
        <v>124</v>
      </c>
      <c r="L553">
        <v>115</v>
      </c>
      <c r="M553">
        <v>239</v>
      </c>
      <c r="N553">
        <v>40</v>
      </c>
      <c r="O553">
        <v>47</v>
      </c>
      <c r="P553">
        <v>87</v>
      </c>
      <c r="Q553">
        <v>34</v>
      </c>
      <c r="R553">
        <v>32</v>
      </c>
      <c r="S553">
        <v>66</v>
      </c>
      <c r="T553">
        <v>5</v>
      </c>
      <c r="U553">
        <v>12</v>
      </c>
      <c r="V553">
        <v>17</v>
      </c>
      <c r="W553" s="1">
        <f t="shared" ref="W553:X587" si="3585">SUM(E553,H553,K553,N553,Q553,T553)</f>
        <v>389</v>
      </c>
      <c r="X553" s="1">
        <f t="shared" si="3585"/>
        <v>360</v>
      </c>
      <c r="Y553" s="1">
        <f t="shared" si="3579"/>
        <v>749</v>
      </c>
      <c r="Z553" s="1">
        <f t="shared" ref="Z553:AA587" si="3586">W553-T553</f>
        <v>384</v>
      </c>
      <c r="AA553" s="1">
        <f t="shared" si="3586"/>
        <v>348</v>
      </c>
      <c r="AB553" s="1">
        <f t="shared" si="3580"/>
        <v>732</v>
      </c>
      <c r="AC553" s="1">
        <f t="shared" ref="AC553:AD587" si="3587">SUM(E553,H553,K553,N553)</f>
        <v>350</v>
      </c>
      <c r="AD553" s="1">
        <f t="shared" si="3587"/>
        <v>316</v>
      </c>
      <c r="AE553" s="1">
        <f t="shared" si="3581"/>
        <v>666</v>
      </c>
      <c r="AF553" s="2">
        <f t="shared" ref="AF553:AH587" si="3588">AC553/Z553</f>
        <v>0.91145833333333337</v>
      </c>
      <c r="AG553" s="2">
        <f t="shared" si="3588"/>
        <v>0.90804597701149425</v>
      </c>
      <c r="AH553" s="2">
        <f t="shared" si="3588"/>
        <v>0.9098360655737705</v>
      </c>
      <c r="AI553" s="1">
        <f t="shared" ref="AI553:AJ587" si="3589">SUM(E553,H553,K553)</f>
        <v>310</v>
      </c>
      <c r="AJ553" s="1">
        <f t="shared" si="3589"/>
        <v>269</v>
      </c>
      <c r="AK553" s="1">
        <f t="shared" si="3582"/>
        <v>579</v>
      </c>
      <c r="AL553" s="2">
        <f t="shared" ref="AL553:AN587" si="3590">AI553/Z553</f>
        <v>0.80729166666666663</v>
      </c>
      <c r="AM553" s="2">
        <f t="shared" si="3590"/>
        <v>0.77298850574712641</v>
      </c>
      <c r="AN553" s="2">
        <f t="shared" si="3590"/>
        <v>0.79098360655737709</v>
      </c>
      <c r="AO553" s="2">
        <f t="shared" ref="AO553:AQ587" si="3591">E553/Z553</f>
        <v>4.6875E-2</v>
      </c>
      <c r="AP553" s="2">
        <f t="shared" si="3591"/>
        <v>7.4712643678160925E-2</v>
      </c>
      <c r="AQ553" s="2">
        <f t="shared" si="3591"/>
        <v>6.0109289617486336E-2</v>
      </c>
      <c r="AR553" s="2">
        <f t="shared" si="3583"/>
        <v>8.3333333333333329E-2</v>
      </c>
      <c r="AS553" s="2">
        <f t="shared" ref="AS553:AT587" si="3592">R553/AA553</f>
        <v>9.1954022988505746E-2</v>
      </c>
      <c r="AT553" s="2">
        <f t="shared" si="3592"/>
        <v>9.0163934426229511E-2</v>
      </c>
      <c r="AU553" s="2">
        <f t="shared" si="3584"/>
        <v>1.2853470437017995E-2</v>
      </c>
      <c r="AV553" s="2">
        <f t="shared" si="3584"/>
        <v>3.3333333333333333E-2</v>
      </c>
      <c r="AW553" s="2">
        <f t="shared" si="3584"/>
        <v>2.2696929238985315E-2</v>
      </c>
    </row>
    <row r="554" spans="1:49" ht="15.75" customHeight="1" x14ac:dyDescent="0.15">
      <c r="A554" s="1">
        <v>2025</v>
      </c>
      <c r="C554" s="3" t="s">
        <v>67</v>
      </c>
      <c r="D554" t="s">
        <v>367</v>
      </c>
      <c r="E554">
        <v>20</v>
      </c>
      <c r="F554">
        <v>4</v>
      </c>
      <c r="G554">
        <v>24</v>
      </c>
      <c r="H554">
        <v>529</v>
      </c>
      <c r="I554">
        <v>245</v>
      </c>
      <c r="J554">
        <v>774</v>
      </c>
      <c r="K554">
        <v>624</v>
      </c>
      <c r="L554">
        <v>346</v>
      </c>
      <c r="M554">
        <v>970</v>
      </c>
      <c r="N554">
        <v>214</v>
      </c>
      <c r="O554">
        <v>142</v>
      </c>
      <c r="P554">
        <v>356</v>
      </c>
      <c r="Q554">
        <v>161</v>
      </c>
      <c r="R554">
        <v>140</v>
      </c>
      <c r="S554">
        <v>301</v>
      </c>
      <c r="T554">
        <v>12</v>
      </c>
      <c r="U554">
        <v>11</v>
      </c>
      <c r="V554">
        <v>23</v>
      </c>
      <c r="W554" s="1">
        <f t="shared" si="3585"/>
        <v>1560</v>
      </c>
      <c r="X554" s="1">
        <f t="shared" si="3585"/>
        <v>888</v>
      </c>
      <c r="Y554" s="1">
        <f t="shared" si="3579"/>
        <v>2448</v>
      </c>
      <c r="Z554" s="1">
        <f t="shared" si="3586"/>
        <v>1548</v>
      </c>
      <c r="AA554" s="1">
        <f t="shared" si="3586"/>
        <v>877</v>
      </c>
      <c r="AB554" s="1">
        <f t="shared" si="3580"/>
        <v>2425</v>
      </c>
      <c r="AC554" s="1">
        <f t="shared" si="3587"/>
        <v>1387</v>
      </c>
      <c r="AD554" s="1">
        <f t="shared" si="3587"/>
        <v>737</v>
      </c>
      <c r="AE554" s="1">
        <f t="shared" si="3581"/>
        <v>2124</v>
      </c>
      <c r="AF554" s="2">
        <f t="shared" si="3588"/>
        <v>0.89599483204134367</v>
      </c>
      <c r="AG554" s="2">
        <f t="shared" si="3588"/>
        <v>0.84036488027366019</v>
      </c>
      <c r="AH554" s="2">
        <f t="shared" si="3588"/>
        <v>0.87587628865979383</v>
      </c>
      <c r="AI554" s="1">
        <f t="shared" si="3589"/>
        <v>1173</v>
      </c>
      <c r="AJ554" s="1">
        <f t="shared" si="3589"/>
        <v>595</v>
      </c>
      <c r="AK554" s="1">
        <f t="shared" si="3582"/>
        <v>1768</v>
      </c>
      <c r="AL554" s="2">
        <f t="shared" si="3590"/>
        <v>0.75775193798449614</v>
      </c>
      <c r="AM554" s="2">
        <f t="shared" si="3590"/>
        <v>0.67844925883694418</v>
      </c>
      <c r="AN554" s="2">
        <f t="shared" si="3590"/>
        <v>0.72907216494845362</v>
      </c>
      <c r="AO554" s="2">
        <f t="shared" si="3591"/>
        <v>1.2919896640826873E-2</v>
      </c>
      <c r="AP554" s="2">
        <f t="shared" si="3591"/>
        <v>4.5610034207525657E-3</v>
      </c>
      <c r="AQ554" s="2">
        <f t="shared" si="3591"/>
        <v>9.8969072164948445E-3</v>
      </c>
      <c r="AR554" s="2">
        <f t="shared" si="3583"/>
        <v>9.0439276485788117E-2</v>
      </c>
      <c r="AS554" s="2">
        <f t="shared" si="3592"/>
        <v>0.15963511972633979</v>
      </c>
      <c r="AT554" s="2">
        <f t="shared" si="3592"/>
        <v>0.12412371134020618</v>
      </c>
      <c r="AU554" s="2">
        <f t="shared" si="3584"/>
        <v>7.6923076923076927E-3</v>
      </c>
      <c r="AV554" s="2">
        <f t="shared" si="3584"/>
        <v>1.2387387387387387E-2</v>
      </c>
      <c r="AW554" s="2">
        <f t="shared" si="3584"/>
        <v>9.3954248366013068E-3</v>
      </c>
    </row>
    <row r="555" spans="1:49" ht="15.75" customHeight="1" x14ac:dyDescent="0.15">
      <c r="A555" s="1">
        <v>2025</v>
      </c>
      <c r="D555" t="s">
        <v>368</v>
      </c>
      <c r="E555">
        <v>68</v>
      </c>
      <c r="F555">
        <v>41</v>
      </c>
      <c r="G555">
        <v>109</v>
      </c>
      <c r="H555">
        <v>651</v>
      </c>
      <c r="I555">
        <v>636</v>
      </c>
      <c r="J555">
        <v>1287</v>
      </c>
      <c r="K555">
        <v>502</v>
      </c>
      <c r="L555">
        <v>550</v>
      </c>
      <c r="M555">
        <v>1052</v>
      </c>
      <c r="N555">
        <v>274</v>
      </c>
      <c r="O555">
        <v>353</v>
      </c>
      <c r="P555">
        <v>627</v>
      </c>
      <c r="Q555">
        <v>334</v>
      </c>
      <c r="R555">
        <v>426</v>
      </c>
      <c r="S555">
        <v>760</v>
      </c>
      <c r="T555">
        <v>8</v>
      </c>
      <c r="U555">
        <v>8</v>
      </c>
      <c r="V555">
        <v>16</v>
      </c>
      <c r="W555" s="1">
        <f t="shared" si="3585"/>
        <v>1837</v>
      </c>
      <c r="X555" s="1">
        <f t="shared" si="3585"/>
        <v>2014</v>
      </c>
      <c r="Y555" s="1">
        <f t="shared" si="3579"/>
        <v>3851</v>
      </c>
      <c r="Z555" s="1">
        <f t="shared" si="3586"/>
        <v>1829</v>
      </c>
      <c r="AA555" s="1">
        <f t="shared" si="3586"/>
        <v>2006</v>
      </c>
      <c r="AB555" s="1">
        <f t="shared" si="3580"/>
        <v>3835</v>
      </c>
      <c r="AC555" s="1">
        <f t="shared" si="3587"/>
        <v>1495</v>
      </c>
      <c r="AD555" s="1">
        <f t="shared" si="3587"/>
        <v>1580</v>
      </c>
      <c r="AE555" s="1">
        <f t="shared" si="3581"/>
        <v>3075</v>
      </c>
      <c r="AF555" s="2">
        <f t="shared" si="3588"/>
        <v>0.81738655002733729</v>
      </c>
      <c r="AG555" s="2">
        <f t="shared" si="3588"/>
        <v>0.78763708873379856</v>
      </c>
      <c r="AH555" s="2">
        <f t="shared" si="3588"/>
        <v>0.80182529335071706</v>
      </c>
      <c r="AI555" s="1">
        <f t="shared" si="3589"/>
        <v>1221</v>
      </c>
      <c r="AJ555" s="1">
        <f t="shared" si="3589"/>
        <v>1227</v>
      </c>
      <c r="AK555" s="1">
        <f t="shared" si="3582"/>
        <v>2448</v>
      </c>
      <c r="AL555" s="2">
        <f t="shared" si="3590"/>
        <v>0.66757791142700929</v>
      </c>
      <c r="AM555" s="2">
        <f t="shared" si="3590"/>
        <v>0.61166500498504484</v>
      </c>
      <c r="AN555" s="2">
        <f t="shared" si="3590"/>
        <v>0.63833116036505866</v>
      </c>
      <c r="AO555" s="2">
        <f t="shared" si="3591"/>
        <v>3.7178786221979225E-2</v>
      </c>
      <c r="AP555" s="2">
        <f t="shared" si="3591"/>
        <v>2.0438683948155532E-2</v>
      </c>
      <c r="AQ555" s="2">
        <f t="shared" si="3591"/>
        <v>2.8422425032594525E-2</v>
      </c>
      <c r="AR555" s="2">
        <f t="shared" si="3583"/>
        <v>0.23291416074357574</v>
      </c>
      <c r="AS555" s="2">
        <f t="shared" si="3592"/>
        <v>0.21236291126620141</v>
      </c>
      <c r="AT555" s="2">
        <f t="shared" si="3592"/>
        <v>0.19817470664928291</v>
      </c>
      <c r="AU555" s="2">
        <f t="shared" si="3584"/>
        <v>4.3549265106151338E-3</v>
      </c>
      <c r="AV555" s="2">
        <f t="shared" si="3584"/>
        <v>3.9721946375372392E-3</v>
      </c>
      <c r="AW555" s="2">
        <f t="shared" si="3584"/>
        <v>4.1547649961049078E-3</v>
      </c>
    </row>
    <row r="556" spans="1:49" ht="15.75" customHeight="1" x14ac:dyDescent="0.15">
      <c r="A556" s="1">
        <v>2025</v>
      </c>
      <c r="D556" t="s">
        <v>369</v>
      </c>
      <c r="E556">
        <v>316</v>
      </c>
      <c r="F556">
        <v>327</v>
      </c>
      <c r="G556">
        <v>643</v>
      </c>
      <c r="H556">
        <v>1048</v>
      </c>
      <c r="I556">
        <v>1245</v>
      </c>
      <c r="J556">
        <v>2293</v>
      </c>
      <c r="K556">
        <v>361</v>
      </c>
      <c r="L556">
        <v>438</v>
      </c>
      <c r="M556">
        <v>799</v>
      </c>
      <c r="N556">
        <v>192</v>
      </c>
      <c r="O556">
        <v>267</v>
      </c>
      <c r="P556">
        <v>459</v>
      </c>
      <c r="Q556">
        <v>253</v>
      </c>
      <c r="R556">
        <v>272</v>
      </c>
      <c r="S556">
        <v>525</v>
      </c>
      <c r="T556">
        <v>24</v>
      </c>
      <c r="U556">
        <v>27</v>
      </c>
      <c r="V556">
        <v>51</v>
      </c>
      <c r="W556" s="1">
        <f t="shared" si="3585"/>
        <v>2194</v>
      </c>
      <c r="X556" s="1">
        <f t="shared" si="3585"/>
        <v>2576</v>
      </c>
      <c r="Y556" s="1">
        <f t="shared" si="3579"/>
        <v>4770</v>
      </c>
      <c r="Z556" s="1">
        <f t="shared" si="3586"/>
        <v>2170</v>
      </c>
      <c r="AA556" s="1">
        <f t="shared" si="3586"/>
        <v>2549</v>
      </c>
      <c r="AB556" s="1">
        <f t="shared" si="3580"/>
        <v>4719</v>
      </c>
      <c r="AC556" s="1">
        <f t="shared" si="3587"/>
        <v>1917</v>
      </c>
      <c r="AD556" s="1">
        <f t="shared" si="3587"/>
        <v>2277</v>
      </c>
      <c r="AE556" s="1">
        <f t="shared" si="3581"/>
        <v>4194</v>
      </c>
      <c r="AF556" s="2">
        <f t="shared" si="3588"/>
        <v>0.88341013824884795</v>
      </c>
      <c r="AG556" s="2">
        <f t="shared" si="3588"/>
        <v>0.89329148685759119</v>
      </c>
      <c r="AH556" s="2">
        <f t="shared" si="3588"/>
        <v>0.88874761602034325</v>
      </c>
      <c r="AI556" s="1">
        <f t="shared" si="3589"/>
        <v>1725</v>
      </c>
      <c r="AJ556" s="1">
        <f t="shared" si="3589"/>
        <v>2010</v>
      </c>
      <c r="AK556" s="1">
        <f t="shared" si="3582"/>
        <v>3735</v>
      </c>
      <c r="AL556" s="2">
        <f t="shared" si="3590"/>
        <v>0.79493087557603692</v>
      </c>
      <c r="AM556" s="2">
        <f t="shared" si="3590"/>
        <v>0.78854452726559432</v>
      </c>
      <c r="AN556" s="2">
        <f t="shared" si="3590"/>
        <v>0.79148124602670056</v>
      </c>
      <c r="AO556" s="2">
        <f t="shared" si="3591"/>
        <v>0.14562211981566819</v>
      </c>
      <c r="AP556" s="2">
        <f t="shared" si="3591"/>
        <v>0.12828560219693996</v>
      </c>
      <c r="AQ556" s="2">
        <f t="shared" si="3591"/>
        <v>0.13625768171222716</v>
      </c>
      <c r="AR556" s="2">
        <f t="shared" si="3583"/>
        <v>0.12534562211981568</v>
      </c>
      <c r="AS556" s="2">
        <f t="shared" si="3592"/>
        <v>0.10670851314240878</v>
      </c>
      <c r="AT556" s="2">
        <f t="shared" si="3592"/>
        <v>0.11125238397965671</v>
      </c>
      <c r="AU556" s="2">
        <f t="shared" si="3584"/>
        <v>1.0938924339106655E-2</v>
      </c>
      <c r="AV556" s="2">
        <f t="shared" si="3584"/>
        <v>1.048136645962733E-2</v>
      </c>
      <c r="AW556" s="2">
        <f t="shared" si="3584"/>
        <v>1.0691823899371069E-2</v>
      </c>
    </row>
    <row r="557" spans="1:49" ht="15.75" customHeight="1" x14ac:dyDescent="0.15">
      <c r="A557" s="1">
        <v>2025</v>
      </c>
      <c r="D557" t="s">
        <v>370</v>
      </c>
      <c r="E557">
        <v>63</v>
      </c>
      <c r="F557">
        <v>54</v>
      </c>
      <c r="G557">
        <v>117</v>
      </c>
      <c r="H557">
        <v>545</v>
      </c>
      <c r="I557">
        <v>557</v>
      </c>
      <c r="J557">
        <v>1102</v>
      </c>
      <c r="K557">
        <v>86</v>
      </c>
      <c r="L557">
        <v>82</v>
      </c>
      <c r="M557">
        <v>168</v>
      </c>
      <c r="N557">
        <v>21</v>
      </c>
      <c r="O557">
        <v>21</v>
      </c>
      <c r="P557">
        <v>42</v>
      </c>
      <c r="Q557">
        <v>7</v>
      </c>
      <c r="R557">
        <v>6</v>
      </c>
      <c r="S557">
        <v>13</v>
      </c>
      <c r="T557">
        <v>15</v>
      </c>
      <c r="U557">
        <v>21</v>
      </c>
      <c r="V557">
        <v>36</v>
      </c>
      <c r="W557" s="1">
        <f t="shared" si="3585"/>
        <v>737</v>
      </c>
      <c r="X557" s="1">
        <f t="shared" si="3585"/>
        <v>741</v>
      </c>
      <c r="Y557" s="1">
        <f t="shared" si="3579"/>
        <v>1478</v>
      </c>
      <c r="Z557" s="1">
        <f t="shared" si="3586"/>
        <v>722</v>
      </c>
      <c r="AA557" s="1">
        <f t="shared" si="3586"/>
        <v>720</v>
      </c>
      <c r="AB557" s="1">
        <f t="shared" si="3580"/>
        <v>1442</v>
      </c>
      <c r="AC557" s="1">
        <f t="shared" si="3587"/>
        <v>715</v>
      </c>
      <c r="AD557" s="1">
        <f t="shared" si="3587"/>
        <v>714</v>
      </c>
      <c r="AE557" s="1">
        <f t="shared" si="3581"/>
        <v>1429</v>
      </c>
      <c r="AF557" s="2">
        <f t="shared" si="3588"/>
        <v>0.99030470914127422</v>
      </c>
      <c r="AG557" s="2">
        <f t="shared" si="3588"/>
        <v>0.9916666666666667</v>
      </c>
      <c r="AH557" s="2">
        <f t="shared" si="3588"/>
        <v>0.99098474341192788</v>
      </c>
      <c r="AI557" s="1">
        <f t="shared" si="3589"/>
        <v>694</v>
      </c>
      <c r="AJ557" s="1">
        <f t="shared" si="3589"/>
        <v>693</v>
      </c>
      <c r="AK557" s="1">
        <f t="shared" si="3582"/>
        <v>1387</v>
      </c>
      <c r="AL557" s="2">
        <f t="shared" si="3590"/>
        <v>0.96121883656509699</v>
      </c>
      <c r="AM557" s="2">
        <f t="shared" si="3590"/>
        <v>0.96250000000000002</v>
      </c>
      <c r="AN557" s="2">
        <f t="shared" si="3590"/>
        <v>0.96185852981969489</v>
      </c>
      <c r="AO557" s="2">
        <f t="shared" si="3591"/>
        <v>8.7257617728531855E-2</v>
      </c>
      <c r="AP557" s="2">
        <f t="shared" si="3591"/>
        <v>7.4999999999999997E-2</v>
      </c>
      <c r="AQ557" s="2">
        <f t="shared" si="3591"/>
        <v>8.1137309292649104E-2</v>
      </c>
      <c r="AR557" s="2">
        <f t="shared" si="3583"/>
        <v>8.3102493074792248E-3</v>
      </c>
      <c r="AS557" s="2">
        <f t="shared" si="3592"/>
        <v>8.3333333333333332E-3</v>
      </c>
      <c r="AT557" s="2">
        <f t="shared" si="3592"/>
        <v>9.0152565880721215E-3</v>
      </c>
      <c r="AU557" s="2">
        <f t="shared" si="3584"/>
        <v>2.0352781546811399E-2</v>
      </c>
      <c r="AV557" s="2">
        <f t="shared" si="3584"/>
        <v>2.8340080971659919E-2</v>
      </c>
      <c r="AW557" s="2">
        <f t="shared" si="3584"/>
        <v>2.4357239512855209E-2</v>
      </c>
    </row>
    <row r="558" spans="1:49" ht="15.75" customHeight="1" x14ac:dyDescent="0.15">
      <c r="A558" s="1">
        <v>2025</v>
      </c>
      <c r="C558" s="3" t="s">
        <v>54</v>
      </c>
      <c r="D558" t="s">
        <v>371</v>
      </c>
      <c r="E558">
        <v>154</v>
      </c>
      <c r="F558">
        <v>150</v>
      </c>
      <c r="G558">
        <v>304</v>
      </c>
      <c r="H558">
        <v>146</v>
      </c>
      <c r="I558">
        <v>182</v>
      </c>
      <c r="J558">
        <v>328</v>
      </c>
      <c r="K558">
        <v>5</v>
      </c>
      <c r="L558">
        <v>2</v>
      </c>
      <c r="M558">
        <v>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s="1">
        <f t="shared" si="3585"/>
        <v>305</v>
      </c>
      <c r="X558" s="1">
        <f t="shared" si="3585"/>
        <v>334</v>
      </c>
      <c r="Y558" s="1">
        <f t="shared" si="3579"/>
        <v>639</v>
      </c>
      <c r="Z558" s="1">
        <f t="shared" si="3586"/>
        <v>305</v>
      </c>
      <c r="AA558" s="1">
        <f t="shared" si="3586"/>
        <v>334</v>
      </c>
      <c r="AB558" s="1">
        <f t="shared" si="3580"/>
        <v>639</v>
      </c>
      <c r="AC558" s="1">
        <f t="shared" si="3587"/>
        <v>305</v>
      </c>
      <c r="AD558" s="1">
        <f t="shared" si="3587"/>
        <v>334</v>
      </c>
      <c r="AE558" s="1">
        <f t="shared" si="3581"/>
        <v>639</v>
      </c>
      <c r="AF558" s="2">
        <f t="shared" si="3588"/>
        <v>1</v>
      </c>
      <c r="AG558" s="2">
        <f t="shared" si="3588"/>
        <v>1</v>
      </c>
      <c r="AH558" s="2">
        <f t="shared" si="3588"/>
        <v>1</v>
      </c>
      <c r="AI558" s="1">
        <f t="shared" si="3589"/>
        <v>305</v>
      </c>
      <c r="AJ558" s="1">
        <f t="shared" si="3589"/>
        <v>334</v>
      </c>
      <c r="AK558" s="1">
        <f t="shared" si="3582"/>
        <v>639</v>
      </c>
      <c r="AL558" s="2">
        <f t="shared" si="3590"/>
        <v>1</v>
      </c>
      <c r="AM558" s="2">
        <f t="shared" si="3590"/>
        <v>1</v>
      </c>
      <c r="AN558" s="2">
        <f t="shared" si="3590"/>
        <v>1</v>
      </c>
      <c r="AO558" s="2">
        <f t="shared" si="3591"/>
        <v>0.5049180327868853</v>
      </c>
      <c r="AP558" s="2">
        <f t="shared" si="3591"/>
        <v>0.44910179640718562</v>
      </c>
      <c r="AQ558" s="2">
        <f t="shared" si="3591"/>
        <v>0.47574334898278559</v>
      </c>
      <c r="AR558" s="2">
        <f t="shared" si="3583"/>
        <v>0</v>
      </c>
      <c r="AS558" s="2">
        <f t="shared" si="3592"/>
        <v>0</v>
      </c>
      <c r="AT558" s="2">
        <f t="shared" si="3592"/>
        <v>0</v>
      </c>
      <c r="AU558" s="2">
        <f t="shared" si="3584"/>
        <v>0</v>
      </c>
      <c r="AV558" s="2">
        <f t="shared" si="3584"/>
        <v>0</v>
      </c>
      <c r="AW558" s="2">
        <f t="shared" si="3584"/>
        <v>0</v>
      </c>
    </row>
    <row r="559" spans="1:49" ht="15.75" customHeight="1" x14ac:dyDescent="0.15">
      <c r="A559" s="1">
        <v>2025</v>
      </c>
      <c r="C559" s="3" t="s">
        <v>54</v>
      </c>
      <c r="D559" t="s">
        <v>372</v>
      </c>
      <c r="E559">
        <v>902</v>
      </c>
      <c r="F559">
        <v>815</v>
      </c>
      <c r="G559">
        <v>1717</v>
      </c>
      <c r="H559">
        <v>2945</v>
      </c>
      <c r="I559">
        <v>3510</v>
      </c>
      <c r="J559">
        <v>6455</v>
      </c>
      <c r="K559">
        <v>852</v>
      </c>
      <c r="L559">
        <v>1140</v>
      </c>
      <c r="M559">
        <v>1992</v>
      </c>
      <c r="N559">
        <v>409</v>
      </c>
      <c r="O559">
        <v>591</v>
      </c>
      <c r="P559">
        <v>1000</v>
      </c>
      <c r="Q559">
        <v>309</v>
      </c>
      <c r="R559">
        <v>436</v>
      </c>
      <c r="S559">
        <v>745</v>
      </c>
      <c r="T559">
        <v>64</v>
      </c>
      <c r="U559">
        <v>59</v>
      </c>
      <c r="V559">
        <v>123</v>
      </c>
      <c r="W559" s="1">
        <f t="shared" si="3585"/>
        <v>5481</v>
      </c>
      <c r="X559" s="1">
        <f t="shared" si="3585"/>
        <v>6551</v>
      </c>
      <c r="Y559" s="1">
        <f t="shared" si="3579"/>
        <v>12032</v>
      </c>
      <c r="Z559" s="1">
        <f t="shared" si="3586"/>
        <v>5417</v>
      </c>
      <c r="AA559" s="1">
        <f t="shared" si="3586"/>
        <v>6492</v>
      </c>
      <c r="AB559" s="1">
        <f t="shared" si="3580"/>
        <v>11909</v>
      </c>
      <c r="AC559" s="1">
        <f t="shared" si="3587"/>
        <v>5108</v>
      </c>
      <c r="AD559" s="1">
        <f t="shared" si="3587"/>
        <v>6056</v>
      </c>
      <c r="AE559" s="1">
        <f t="shared" si="3581"/>
        <v>11164</v>
      </c>
      <c r="AF559" s="2">
        <f t="shared" si="3588"/>
        <v>0.94295735647037104</v>
      </c>
      <c r="AG559" s="2">
        <f t="shared" si="3588"/>
        <v>0.93284041897720271</v>
      </c>
      <c r="AH559" s="2">
        <f t="shared" si="3588"/>
        <v>0.93744227055168361</v>
      </c>
      <c r="AI559" s="1">
        <f t="shared" si="3589"/>
        <v>4699</v>
      </c>
      <c r="AJ559" s="1">
        <f t="shared" si="3589"/>
        <v>5465</v>
      </c>
      <c r="AK559" s="1">
        <f t="shared" si="3582"/>
        <v>10164</v>
      </c>
      <c r="AL559" s="2">
        <f t="shared" si="3590"/>
        <v>0.86745431050396904</v>
      </c>
      <c r="AM559" s="2">
        <f t="shared" si="3590"/>
        <v>0.84180529882932842</v>
      </c>
      <c r="AN559" s="2">
        <f t="shared" si="3590"/>
        <v>0.8534721639096482</v>
      </c>
      <c r="AO559" s="2">
        <f t="shared" si="3591"/>
        <v>0.16651282997969355</v>
      </c>
      <c r="AP559" s="2">
        <f t="shared" si="3591"/>
        <v>0.12553912507701787</v>
      </c>
      <c r="AQ559" s="2">
        <f t="shared" si="3591"/>
        <v>0.14417667310437485</v>
      </c>
      <c r="AR559" s="2">
        <f t="shared" si="3583"/>
        <v>8.0487354624330806E-2</v>
      </c>
      <c r="AS559" s="2">
        <f t="shared" si="3592"/>
        <v>6.7159581022797288E-2</v>
      </c>
      <c r="AT559" s="2">
        <f t="shared" si="3592"/>
        <v>6.2557729448316404E-2</v>
      </c>
      <c r="AU559" s="2">
        <f t="shared" si="3584"/>
        <v>1.1676701331873745E-2</v>
      </c>
      <c r="AV559" s="2">
        <f t="shared" si="3584"/>
        <v>9.0062585864753471E-3</v>
      </c>
      <c r="AW559" s="2">
        <f t="shared" si="3584"/>
        <v>1.0222739361702128E-2</v>
      </c>
    </row>
    <row r="560" spans="1:49" ht="15.75" customHeight="1" x14ac:dyDescent="0.15">
      <c r="A560" s="1">
        <v>2025</v>
      </c>
      <c r="C560" s="3" t="s">
        <v>78</v>
      </c>
      <c r="D560" t="s">
        <v>373</v>
      </c>
      <c r="E560">
        <v>54</v>
      </c>
      <c r="F560">
        <v>52</v>
      </c>
      <c r="G560">
        <v>106</v>
      </c>
      <c r="H560">
        <v>511</v>
      </c>
      <c r="I560">
        <v>280</v>
      </c>
      <c r="J560">
        <v>791</v>
      </c>
      <c r="K560">
        <v>392</v>
      </c>
      <c r="L560">
        <v>442</v>
      </c>
      <c r="M560">
        <v>834</v>
      </c>
      <c r="N560">
        <v>174</v>
      </c>
      <c r="O560">
        <v>187</v>
      </c>
      <c r="P560">
        <v>361</v>
      </c>
      <c r="Q560">
        <v>127</v>
      </c>
      <c r="R560">
        <v>226</v>
      </c>
      <c r="S560">
        <v>353</v>
      </c>
      <c r="T560">
        <v>20</v>
      </c>
      <c r="U560">
        <v>20</v>
      </c>
      <c r="V560">
        <v>40</v>
      </c>
      <c r="W560" s="1">
        <f t="shared" si="3585"/>
        <v>1278</v>
      </c>
      <c r="X560" s="1">
        <f t="shared" si="3585"/>
        <v>1207</v>
      </c>
      <c r="Y560" s="1">
        <f t="shared" si="3579"/>
        <v>2485</v>
      </c>
      <c r="Z560" s="1">
        <f t="shared" si="3586"/>
        <v>1258</v>
      </c>
      <c r="AA560" s="1">
        <f t="shared" si="3586"/>
        <v>1187</v>
      </c>
      <c r="AB560" s="1">
        <f t="shared" si="3580"/>
        <v>2445</v>
      </c>
      <c r="AC560" s="1">
        <f t="shared" si="3587"/>
        <v>1131</v>
      </c>
      <c r="AD560" s="1">
        <f t="shared" si="3587"/>
        <v>961</v>
      </c>
      <c r="AE560" s="1">
        <f t="shared" si="3581"/>
        <v>2092</v>
      </c>
      <c r="AF560" s="2">
        <f t="shared" si="3588"/>
        <v>0.89904610492845782</v>
      </c>
      <c r="AG560" s="2">
        <f t="shared" si="3588"/>
        <v>0.80960404380791917</v>
      </c>
      <c r="AH560" s="2">
        <f t="shared" si="3588"/>
        <v>0.85562372188139058</v>
      </c>
      <c r="AI560" s="1">
        <f t="shared" si="3589"/>
        <v>957</v>
      </c>
      <c r="AJ560" s="1">
        <f t="shared" si="3589"/>
        <v>774</v>
      </c>
      <c r="AK560" s="1">
        <f t="shared" si="3582"/>
        <v>1731</v>
      </c>
      <c r="AL560" s="2">
        <f t="shared" si="3590"/>
        <v>0.76073131955484896</v>
      </c>
      <c r="AM560" s="2">
        <f t="shared" si="3590"/>
        <v>0.65206402695871946</v>
      </c>
      <c r="AN560" s="2">
        <f t="shared" si="3590"/>
        <v>0.70797546012269941</v>
      </c>
      <c r="AO560" s="2">
        <f t="shared" si="3591"/>
        <v>4.2925278219395867E-2</v>
      </c>
      <c r="AP560" s="2">
        <f t="shared" si="3591"/>
        <v>4.3807919123841618E-2</v>
      </c>
      <c r="AQ560" s="2">
        <f t="shared" si="3591"/>
        <v>4.3353783231083846E-2</v>
      </c>
      <c r="AR560" s="2">
        <f t="shared" si="3583"/>
        <v>0.17965023847376788</v>
      </c>
      <c r="AS560" s="2">
        <f t="shared" si="3592"/>
        <v>0.19039595619208088</v>
      </c>
      <c r="AT560" s="2">
        <f t="shared" si="3592"/>
        <v>0.1443762781186094</v>
      </c>
      <c r="AU560" s="2">
        <f t="shared" si="3584"/>
        <v>1.5649452269170579E-2</v>
      </c>
      <c r="AV560" s="2">
        <f t="shared" si="3584"/>
        <v>1.6570008285004142E-2</v>
      </c>
      <c r="AW560" s="2">
        <f t="shared" si="3584"/>
        <v>1.6096579476861168E-2</v>
      </c>
    </row>
    <row r="561" spans="1:49" ht="15.75" customHeight="1" x14ac:dyDescent="0.15">
      <c r="A561" s="1">
        <v>2025</v>
      </c>
      <c r="C561" s="3" t="s">
        <v>67</v>
      </c>
      <c r="D561" t="s">
        <v>374</v>
      </c>
      <c r="E561">
        <v>2</v>
      </c>
      <c r="F561">
        <v>0</v>
      </c>
      <c r="G561">
        <v>2</v>
      </c>
      <c r="H561">
        <v>304</v>
      </c>
      <c r="I561">
        <v>397</v>
      </c>
      <c r="J561">
        <v>701</v>
      </c>
      <c r="K561">
        <v>473</v>
      </c>
      <c r="L561">
        <v>375</v>
      </c>
      <c r="M561">
        <v>848</v>
      </c>
      <c r="N561">
        <v>246</v>
      </c>
      <c r="O561">
        <v>206</v>
      </c>
      <c r="P561">
        <v>452</v>
      </c>
      <c r="Q561">
        <v>235</v>
      </c>
      <c r="R561">
        <v>365</v>
      </c>
      <c r="S561">
        <v>600</v>
      </c>
      <c r="T561">
        <v>11</v>
      </c>
      <c r="U561">
        <v>5</v>
      </c>
      <c r="V561">
        <v>16</v>
      </c>
      <c r="W561" s="1">
        <f t="shared" si="3585"/>
        <v>1271</v>
      </c>
      <c r="X561" s="1">
        <f t="shared" si="3585"/>
        <v>1348</v>
      </c>
      <c r="Y561" s="1">
        <f t="shared" si="3579"/>
        <v>2619</v>
      </c>
      <c r="Z561" s="1">
        <f t="shared" si="3586"/>
        <v>1260</v>
      </c>
      <c r="AA561" s="1">
        <f t="shared" si="3586"/>
        <v>1343</v>
      </c>
      <c r="AB561" s="1">
        <f t="shared" si="3580"/>
        <v>2603</v>
      </c>
      <c r="AC561" s="1">
        <f t="shared" si="3587"/>
        <v>1025</v>
      </c>
      <c r="AD561" s="1">
        <f t="shared" si="3587"/>
        <v>978</v>
      </c>
      <c r="AE561" s="1">
        <f t="shared" si="3581"/>
        <v>2003</v>
      </c>
      <c r="AF561" s="2">
        <f t="shared" si="3588"/>
        <v>0.81349206349206349</v>
      </c>
      <c r="AG561" s="2">
        <f t="shared" si="3588"/>
        <v>0.72822040208488459</v>
      </c>
      <c r="AH561" s="2">
        <f t="shared" si="3588"/>
        <v>0.76949673453707257</v>
      </c>
      <c r="AI561" s="1">
        <f t="shared" si="3589"/>
        <v>779</v>
      </c>
      <c r="AJ561" s="1">
        <f t="shared" si="3589"/>
        <v>772</v>
      </c>
      <c r="AK561" s="1">
        <f t="shared" si="3582"/>
        <v>1551</v>
      </c>
      <c r="AL561" s="2">
        <f t="shared" si="3590"/>
        <v>0.61825396825396828</v>
      </c>
      <c r="AM561" s="2">
        <f t="shared" si="3590"/>
        <v>0.57483246463142224</v>
      </c>
      <c r="AN561" s="2">
        <f t="shared" si="3590"/>
        <v>0.59585094122166726</v>
      </c>
      <c r="AO561" s="2">
        <f t="shared" si="3591"/>
        <v>1.5873015873015873E-3</v>
      </c>
      <c r="AP561" s="2">
        <f t="shared" si="3591"/>
        <v>0</v>
      </c>
      <c r="AQ561" s="2">
        <f t="shared" si="3591"/>
        <v>7.68344218209758E-4</v>
      </c>
      <c r="AR561" s="2">
        <f t="shared" si="3583"/>
        <v>0.28968253968253971</v>
      </c>
      <c r="AS561" s="2">
        <f t="shared" si="3592"/>
        <v>0.27177959791511541</v>
      </c>
      <c r="AT561" s="2">
        <f t="shared" si="3592"/>
        <v>0.2305032654629274</v>
      </c>
      <c r="AU561" s="2">
        <f t="shared" si="3584"/>
        <v>8.6546026750590095E-3</v>
      </c>
      <c r="AV561" s="2">
        <f t="shared" si="3584"/>
        <v>3.70919881305638E-3</v>
      </c>
      <c r="AW561" s="2">
        <f t="shared" si="3584"/>
        <v>6.1092019854906456E-3</v>
      </c>
    </row>
    <row r="562" spans="1:49" ht="15.75" customHeight="1" x14ac:dyDescent="0.15">
      <c r="A562" s="1">
        <v>2025</v>
      </c>
      <c r="C562" s="3" t="s">
        <v>78</v>
      </c>
      <c r="D562" t="s">
        <v>375</v>
      </c>
      <c r="E562">
        <v>83</v>
      </c>
      <c r="F562">
        <v>43</v>
      </c>
      <c r="G562">
        <v>126</v>
      </c>
      <c r="H562">
        <v>728</v>
      </c>
      <c r="I562">
        <v>456</v>
      </c>
      <c r="J562">
        <v>1184</v>
      </c>
      <c r="K562">
        <v>313</v>
      </c>
      <c r="L562">
        <v>476</v>
      </c>
      <c r="M562">
        <v>789</v>
      </c>
      <c r="N562">
        <v>223</v>
      </c>
      <c r="O562">
        <v>208</v>
      </c>
      <c r="P562">
        <v>431</v>
      </c>
      <c r="Q562">
        <v>227</v>
      </c>
      <c r="R562">
        <v>342</v>
      </c>
      <c r="S562">
        <v>569</v>
      </c>
      <c r="T562">
        <v>12</v>
      </c>
      <c r="U562">
        <v>17</v>
      </c>
      <c r="V562">
        <v>29</v>
      </c>
      <c r="W562" s="1">
        <f t="shared" si="3585"/>
        <v>1586</v>
      </c>
      <c r="X562" s="1">
        <f t="shared" si="3585"/>
        <v>1542</v>
      </c>
      <c r="Y562" s="1">
        <f t="shared" si="3579"/>
        <v>3128</v>
      </c>
      <c r="Z562" s="1">
        <f t="shared" si="3586"/>
        <v>1574</v>
      </c>
      <c r="AA562" s="1">
        <f t="shared" si="3586"/>
        <v>1525</v>
      </c>
      <c r="AB562" s="1">
        <f t="shared" si="3580"/>
        <v>3099</v>
      </c>
      <c r="AC562" s="1">
        <f t="shared" si="3587"/>
        <v>1347</v>
      </c>
      <c r="AD562" s="1">
        <f t="shared" si="3587"/>
        <v>1183</v>
      </c>
      <c r="AE562" s="1">
        <f t="shared" si="3581"/>
        <v>2530</v>
      </c>
      <c r="AF562" s="2">
        <f t="shared" si="3588"/>
        <v>0.85578144853875482</v>
      </c>
      <c r="AG562" s="2">
        <f t="shared" si="3588"/>
        <v>0.77573770491803273</v>
      </c>
      <c r="AH562" s="2">
        <f t="shared" si="3588"/>
        <v>0.81639238464020647</v>
      </c>
      <c r="AI562" s="1">
        <f t="shared" si="3589"/>
        <v>1124</v>
      </c>
      <c r="AJ562" s="1">
        <f t="shared" si="3589"/>
        <v>975</v>
      </c>
      <c r="AK562" s="1">
        <f t="shared" si="3582"/>
        <v>2099</v>
      </c>
      <c r="AL562" s="2">
        <f t="shared" si="3590"/>
        <v>0.7141041931385006</v>
      </c>
      <c r="AM562" s="2">
        <f t="shared" si="3590"/>
        <v>0.63934426229508201</v>
      </c>
      <c r="AN562" s="2">
        <f t="shared" si="3590"/>
        <v>0.67731526298806066</v>
      </c>
      <c r="AO562" s="2">
        <f t="shared" si="3591"/>
        <v>5.273189326556544E-2</v>
      </c>
      <c r="AP562" s="2">
        <f t="shared" si="3591"/>
        <v>2.8196721311475409E-2</v>
      </c>
      <c r="AQ562" s="2">
        <f t="shared" si="3591"/>
        <v>4.0658276863504358E-2</v>
      </c>
      <c r="AR562" s="2">
        <f t="shared" si="3583"/>
        <v>0.21728081321473952</v>
      </c>
      <c r="AS562" s="2">
        <f t="shared" si="3592"/>
        <v>0.22426229508196721</v>
      </c>
      <c r="AT562" s="2">
        <f t="shared" si="3592"/>
        <v>0.18360761535979347</v>
      </c>
      <c r="AU562" s="2">
        <f t="shared" si="3584"/>
        <v>7.5662042875157629E-3</v>
      </c>
      <c r="AV562" s="2">
        <f t="shared" si="3584"/>
        <v>1.1024643320363165E-2</v>
      </c>
      <c r="AW562" s="2">
        <f t="shared" si="3584"/>
        <v>9.2710997442455242E-3</v>
      </c>
    </row>
    <row r="563" spans="1:49" ht="15.75" customHeight="1" x14ac:dyDescent="0.15">
      <c r="A563" s="1">
        <v>2025</v>
      </c>
      <c r="D563" t="s">
        <v>376</v>
      </c>
      <c r="E563">
        <v>21</v>
      </c>
      <c r="F563">
        <v>7</v>
      </c>
      <c r="G563">
        <v>28</v>
      </c>
      <c r="H563">
        <v>405</v>
      </c>
      <c r="I563">
        <v>332</v>
      </c>
      <c r="J563">
        <v>737</v>
      </c>
      <c r="K563">
        <v>167</v>
      </c>
      <c r="L563">
        <v>134</v>
      </c>
      <c r="M563">
        <v>301</v>
      </c>
      <c r="N563">
        <v>96</v>
      </c>
      <c r="O563">
        <v>114</v>
      </c>
      <c r="P563">
        <v>210</v>
      </c>
      <c r="Q563">
        <v>120</v>
      </c>
      <c r="R563">
        <v>156</v>
      </c>
      <c r="S563">
        <v>276</v>
      </c>
      <c r="T563">
        <v>18</v>
      </c>
      <c r="U563">
        <v>13</v>
      </c>
      <c r="V563">
        <v>31</v>
      </c>
      <c r="W563" s="1">
        <f t="shared" si="3585"/>
        <v>827</v>
      </c>
      <c r="X563" s="1">
        <f t="shared" si="3585"/>
        <v>756</v>
      </c>
      <c r="Y563" s="1">
        <f t="shared" si="3579"/>
        <v>1583</v>
      </c>
      <c r="Z563" s="1">
        <f t="shared" si="3586"/>
        <v>809</v>
      </c>
      <c r="AA563" s="1">
        <f t="shared" si="3586"/>
        <v>743</v>
      </c>
      <c r="AB563" s="1">
        <f t="shared" si="3580"/>
        <v>1552</v>
      </c>
      <c r="AC563" s="1">
        <f t="shared" si="3587"/>
        <v>689</v>
      </c>
      <c r="AD563" s="1">
        <f t="shared" si="3587"/>
        <v>587</v>
      </c>
      <c r="AE563" s="1">
        <f t="shared" si="3581"/>
        <v>1276</v>
      </c>
      <c r="AF563" s="2">
        <f t="shared" si="3588"/>
        <v>0.85166872682323858</v>
      </c>
      <c r="AG563" s="2">
        <f t="shared" si="3588"/>
        <v>0.79004037685060569</v>
      </c>
      <c r="AH563" s="2">
        <f t="shared" si="3588"/>
        <v>0.82216494845360821</v>
      </c>
      <c r="AI563" s="1">
        <f t="shared" si="3589"/>
        <v>593</v>
      </c>
      <c r="AJ563" s="1">
        <f t="shared" si="3589"/>
        <v>473</v>
      </c>
      <c r="AK563" s="1">
        <f t="shared" si="3582"/>
        <v>1066</v>
      </c>
      <c r="AL563" s="2">
        <f t="shared" si="3590"/>
        <v>0.73300370828182937</v>
      </c>
      <c r="AM563" s="2">
        <f t="shared" si="3590"/>
        <v>0.63660834454912518</v>
      </c>
      <c r="AN563" s="2">
        <f t="shared" si="3590"/>
        <v>0.68685567010309279</v>
      </c>
      <c r="AO563" s="2">
        <f t="shared" si="3591"/>
        <v>2.595797280593325E-2</v>
      </c>
      <c r="AP563" s="2">
        <f t="shared" si="3591"/>
        <v>9.4212651413189772E-3</v>
      </c>
      <c r="AQ563" s="2">
        <f t="shared" si="3591"/>
        <v>1.804123711340206E-2</v>
      </c>
      <c r="AR563" s="2">
        <f t="shared" si="3583"/>
        <v>0.19283065512978986</v>
      </c>
      <c r="AS563" s="2">
        <f t="shared" si="3592"/>
        <v>0.20995962314939434</v>
      </c>
      <c r="AT563" s="2">
        <f t="shared" si="3592"/>
        <v>0.17783505154639176</v>
      </c>
      <c r="AU563" s="2">
        <f t="shared" si="3584"/>
        <v>2.1765417170495769E-2</v>
      </c>
      <c r="AV563" s="2">
        <f t="shared" si="3584"/>
        <v>1.7195767195767195E-2</v>
      </c>
      <c r="AW563" s="2">
        <f t="shared" si="3584"/>
        <v>1.9583070120025269E-2</v>
      </c>
    </row>
    <row r="564" spans="1:49" ht="15.75" customHeight="1" x14ac:dyDescent="0.15">
      <c r="A564" s="1">
        <v>2025</v>
      </c>
      <c r="D564" t="s">
        <v>377</v>
      </c>
      <c r="E564">
        <v>116</v>
      </c>
      <c r="F564">
        <v>55</v>
      </c>
      <c r="G564">
        <v>171</v>
      </c>
      <c r="H564">
        <v>1065</v>
      </c>
      <c r="I564">
        <v>728</v>
      </c>
      <c r="J564">
        <v>1793</v>
      </c>
      <c r="K564">
        <v>827</v>
      </c>
      <c r="L564">
        <v>722</v>
      </c>
      <c r="M564">
        <v>1549</v>
      </c>
      <c r="N564">
        <v>434</v>
      </c>
      <c r="O564">
        <v>403</v>
      </c>
      <c r="P564">
        <v>837</v>
      </c>
      <c r="Q564">
        <v>573</v>
      </c>
      <c r="R564">
        <v>709</v>
      </c>
      <c r="S564">
        <v>1282</v>
      </c>
      <c r="T564">
        <v>34</v>
      </c>
      <c r="U564">
        <v>37</v>
      </c>
      <c r="V564">
        <v>71</v>
      </c>
      <c r="W564" s="1">
        <f t="shared" si="3585"/>
        <v>3049</v>
      </c>
      <c r="X564" s="1">
        <f t="shared" si="3585"/>
        <v>2654</v>
      </c>
      <c r="Y564" s="1">
        <f t="shared" si="3579"/>
        <v>5703</v>
      </c>
      <c r="Z564" s="1">
        <f t="shared" si="3586"/>
        <v>3015</v>
      </c>
      <c r="AA564" s="1">
        <f t="shared" si="3586"/>
        <v>2617</v>
      </c>
      <c r="AB564" s="1">
        <f t="shared" si="3580"/>
        <v>5632</v>
      </c>
      <c r="AC564" s="1">
        <f t="shared" si="3587"/>
        <v>2442</v>
      </c>
      <c r="AD564" s="1">
        <f t="shared" si="3587"/>
        <v>1908</v>
      </c>
      <c r="AE564" s="1">
        <f t="shared" si="3581"/>
        <v>4350</v>
      </c>
      <c r="AF564" s="2">
        <f t="shared" si="3588"/>
        <v>0.8099502487562189</v>
      </c>
      <c r="AG564" s="2">
        <f t="shared" si="3588"/>
        <v>0.72907909820405048</v>
      </c>
      <c r="AH564" s="2">
        <f t="shared" si="3588"/>
        <v>0.77237215909090906</v>
      </c>
      <c r="AI564" s="1">
        <f t="shared" si="3589"/>
        <v>2008</v>
      </c>
      <c r="AJ564" s="1">
        <f t="shared" si="3589"/>
        <v>1505</v>
      </c>
      <c r="AK564" s="1">
        <f t="shared" si="3582"/>
        <v>3513</v>
      </c>
      <c r="AL564" s="2">
        <f t="shared" si="3590"/>
        <v>0.66600331674958546</v>
      </c>
      <c r="AM564" s="2">
        <f t="shared" si="3590"/>
        <v>0.57508597630875047</v>
      </c>
      <c r="AN564" s="2">
        <f t="shared" si="3590"/>
        <v>0.62375710227272729</v>
      </c>
      <c r="AO564" s="2">
        <f t="shared" si="3591"/>
        <v>3.8474295190713104E-2</v>
      </c>
      <c r="AP564" s="2">
        <f t="shared" si="3591"/>
        <v>2.1016431027894536E-2</v>
      </c>
      <c r="AQ564" s="2">
        <f t="shared" si="3591"/>
        <v>3.0362215909090908E-2</v>
      </c>
      <c r="AR564" s="2">
        <f t="shared" si="3583"/>
        <v>0.2351575456053068</v>
      </c>
      <c r="AS564" s="2">
        <f t="shared" si="3592"/>
        <v>0.27092090179594958</v>
      </c>
      <c r="AT564" s="2">
        <f t="shared" si="3592"/>
        <v>0.22762784090909091</v>
      </c>
      <c r="AU564" s="2">
        <f t="shared" si="3584"/>
        <v>1.1151197113807805E-2</v>
      </c>
      <c r="AV564" s="2">
        <f t="shared" si="3584"/>
        <v>1.3941220798794273E-2</v>
      </c>
      <c r="AW564" s="2">
        <f t="shared" si="3584"/>
        <v>1.2449587936173944E-2</v>
      </c>
    </row>
    <row r="565" spans="1:49" ht="15.75" customHeight="1" x14ac:dyDescent="0.15">
      <c r="A565" s="1">
        <v>2025</v>
      </c>
      <c r="C565" s="3" t="s">
        <v>78</v>
      </c>
      <c r="D565" t="s">
        <v>378</v>
      </c>
      <c r="E565">
        <v>52</v>
      </c>
      <c r="F565">
        <v>43</v>
      </c>
      <c r="G565">
        <v>95</v>
      </c>
      <c r="H565">
        <v>793</v>
      </c>
      <c r="I565">
        <v>554</v>
      </c>
      <c r="J565">
        <v>1347</v>
      </c>
      <c r="K565">
        <v>512</v>
      </c>
      <c r="L565">
        <v>410</v>
      </c>
      <c r="M565">
        <v>922</v>
      </c>
      <c r="N565">
        <v>239</v>
      </c>
      <c r="O565">
        <v>246</v>
      </c>
      <c r="P565">
        <v>485</v>
      </c>
      <c r="Q565">
        <v>256</v>
      </c>
      <c r="R565">
        <v>350</v>
      </c>
      <c r="S565">
        <v>606</v>
      </c>
      <c r="T565">
        <v>26</v>
      </c>
      <c r="U565">
        <v>24</v>
      </c>
      <c r="V565">
        <v>50</v>
      </c>
      <c r="W565" s="1">
        <f t="shared" si="3585"/>
        <v>1878</v>
      </c>
      <c r="X565" s="1">
        <f t="shared" si="3585"/>
        <v>1627</v>
      </c>
      <c r="Y565" s="1">
        <f t="shared" si="3579"/>
        <v>3505</v>
      </c>
      <c r="Z565" s="1">
        <f t="shared" si="3586"/>
        <v>1852</v>
      </c>
      <c r="AA565" s="1">
        <f t="shared" si="3586"/>
        <v>1603</v>
      </c>
      <c r="AB565" s="1">
        <f t="shared" si="3580"/>
        <v>3455</v>
      </c>
      <c r="AC565" s="1">
        <f t="shared" si="3587"/>
        <v>1596</v>
      </c>
      <c r="AD565" s="1">
        <f t="shared" si="3587"/>
        <v>1253</v>
      </c>
      <c r="AE565" s="1">
        <f t="shared" si="3581"/>
        <v>2849</v>
      </c>
      <c r="AF565" s="2">
        <f t="shared" si="3588"/>
        <v>0.86177105831533474</v>
      </c>
      <c r="AG565" s="2">
        <f t="shared" si="3588"/>
        <v>0.78165938864628826</v>
      </c>
      <c r="AH565" s="2">
        <f t="shared" si="3588"/>
        <v>0.82460202604920407</v>
      </c>
      <c r="AI565" s="1">
        <f t="shared" si="3589"/>
        <v>1357</v>
      </c>
      <c r="AJ565" s="1">
        <f t="shared" si="3589"/>
        <v>1007</v>
      </c>
      <c r="AK565" s="1">
        <f t="shared" si="3582"/>
        <v>2364</v>
      </c>
      <c r="AL565" s="2">
        <f t="shared" si="3590"/>
        <v>0.73272138228941686</v>
      </c>
      <c r="AM565" s="2">
        <f t="shared" si="3590"/>
        <v>0.62819713038053648</v>
      </c>
      <c r="AN565" s="2">
        <f t="shared" si="3590"/>
        <v>0.68422575976845157</v>
      </c>
      <c r="AO565" s="2">
        <f t="shared" si="3591"/>
        <v>2.8077753779697623E-2</v>
      </c>
      <c r="AP565" s="2">
        <f t="shared" si="3591"/>
        <v>2.6824703680598878E-2</v>
      </c>
      <c r="AQ565" s="2">
        <f t="shared" si="3591"/>
        <v>2.7496382054992764E-2</v>
      </c>
      <c r="AR565" s="2">
        <f t="shared" si="3583"/>
        <v>0.18898488120950324</v>
      </c>
      <c r="AS565" s="2">
        <f t="shared" si="3592"/>
        <v>0.2183406113537118</v>
      </c>
      <c r="AT565" s="2">
        <f t="shared" si="3592"/>
        <v>0.17539797395079595</v>
      </c>
      <c r="AU565" s="2">
        <f t="shared" si="3584"/>
        <v>1.3844515441959531E-2</v>
      </c>
      <c r="AV565" s="2">
        <f t="shared" si="3584"/>
        <v>1.4751075599262446E-2</v>
      </c>
      <c r="AW565" s="2">
        <f t="shared" si="3584"/>
        <v>1.4265335235378032E-2</v>
      </c>
    </row>
    <row r="566" spans="1:49" ht="15.75" customHeight="1" x14ac:dyDescent="0.15">
      <c r="A566" s="1">
        <v>2025</v>
      </c>
      <c r="C566" s="3" t="s">
        <v>67</v>
      </c>
      <c r="D566" t="s">
        <v>379</v>
      </c>
      <c r="E566">
        <v>27</v>
      </c>
      <c r="F566">
        <v>11</v>
      </c>
      <c r="G566">
        <v>38</v>
      </c>
      <c r="H566">
        <v>648</v>
      </c>
      <c r="I566">
        <v>308</v>
      </c>
      <c r="J566">
        <v>956</v>
      </c>
      <c r="K566">
        <v>462</v>
      </c>
      <c r="L566">
        <v>326</v>
      </c>
      <c r="M566">
        <v>788</v>
      </c>
      <c r="N566">
        <v>156</v>
      </c>
      <c r="O566">
        <v>162</v>
      </c>
      <c r="P566">
        <v>318</v>
      </c>
      <c r="Q566">
        <v>155</v>
      </c>
      <c r="R566">
        <v>158</v>
      </c>
      <c r="S566">
        <v>313</v>
      </c>
      <c r="T566">
        <v>17</v>
      </c>
      <c r="U566">
        <v>11</v>
      </c>
      <c r="V566">
        <v>28</v>
      </c>
      <c r="W566" s="1">
        <f t="shared" si="3585"/>
        <v>1465</v>
      </c>
      <c r="X566" s="1">
        <f t="shared" si="3585"/>
        <v>976</v>
      </c>
      <c r="Y566" s="1">
        <f t="shared" si="3579"/>
        <v>2441</v>
      </c>
      <c r="Z566" s="1">
        <f t="shared" si="3586"/>
        <v>1448</v>
      </c>
      <c r="AA566" s="1">
        <f t="shared" si="3586"/>
        <v>965</v>
      </c>
      <c r="AB566" s="1">
        <f t="shared" si="3580"/>
        <v>2413</v>
      </c>
      <c r="AC566" s="1">
        <f t="shared" si="3587"/>
        <v>1293</v>
      </c>
      <c r="AD566" s="1">
        <f t="shared" si="3587"/>
        <v>807</v>
      </c>
      <c r="AE566" s="1">
        <f t="shared" si="3581"/>
        <v>2100</v>
      </c>
      <c r="AF566" s="2">
        <f t="shared" si="3588"/>
        <v>0.89295580110497241</v>
      </c>
      <c r="AG566" s="2">
        <f t="shared" si="3588"/>
        <v>0.83626943005181342</v>
      </c>
      <c r="AH566" s="2">
        <f t="shared" si="3588"/>
        <v>0.87028595109821794</v>
      </c>
      <c r="AI566" s="1">
        <f t="shared" si="3589"/>
        <v>1137</v>
      </c>
      <c r="AJ566" s="1">
        <f t="shared" si="3589"/>
        <v>645</v>
      </c>
      <c r="AK566" s="1">
        <f t="shared" si="3582"/>
        <v>1782</v>
      </c>
      <c r="AL566" s="2">
        <f t="shared" si="3590"/>
        <v>0.78522099447513816</v>
      </c>
      <c r="AM566" s="2">
        <f t="shared" si="3590"/>
        <v>0.66839378238341973</v>
      </c>
      <c r="AN566" s="2">
        <f t="shared" si="3590"/>
        <v>0.73849979278905931</v>
      </c>
      <c r="AO566" s="2">
        <f t="shared" si="3591"/>
        <v>1.8646408839779006E-2</v>
      </c>
      <c r="AP566" s="2">
        <f t="shared" si="3591"/>
        <v>1.1398963730569948E-2</v>
      </c>
      <c r="AQ566" s="2">
        <f t="shared" si="3591"/>
        <v>1.5748031496062992E-2</v>
      </c>
      <c r="AR566" s="2">
        <f t="shared" si="3583"/>
        <v>0.10911602209944751</v>
      </c>
      <c r="AS566" s="2">
        <f t="shared" si="3592"/>
        <v>0.16373056994818652</v>
      </c>
      <c r="AT566" s="2">
        <f t="shared" si="3592"/>
        <v>0.12971404890178201</v>
      </c>
      <c r="AU566" s="2">
        <f t="shared" si="3584"/>
        <v>1.1604095563139932E-2</v>
      </c>
      <c r="AV566" s="2">
        <f t="shared" si="3584"/>
        <v>1.1270491803278689E-2</v>
      </c>
      <c r="AW566" s="2">
        <f t="shared" si="3584"/>
        <v>1.1470708725931995E-2</v>
      </c>
    </row>
    <row r="567" spans="1:49" ht="15.75" customHeight="1" x14ac:dyDescent="0.15">
      <c r="A567" s="1">
        <v>2025</v>
      </c>
      <c r="D567" t="s">
        <v>380</v>
      </c>
      <c r="E567">
        <v>69</v>
      </c>
      <c r="F567">
        <v>29</v>
      </c>
      <c r="G567">
        <v>98</v>
      </c>
      <c r="H567">
        <v>995</v>
      </c>
      <c r="I567">
        <v>787</v>
      </c>
      <c r="J567">
        <v>1782</v>
      </c>
      <c r="K567">
        <v>949</v>
      </c>
      <c r="L567">
        <v>941</v>
      </c>
      <c r="M567">
        <v>1890</v>
      </c>
      <c r="N567">
        <v>488</v>
      </c>
      <c r="O567">
        <v>651</v>
      </c>
      <c r="P567">
        <v>1139</v>
      </c>
      <c r="Q567">
        <v>576</v>
      </c>
      <c r="R567">
        <v>709</v>
      </c>
      <c r="S567">
        <v>1285</v>
      </c>
      <c r="T567">
        <v>19</v>
      </c>
      <c r="U567">
        <v>27</v>
      </c>
      <c r="V567">
        <v>46</v>
      </c>
      <c r="W567" s="1">
        <f t="shared" si="3585"/>
        <v>3096</v>
      </c>
      <c r="X567" s="1">
        <f t="shared" si="3585"/>
        <v>3144</v>
      </c>
      <c r="Y567" s="1">
        <f t="shared" si="3579"/>
        <v>6240</v>
      </c>
      <c r="Z567" s="1">
        <f t="shared" si="3586"/>
        <v>3077</v>
      </c>
      <c r="AA567" s="1">
        <f t="shared" si="3586"/>
        <v>3117</v>
      </c>
      <c r="AB567" s="1">
        <f t="shared" si="3580"/>
        <v>6194</v>
      </c>
      <c r="AC567" s="1">
        <f t="shared" si="3587"/>
        <v>2501</v>
      </c>
      <c r="AD567" s="1">
        <f t="shared" si="3587"/>
        <v>2408</v>
      </c>
      <c r="AE567" s="1">
        <f t="shared" si="3581"/>
        <v>4909</v>
      </c>
      <c r="AF567" s="2">
        <f t="shared" si="3588"/>
        <v>0.81280467988300298</v>
      </c>
      <c r="AG567" s="2">
        <f t="shared" si="3588"/>
        <v>0.77253769650304782</v>
      </c>
      <c r="AH567" s="2">
        <f t="shared" si="3588"/>
        <v>0.792541168873103</v>
      </c>
      <c r="AI567" s="1">
        <f t="shared" si="3589"/>
        <v>2013</v>
      </c>
      <c r="AJ567" s="1">
        <f t="shared" si="3589"/>
        <v>1757</v>
      </c>
      <c r="AK567" s="1">
        <f t="shared" si="3582"/>
        <v>3770</v>
      </c>
      <c r="AL567" s="2">
        <f t="shared" si="3590"/>
        <v>0.65420864478388041</v>
      </c>
      <c r="AM567" s="2">
        <f t="shared" si="3590"/>
        <v>0.56368302855309593</v>
      </c>
      <c r="AN567" s="2">
        <f t="shared" si="3590"/>
        <v>0.60865353567969005</v>
      </c>
      <c r="AO567" s="2">
        <f t="shared" si="3591"/>
        <v>2.2424439389015276E-2</v>
      </c>
      <c r="AP567" s="2">
        <f t="shared" si="3591"/>
        <v>9.3038177735001604E-3</v>
      </c>
      <c r="AQ567" s="2">
        <f t="shared" si="3591"/>
        <v>1.5821762996448177E-2</v>
      </c>
      <c r="AR567" s="2">
        <f t="shared" si="3583"/>
        <v>0.23041923951901203</v>
      </c>
      <c r="AS567" s="2">
        <f t="shared" si="3592"/>
        <v>0.22746230349695221</v>
      </c>
      <c r="AT567" s="2">
        <f t="shared" si="3592"/>
        <v>0.207458831126897</v>
      </c>
      <c r="AU567" s="2">
        <f t="shared" si="3584"/>
        <v>6.1369509043927651E-3</v>
      </c>
      <c r="AV567" s="2">
        <f t="shared" si="3584"/>
        <v>8.5877862595419852E-3</v>
      </c>
      <c r="AW567" s="2">
        <f t="shared" si="3584"/>
        <v>7.3717948717948716E-3</v>
      </c>
    </row>
    <row r="568" spans="1:49" ht="15.75" customHeight="1" x14ac:dyDescent="0.15">
      <c r="A568" s="1">
        <v>2025</v>
      </c>
      <c r="D568" t="s">
        <v>381</v>
      </c>
      <c r="E568">
        <v>350</v>
      </c>
      <c r="F568">
        <v>342</v>
      </c>
      <c r="G568">
        <v>692</v>
      </c>
      <c r="H568">
        <v>1598</v>
      </c>
      <c r="I568">
        <v>2078</v>
      </c>
      <c r="J568">
        <v>3676</v>
      </c>
      <c r="K568">
        <v>293</v>
      </c>
      <c r="L568">
        <v>416</v>
      </c>
      <c r="M568">
        <v>709</v>
      </c>
      <c r="N568">
        <v>105</v>
      </c>
      <c r="O568">
        <v>165</v>
      </c>
      <c r="P568">
        <v>270</v>
      </c>
      <c r="Q568">
        <v>53</v>
      </c>
      <c r="R568">
        <v>58</v>
      </c>
      <c r="S568">
        <v>111</v>
      </c>
      <c r="T568">
        <v>50</v>
      </c>
      <c r="U568">
        <v>67</v>
      </c>
      <c r="V568">
        <v>117</v>
      </c>
      <c r="W568" s="1">
        <f t="shared" si="3585"/>
        <v>2449</v>
      </c>
      <c r="X568" s="1">
        <f t="shared" si="3585"/>
        <v>3126</v>
      </c>
      <c r="Y568" s="1">
        <f t="shared" si="3579"/>
        <v>5575</v>
      </c>
      <c r="Z568" s="1">
        <f t="shared" si="3586"/>
        <v>2399</v>
      </c>
      <c r="AA568" s="1">
        <f t="shared" si="3586"/>
        <v>3059</v>
      </c>
      <c r="AB568" s="1">
        <f t="shared" si="3580"/>
        <v>5458</v>
      </c>
      <c r="AC568" s="1">
        <f t="shared" si="3587"/>
        <v>2346</v>
      </c>
      <c r="AD568" s="1">
        <f t="shared" si="3587"/>
        <v>3001</v>
      </c>
      <c r="AE568" s="1">
        <f t="shared" si="3581"/>
        <v>5347</v>
      </c>
      <c r="AF568" s="2">
        <f t="shared" si="3588"/>
        <v>0.97790746144226759</v>
      </c>
      <c r="AG568" s="2">
        <f t="shared" si="3588"/>
        <v>0.98103955541026477</v>
      </c>
      <c r="AH568" s="2">
        <f t="shared" si="3588"/>
        <v>0.97966288017588865</v>
      </c>
      <c r="AI568" s="1">
        <f t="shared" si="3589"/>
        <v>2241</v>
      </c>
      <c r="AJ568" s="1">
        <f t="shared" si="3589"/>
        <v>2836</v>
      </c>
      <c r="AK568" s="1">
        <f t="shared" si="3582"/>
        <v>5077</v>
      </c>
      <c r="AL568" s="2">
        <f t="shared" si="3590"/>
        <v>0.93413922467694877</v>
      </c>
      <c r="AM568" s="2">
        <f t="shared" si="3590"/>
        <v>0.92710035959463877</v>
      </c>
      <c r="AN568" s="2">
        <f t="shared" si="3590"/>
        <v>0.93019421033345551</v>
      </c>
      <c r="AO568" s="2">
        <f t="shared" si="3591"/>
        <v>0.14589412255106293</v>
      </c>
      <c r="AP568" s="2">
        <f t="shared" si="3591"/>
        <v>0.11180124223602485</v>
      </c>
      <c r="AQ568" s="2">
        <f t="shared" si="3591"/>
        <v>0.12678636863319898</v>
      </c>
      <c r="AR568" s="2">
        <f t="shared" si="3583"/>
        <v>2.4176740308461859E-2</v>
      </c>
      <c r="AS568" s="2">
        <f t="shared" si="3592"/>
        <v>1.8960444589735208E-2</v>
      </c>
      <c r="AT568" s="2">
        <f t="shared" si="3592"/>
        <v>2.0337119824111394E-2</v>
      </c>
      <c r="AU568" s="2">
        <f t="shared" si="3584"/>
        <v>2.0416496529195589E-2</v>
      </c>
      <c r="AV568" s="2">
        <f t="shared" si="3584"/>
        <v>2.143314139475368E-2</v>
      </c>
      <c r="AW568" s="2">
        <f t="shared" si="3584"/>
        <v>2.0986547085201795E-2</v>
      </c>
    </row>
    <row r="569" spans="1:49" ht="15.75" customHeight="1" x14ac:dyDescent="0.15">
      <c r="A569" s="1">
        <v>2025</v>
      </c>
      <c r="D569" t="s">
        <v>382</v>
      </c>
      <c r="E569">
        <v>134</v>
      </c>
      <c r="F569">
        <v>136</v>
      </c>
      <c r="G569">
        <v>270</v>
      </c>
      <c r="H569">
        <v>716</v>
      </c>
      <c r="I569">
        <v>981</v>
      </c>
      <c r="J569">
        <v>1697</v>
      </c>
      <c r="K569">
        <v>306</v>
      </c>
      <c r="L569">
        <v>542</v>
      </c>
      <c r="M569">
        <v>848</v>
      </c>
      <c r="N569">
        <v>163</v>
      </c>
      <c r="O569">
        <v>312</v>
      </c>
      <c r="P569">
        <v>475</v>
      </c>
      <c r="Q569">
        <v>82</v>
      </c>
      <c r="R569">
        <v>182</v>
      </c>
      <c r="S569">
        <v>264</v>
      </c>
      <c r="T569">
        <v>27</v>
      </c>
      <c r="U569">
        <v>47</v>
      </c>
      <c r="V569">
        <v>74</v>
      </c>
      <c r="W569" s="1">
        <f t="shared" si="3585"/>
        <v>1428</v>
      </c>
      <c r="X569" s="1">
        <f t="shared" si="3585"/>
        <v>2200</v>
      </c>
      <c r="Y569" s="1">
        <f t="shared" si="3579"/>
        <v>3628</v>
      </c>
      <c r="Z569" s="1">
        <f t="shared" si="3586"/>
        <v>1401</v>
      </c>
      <c r="AA569" s="1">
        <f t="shared" si="3586"/>
        <v>2153</v>
      </c>
      <c r="AB569" s="1">
        <f t="shared" si="3580"/>
        <v>3554</v>
      </c>
      <c r="AC569" s="1">
        <f t="shared" si="3587"/>
        <v>1319</v>
      </c>
      <c r="AD569" s="1">
        <f t="shared" si="3587"/>
        <v>1971</v>
      </c>
      <c r="AE569" s="1">
        <f t="shared" si="3581"/>
        <v>3290</v>
      </c>
      <c r="AF569" s="2">
        <f t="shared" si="3588"/>
        <v>0.94147037830121338</v>
      </c>
      <c r="AG569" s="2">
        <f t="shared" si="3588"/>
        <v>0.91546679052484903</v>
      </c>
      <c r="AH569" s="2">
        <f t="shared" si="3588"/>
        <v>0.92571750140686548</v>
      </c>
      <c r="AI569" s="1">
        <f t="shared" si="3589"/>
        <v>1156</v>
      </c>
      <c r="AJ569" s="1">
        <f t="shared" si="3589"/>
        <v>1659</v>
      </c>
      <c r="AK569" s="1">
        <f t="shared" si="3582"/>
        <v>2815</v>
      </c>
      <c r="AL569" s="2">
        <f t="shared" si="3590"/>
        <v>0.82512491077801575</v>
      </c>
      <c r="AM569" s="2">
        <f t="shared" si="3590"/>
        <v>0.77055271713887596</v>
      </c>
      <c r="AN569" s="2">
        <f t="shared" si="3590"/>
        <v>0.7920652785593697</v>
      </c>
      <c r="AO569" s="2">
        <f t="shared" si="3591"/>
        <v>9.5645967166309784E-2</v>
      </c>
      <c r="AP569" s="2">
        <f t="shared" si="3591"/>
        <v>6.3167673014398518E-2</v>
      </c>
      <c r="AQ569" s="2">
        <f t="shared" si="3591"/>
        <v>7.597073719752391E-2</v>
      </c>
      <c r="AR569" s="2">
        <f t="shared" si="3583"/>
        <v>0.12990720913633119</v>
      </c>
      <c r="AS569" s="2">
        <f t="shared" si="3592"/>
        <v>8.4533209475150958E-2</v>
      </c>
      <c r="AT569" s="2">
        <f t="shared" si="3592"/>
        <v>7.4282498593134502E-2</v>
      </c>
      <c r="AU569" s="2">
        <f t="shared" si="3584"/>
        <v>1.8907563025210083E-2</v>
      </c>
      <c r="AV569" s="2">
        <f t="shared" si="3584"/>
        <v>2.1363636363636362E-2</v>
      </c>
      <c r="AW569" s="2">
        <f t="shared" si="3584"/>
        <v>2.0396912899669238E-2</v>
      </c>
    </row>
    <row r="570" spans="1:49" ht="15.75" customHeight="1" x14ac:dyDescent="0.15">
      <c r="A570" s="1">
        <v>2025</v>
      </c>
      <c r="C570" s="3" t="s">
        <v>54</v>
      </c>
      <c r="D570" t="s">
        <v>383</v>
      </c>
      <c r="E570">
        <v>420</v>
      </c>
      <c r="F570">
        <v>425</v>
      </c>
      <c r="G570">
        <v>845</v>
      </c>
      <c r="H570">
        <v>822</v>
      </c>
      <c r="I570">
        <v>975</v>
      </c>
      <c r="J570">
        <v>1797</v>
      </c>
      <c r="K570">
        <v>57</v>
      </c>
      <c r="L570">
        <v>68</v>
      </c>
      <c r="M570">
        <v>125</v>
      </c>
      <c r="N570">
        <v>25</v>
      </c>
      <c r="O570">
        <v>31</v>
      </c>
      <c r="P570">
        <v>56</v>
      </c>
      <c r="Q570">
        <v>7</v>
      </c>
      <c r="R570">
        <v>14</v>
      </c>
      <c r="S570">
        <v>21</v>
      </c>
      <c r="T570">
        <v>15</v>
      </c>
      <c r="U570">
        <v>11</v>
      </c>
      <c r="V570">
        <v>26</v>
      </c>
      <c r="W570" s="1">
        <f t="shared" si="3585"/>
        <v>1346</v>
      </c>
      <c r="X570" s="1">
        <f t="shared" si="3585"/>
        <v>1524</v>
      </c>
      <c r="Y570" s="1">
        <f t="shared" si="3579"/>
        <v>2870</v>
      </c>
      <c r="Z570" s="1">
        <f t="shared" si="3586"/>
        <v>1331</v>
      </c>
      <c r="AA570" s="1">
        <f t="shared" si="3586"/>
        <v>1513</v>
      </c>
      <c r="AB570" s="1">
        <f t="shared" si="3580"/>
        <v>2844</v>
      </c>
      <c r="AC570" s="1">
        <f t="shared" si="3587"/>
        <v>1324</v>
      </c>
      <c r="AD570" s="1">
        <f t="shared" si="3587"/>
        <v>1499</v>
      </c>
      <c r="AE570" s="1">
        <f t="shared" si="3581"/>
        <v>2823</v>
      </c>
      <c r="AF570" s="2">
        <f t="shared" si="3588"/>
        <v>0.99474079639368895</v>
      </c>
      <c r="AG570" s="2">
        <f t="shared" si="3588"/>
        <v>0.99074686054196959</v>
      </c>
      <c r="AH570" s="2">
        <f t="shared" si="3588"/>
        <v>0.9926160337552743</v>
      </c>
      <c r="AI570" s="1">
        <f t="shared" si="3589"/>
        <v>1299</v>
      </c>
      <c r="AJ570" s="1">
        <f t="shared" si="3589"/>
        <v>1468</v>
      </c>
      <c r="AK570" s="1">
        <f t="shared" si="3582"/>
        <v>2767</v>
      </c>
      <c r="AL570" s="2">
        <f t="shared" si="3590"/>
        <v>0.97595792637114953</v>
      </c>
      <c r="AM570" s="2">
        <f t="shared" si="3590"/>
        <v>0.97025776602775937</v>
      </c>
      <c r="AN570" s="2">
        <f t="shared" si="3590"/>
        <v>0.97292545710267231</v>
      </c>
      <c r="AO570" s="2">
        <f t="shared" si="3591"/>
        <v>0.31555221637866265</v>
      </c>
      <c r="AP570" s="2">
        <f t="shared" si="3591"/>
        <v>0.2808988764044944</v>
      </c>
      <c r="AQ570" s="2">
        <f t="shared" si="3591"/>
        <v>0.29711673699015473</v>
      </c>
      <c r="AR570" s="2">
        <f t="shared" si="3583"/>
        <v>1.0518407212622089E-2</v>
      </c>
      <c r="AS570" s="2">
        <f t="shared" si="3592"/>
        <v>9.253139458030404E-3</v>
      </c>
      <c r="AT570" s="2">
        <f t="shared" si="3592"/>
        <v>7.3839662447257384E-3</v>
      </c>
      <c r="AU570" s="2">
        <f t="shared" si="3584"/>
        <v>1.1144130757800892E-2</v>
      </c>
      <c r="AV570" s="2">
        <f t="shared" si="3584"/>
        <v>7.2178477690288713E-3</v>
      </c>
      <c r="AW570" s="2">
        <f t="shared" si="3584"/>
        <v>9.0592334494773528E-3</v>
      </c>
    </row>
    <row r="571" spans="1:49" ht="15.75" customHeight="1" x14ac:dyDescent="0.15">
      <c r="A571" s="1">
        <v>2025</v>
      </c>
      <c r="D571" t="s">
        <v>384</v>
      </c>
      <c r="E571">
        <v>93</v>
      </c>
      <c r="F571">
        <v>107</v>
      </c>
      <c r="G571">
        <v>200</v>
      </c>
      <c r="H571">
        <v>541</v>
      </c>
      <c r="I571">
        <v>653</v>
      </c>
      <c r="J571">
        <v>1194</v>
      </c>
      <c r="K571">
        <v>207</v>
      </c>
      <c r="L571">
        <v>291</v>
      </c>
      <c r="M571">
        <v>498</v>
      </c>
      <c r="N571">
        <v>118</v>
      </c>
      <c r="O571">
        <v>175</v>
      </c>
      <c r="P571">
        <v>293</v>
      </c>
      <c r="Q571">
        <v>55</v>
      </c>
      <c r="R571">
        <v>84</v>
      </c>
      <c r="S571">
        <v>139</v>
      </c>
      <c r="T571">
        <v>13</v>
      </c>
      <c r="U571">
        <v>11</v>
      </c>
      <c r="V571">
        <v>24</v>
      </c>
      <c r="W571" s="1">
        <f t="shared" si="3585"/>
        <v>1027</v>
      </c>
      <c r="X571" s="1">
        <f t="shared" si="3585"/>
        <v>1321</v>
      </c>
      <c r="Y571" s="1">
        <f t="shared" si="3579"/>
        <v>2348</v>
      </c>
      <c r="Z571" s="1">
        <f t="shared" si="3586"/>
        <v>1014</v>
      </c>
      <c r="AA571" s="1">
        <f t="shared" si="3586"/>
        <v>1310</v>
      </c>
      <c r="AB571" s="1">
        <f t="shared" si="3580"/>
        <v>2324</v>
      </c>
      <c r="AC571" s="1">
        <f t="shared" si="3587"/>
        <v>959</v>
      </c>
      <c r="AD571" s="1">
        <f t="shared" si="3587"/>
        <v>1226</v>
      </c>
      <c r="AE571" s="1">
        <f t="shared" si="3581"/>
        <v>2185</v>
      </c>
      <c r="AF571" s="2">
        <f t="shared" si="3588"/>
        <v>0.94575936883629186</v>
      </c>
      <c r="AG571" s="2">
        <f t="shared" si="3588"/>
        <v>0.93587786259541983</v>
      </c>
      <c r="AH571" s="2">
        <f t="shared" si="3588"/>
        <v>0.94018932874354566</v>
      </c>
      <c r="AI571" s="1">
        <f t="shared" si="3589"/>
        <v>841</v>
      </c>
      <c r="AJ571" s="1">
        <f t="shared" si="3589"/>
        <v>1051</v>
      </c>
      <c r="AK571" s="1">
        <f t="shared" si="3582"/>
        <v>1892</v>
      </c>
      <c r="AL571" s="2">
        <f t="shared" si="3590"/>
        <v>0.82938856015779094</v>
      </c>
      <c r="AM571" s="2">
        <f t="shared" si="3590"/>
        <v>0.8022900763358779</v>
      </c>
      <c r="AN571" s="2">
        <f t="shared" si="3590"/>
        <v>0.81411359724612742</v>
      </c>
      <c r="AO571" s="2">
        <f t="shared" si="3591"/>
        <v>9.1715976331360943E-2</v>
      </c>
      <c r="AP571" s="2">
        <f t="shared" si="3591"/>
        <v>8.1679389312977094E-2</v>
      </c>
      <c r="AQ571" s="2">
        <f t="shared" si="3591"/>
        <v>8.6058519793459548E-2</v>
      </c>
      <c r="AR571" s="2">
        <f t="shared" si="3583"/>
        <v>8.2840236686390539E-2</v>
      </c>
      <c r="AS571" s="2">
        <f t="shared" si="3592"/>
        <v>6.4122137404580157E-2</v>
      </c>
      <c r="AT571" s="2">
        <f t="shared" si="3592"/>
        <v>5.9810671256454388E-2</v>
      </c>
      <c r="AU571" s="2">
        <f t="shared" si="3584"/>
        <v>1.2658227848101266E-2</v>
      </c>
      <c r="AV571" s="2">
        <f t="shared" si="3584"/>
        <v>8.3270249810749441E-3</v>
      </c>
      <c r="AW571" s="2">
        <f t="shared" si="3584"/>
        <v>1.0221465076660987E-2</v>
      </c>
    </row>
    <row r="572" spans="1:49" ht="15.75" customHeight="1" x14ac:dyDescent="0.15">
      <c r="A572" s="1">
        <v>2025</v>
      </c>
      <c r="D572" t="s">
        <v>385</v>
      </c>
      <c r="E572">
        <v>213</v>
      </c>
      <c r="F572">
        <v>183</v>
      </c>
      <c r="G572">
        <v>396</v>
      </c>
      <c r="H572">
        <v>281</v>
      </c>
      <c r="I572">
        <v>364</v>
      </c>
      <c r="J572">
        <v>645</v>
      </c>
      <c r="K572">
        <v>47</v>
      </c>
      <c r="L572">
        <v>60</v>
      </c>
      <c r="M572">
        <v>107</v>
      </c>
      <c r="N572">
        <v>9</v>
      </c>
      <c r="O572">
        <v>13</v>
      </c>
      <c r="P572">
        <v>22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 s="1">
        <f t="shared" si="3585"/>
        <v>550</v>
      </c>
      <c r="X572" s="1">
        <f t="shared" si="3585"/>
        <v>621</v>
      </c>
      <c r="Y572" s="1">
        <f t="shared" si="3579"/>
        <v>1171</v>
      </c>
      <c r="Z572" s="1">
        <f t="shared" si="3586"/>
        <v>550</v>
      </c>
      <c r="AA572" s="1">
        <f t="shared" si="3586"/>
        <v>621</v>
      </c>
      <c r="AB572" s="1">
        <f t="shared" si="3580"/>
        <v>1171</v>
      </c>
      <c r="AC572" s="1">
        <f t="shared" si="3587"/>
        <v>550</v>
      </c>
      <c r="AD572" s="1">
        <f t="shared" si="3587"/>
        <v>620</v>
      </c>
      <c r="AE572" s="1">
        <f t="shared" si="3581"/>
        <v>1170</v>
      </c>
      <c r="AF572" s="2">
        <f t="shared" si="3588"/>
        <v>1</v>
      </c>
      <c r="AG572" s="2">
        <f t="shared" si="3588"/>
        <v>0.99838969404186795</v>
      </c>
      <c r="AH572" s="2">
        <f t="shared" si="3588"/>
        <v>0.99914602903501282</v>
      </c>
      <c r="AI572" s="1">
        <f t="shared" si="3589"/>
        <v>541</v>
      </c>
      <c r="AJ572" s="1">
        <f t="shared" si="3589"/>
        <v>607</v>
      </c>
      <c r="AK572" s="1">
        <f t="shared" si="3582"/>
        <v>1148</v>
      </c>
      <c r="AL572" s="2">
        <f t="shared" si="3590"/>
        <v>0.98363636363636364</v>
      </c>
      <c r="AM572" s="2">
        <f t="shared" si="3590"/>
        <v>0.97745571658615138</v>
      </c>
      <c r="AN572" s="2">
        <f t="shared" si="3590"/>
        <v>0.98035866780529457</v>
      </c>
      <c r="AO572" s="2">
        <f t="shared" si="3591"/>
        <v>0.38727272727272727</v>
      </c>
      <c r="AP572" s="2">
        <f t="shared" si="3591"/>
        <v>0.29468599033816423</v>
      </c>
      <c r="AQ572" s="2">
        <f t="shared" si="3591"/>
        <v>0.33817250213492739</v>
      </c>
      <c r="AR572" s="2">
        <f t="shared" si="3583"/>
        <v>1.8181818181818182E-3</v>
      </c>
      <c r="AS572" s="2">
        <f t="shared" si="3592"/>
        <v>1.6103059581320451E-3</v>
      </c>
      <c r="AT572" s="2">
        <f t="shared" si="3592"/>
        <v>8.5397096498719043E-4</v>
      </c>
      <c r="AU572" s="2">
        <f t="shared" si="3584"/>
        <v>0</v>
      </c>
      <c r="AV572" s="2">
        <f t="shared" si="3584"/>
        <v>0</v>
      </c>
      <c r="AW572" s="2">
        <f t="shared" si="3584"/>
        <v>0</v>
      </c>
    </row>
    <row r="573" spans="1:49" ht="15.75" customHeight="1" x14ac:dyDescent="0.15">
      <c r="A573" s="1">
        <v>2025</v>
      </c>
      <c r="D573" t="s">
        <v>386</v>
      </c>
      <c r="E573">
        <v>376</v>
      </c>
      <c r="F573">
        <v>283</v>
      </c>
      <c r="G573">
        <v>659</v>
      </c>
      <c r="H573">
        <v>1536</v>
      </c>
      <c r="I573">
        <v>1817</v>
      </c>
      <c r="J573">
        <v>3353</v>
      </c>
      <c r="K573">
        <v>660</v>
      </c>
      <c r="L573">
        <v>872</v>
      </c>
      <c r="M573">
        <v>1532</v>
      </c>
      <c r="N573">
        <v>270</v>
      </c>
      <c r="O573">
        <v>423</v>
      </c>
      <c r="P573">
        <v>693</v>
      </c>
      <c r="Q573">
        <v>126</v>
      </c>
      <c r="R573">
        <v>171</v>
      </c>
      <c r="S573">
        <v>297</v>
      </c>
      <c r="T573">
        <v>52</v>
      </c>
      <c r="U573">
        <v>34</v>
      </c>
      <c r="V573">
        <v>86</v>
      </c>
      <c r="W573" s="1">
        <f t="shared" si="3585"/>
        <v>3020</v>
      </c>
      <c r="X573" s="1">
        <f t="shared" si="3585"/>
        <v>3600</v>
      </c>
      <c r="Y573" s="1">
        <f t="shared" si="3579"/>
        <v>6620</v>
      </c>
      <c r="Z573" s="1">
        <f t="shared" si="3586"/>
        <v>2968</v>
      </c>
      <c r="AA573" s="1">
        <f t="shared" si="3586"/>
        <v>3566</v>
      </c>
      <c r="AB573" s="1">
        <f t="shared" si="3580"/>
        <v>6534</v>
      </c>
      <c r="AC573" s="1">
        <f t="shared" si="3587"/>
        <v>2842</v>
      </c>
      <c r="AD573" s="1">
        <f t="shared" si="3587"/>
        <v>3395</v>
      </c>
      <c r="AE573" s="1">
        <f t="shared" si="3581"/>
        <v>6237</v>
      </c>
      <c r="AF573" s="2">
        <f t="shared" si="3588"/>
        <v>0.95754716981132071</v>
      </c>
      <c r="AG573" s="2">
        <f t="shared" si="3588"/>
        <v>0.95204711160964661</v>
      </c>
      <c r="AH573" s="2">
        <f t="shared" si="3588"/>
        <v>0.95454545454545459</v>
      </c>
      <c r="AI573" s="1">
        <f t="shared" si="3589"/>
        <v>2572</v>
      </c>
      <c r="AJ573" s="1">
        <f t="shared" si="3589"/>
        <v>2972</v>
      </c>
      <c r="AK573" s="1">
        <f t="shared" si="3582"/>
        <v>5544</v>
      </c>
      <c r="AL573" s="2">
        <f t="shared" si="3590"/>
        <v>0.86657681940700804</v>
      </c>
      <c r="AM573" s="2">
        <f t="shared" si="3590"/>
        <v>0.83342680874929898</v>
      </c>
      <c r="AN573" s="2">
        <f t="shared" si="3590"/>
        <v>0.84848484848484851</v>
      </c>
      <c r="AO573" s="2">
        <f t="shared" si="3591"/>
        <v>0.12668463611859837</v>
      </c>
      <c r="AP573" s="2">
        <f t="shared" si="3591"/>
        <v>7.936062815479529E-2</v>
      </c>
      <c r="AQ573" s="2">
        <f t="shared" si="3591"/>
        <v>0.10085705540250994</v>
      </c>
      <c r="AR573" s="2">
        <f t="shared" si="3583"/>
        <v>5.7614555256064688E-2</v>
      </c>
      <c r="AS573" s="2">
        <f t="shared" si="3592"/>
        <v>4.7952888390353339E-2</v>
      </c>
      <c r="AT573" s="2">
        <f t="shared" si="3592"/>
        <v>4.5454545454545456E-2</v>
      </c>
      <c r="AU573" s="2">
        <f t="shared" si="3584"/>
        <v>1.7218543046357615E-2</v>
      </c>
      <c r="AV573" s="2">
        <f t="shared" si="3584"/>
        <v>9.4444444444444445E-3</v>
      </c>
      <c r="AW573" s="2">
        <f t="shared" si="3584"/>
        <v>1.2990936555891239E-2</v>
      </c>
    </row>
    <row r="574" spans="1:49" ht="15.75" customHeight="1" x14ac:dyDescent="0.15">
      <c r="A574" s="1">
        <v>2025</v>
      </c>
      <c r="C574" s="3" t="s">
        <v>54</v>
      </c>
      <c r="D574" t="s">
        <v>387</v>
      </c>
      <c r="E574">
        <v>274</v>
      </c>
      <c r="F574">
        <v>286</v>
      </c>
      <c r="G574">
        <v>560</v>
      </c>
      <c r="H574">
        <v>792</v>
      </c>
      <c r="I574">
        <v>1045</v>
      </c>
      <c r="J574">
        <v>1837</v>
      </c>
      <c r="K574">
        <v>96</v>
      </c>
      <c r="L574">
        <v>164</v>
      </c>
      <c r="M574">
        <v>260</v>
      </c>
      <c r="N574">
        <v>55</v>
      </c>
      <c r="O574">
        <v>73</v>
      </c>
      <c r="P574">
        <v>128</v>
      </c>
      <c r="Q574">
        <v>11</v>
      </c>
      <c r="R574">
        <v>28</v>
      </c>
      <c r="S574">
        <v>39</v>
      </c>
      <c r="T574">
        <v>39</v>
      </c>
      <c r="U574">
        <v>22</v>
      </c>
      <c r="V574">
        <v>61</v>
      </c>
      <c r="W574" s="1">
        <f t="shared" si="3585"/>
        <v>1267</v>
      </c>
      <c r="X574" s="1">
        <f t="shared" si="3585"/>
        <v>1618</v>
      </c>
      <c r="Y574" s="1">
        <f t="shared" si="3579"/>
        <v>2885</v>
      </c>
      <c r="Z574" s="1">
        <f t="shared" si="3586"/>
        <v>1228</v>
      </c>
      <c r="AA574" s="1">
        <f t="shared" si="3586"/>
        <v>1596</v>
      </c>
      <c r="AB574" s="1">
        <f t="shared" si="3580"/>
        <v>2824</v>
      </c>
      <c r="AC574" s="1">
        <f t="shared" si="3587"/>
        <v>1217</v>
      </c>
      <c r="AD574" s="1">
        <f t="shared" si="3587"/>
        <v>1568</v>
      </c>
      <c r="AE574" s="1">
        <f t="shared" si="3581"/>
        <v>2785</v>
      </c>
      <c r="AF574" s="2">
        <f t="shared" si="3588"/>
        <v>0.99104234527687296</v>
      </c>
      <c r="AG574" s="2">
        <f t="shared" si="3588"/>
        <v>0.98245614035087714</v>
      </c>
      <c r="AH574" s="2">
        <f t="shared" si="3588"/>
        <v>0.98618980169971671</v>
      </c>
      <c r="AI574" s="1">
        <f t="shared" si="3589"/>
        <v>1162</v>
      </c>
      <c r="AJ574" s="1">
        <f t="shared" si="3589"/>
        <v>1495</v>
      </c>
      <c r="AK574" s="1">
        <f t="shared" si="3582"/>
        <v>2657</v>
      </c>
      <c r="AL574" s="2">
        <f t="shared" si="3590"/>
        <v>0.94625407166123776</v>
      </c>
      <c r="AM574" s="2">
        <f t="shared" si="3590"/>
        <v>0.93671679197994984</v>
      </c>
      <c r="AN574" s="2">
        <f t="shared" si="3590"/>
        <v>0.94086402266288949</v>
      </c>
      <c r="AO574" s="2">
        <f t="shared" si="3591"/>
        <v>0.22312703583061888</v>
      </c>
      <c r="AP574" s="2">
        <f t="shared" si="3591"/>
        <v>0.17919799498746866</v>
      </c>
      <c r="AQ574" s="2">
        <f t="shared" si="3591"/>
        <v>0.19830028328611898</v>
      </c>
      <c r="AR574" s="2">
        <f t="shared" si="3583"/>
        <v>2.2801302931596091E-2</v>
      </c>
      <c r="AS574" s="2">
        <f t="shared" si="3592"/>
        <v>1.7543859649122806E-2</v>
      </c>
      <c r="AT574" s="2">
        <f t="shared" si="3592"/>
        <v>1.3810198300283285E-2</v>
      </c>
      <c r="AU574" s="2">
        <f t="shared" si="3584"/>
        <v>3.0781373322809787E-2</v>
      </c>
      <c r="AV574" s="2">
        <f t="shared" si="3584"/>
        <v>1.3597033374536464E-2</v>
      </c>
      <c r="AW574" s="2">
        <f t="shared" si="3584"/>
        <v>2.1143847487001734E-2</v>
      </c>
    </row>
    <row r="575" spans="1:49" ht="15.75" customHeight="1" x14ac:dyDescent="0.15">
      <c r="A575" s="1">
        <v>2025</v>
      </c>
      <c r="D575" t="s">
        <v>388</v>
      </c>
      <c r="E575">
        <v>72</v>
      </c>
      <c r="F575">
        <v>54</v>
      </c>
      <c r="G575">
        <v>126</v>
      </c>
      <c r="H575">
        <v>977</v>
      </c>
      <c r="I575">
        <v>1006</v>
      </c>
      <c r="J575">
        <v>1983</v>
      </c>
      <c r="K575">
        <v>869</v>
      </c>
      <c r="L575">
        <v>999</v>
      </c>
      <c r="M575">
        <v>1868</v>
      </c>
      <c r="N575">
        <v>435</v>
      </c>
      <c r="O575">
        <v>577</v>
      </c>
      <c r="P575">
        <v>1012</v>
      </c>
      <c r="Q575">
        <v>552</v>
      </c>
      <c r="R575">
        <v>649</v>
      </c>
      <c r="S575">
        <v>1201</v>
      </c>
      <c r="T575">
        <v>17</v>
      </c>
      <c r="U575">
        <v>31</v>
      </c>
      <c r="V575">
        <v>48</v>
      </c>
      <c r="W575" s="1">
        <f t="shared" si="3585"/>
        <v>2922</v>
      </c>
      <c r="X575" s="1">
        <f t="shared" si="3585"/>
        <v>3316</v>
      </c>
      <c r="Y575" s="1">
        <f t="shared" si="3579"/>
        <v>6238</v>
      </c>
      <c r="Z575" s="1">
        <f t="shared" si="3586"/>
        <v>2905</v>
      </c>
      <c r="AA575" s="1">
        <f t="shared" si="3586"/>
        <v>3285</v>
      </c>
      <c r="AB575" s="1">
        <f t="shared" si="3580"/>
        <v>6190</v>
      </c>
      <c r="AC575" s="1">
        <f t="shared" si="3587"/>
        <v>2353</v>
      </c>
      <c r="AD575" s="1">
        <f t="shared" si="3587"/>
        <v>2636</v>
      </c>
      <c r="AE575" s="1">
        <f t="shared" si="3581"/>
        <v>4989</v>
      </c>
      <c r="AF575" s="2">
        <f t="shared" si="3588"/>
        <v>0.80998278829604131</v>
      </c>
      <c r="AG575" s="2">
        <f t="shared" si="3588"/>
        <v>0.80243531202435314</v>
      </c>
      <c r="AH575" s="2">
        <f t="shared" si="3588"/>
        <v>0.80597738287560583</v>
      </c>
      <c r="AI575" s="1">
        <f t="shared" si="3589"/>
        <v>1918</v>
      </c>
      <c r="AJ575" s="1">
        <f t="shared" si="3589"/>
        <v>2059</v>
      </c>
      <c r="AK575" s="1">
        <f t="shared" si="3582"/>
        <v>3977</v>
      </c>
      <c r="AL575" s="2">
        <f t="shared" si="3590"/>
        <v>0.66024096385542164</v>
      </c>
      <c r="AM575" s="2">
        <f t="shared" si="3590"/>
        <v>0.62678843226788428</v>
      </c>
      <c r="AN575" s="2">
        <f t="shared" si="3590"/>
        <v>0.64248788368336029</v>
      </c>
      <c r="AO575" s="2">
        <f t="shared" si="3591"/>
        <v>2.4784853700516352E-2</v>
      </c>
      <c r="AP575" s="2">
        <f t="shared" si="3591"/>
        <v>1.643835616438356E-2</v>
      </c>
      <c r="AQ575" s="2">
        <f t="shared" si="3591"/>
        <v>2.0355411954765753E-2</v>
      </c>
      <c r="AR575" s="2">
        <f t="shared" si="3583"/>
        <v>0.22340791738382099</v>
      </c>
      <c r="AS575" s="2">
        <f t="shared" si="3592"/>
        <v>0.19756468797564689</v>
      </c>
      <c r="AT575" s="2">
        <f t="shared" si="3592"/>
        <v>0.1940226171243942</v>
      </c>
      <c r="AU575" s="2">
        <f t="shared" si="3584"/>
        <v>5.8179329226557153E-3</v>
      </c>
      <c r="AV575" s="2">
        <f t="shared" si="3584"/>
        <v>9.3486127864897475E-3</v>
      </c>
      <c r="AW575" s="2">
        <f t="shared" si="3584"/>
        <v>7.6947739660147485E-3</v>
      </c>
    </row>
    <row r="576" spans="1:49" ht="15.75" customHeight="1" x14ac:dyDescent="0.15">
      <c r="A576" s="1">
        <v>2025</v>
      </c>
      <c r="C576" s="3" t="s">
        <v>54</v>
      </c>
      <c r="D576" t="s">
        <v>389</v>
      </c>
      <c r="E576">
        <v>361</v>
      </c>
      <c r="F576">
        <v>266</v>
      </c>
      <c r="G576">
        <v>627</v>
      </c>
      <c r="H576">
        <v>632</v>
      </c>
      <c r="I576">
        <v>718</v>
      </c>
      <c r="J576">
        <v>1350</v>
      </c>
      <c r="K576">
        <v>91</v>
      </c>
      <c r="L576">
        <v>116</v>
      </c>
      <c r="M576">
        <v>207</v>
      </c>
      <c r="N576">
        <v>37</v>
      </c>
      <c r="O576">
        <v>56</v>
      </c>
      <c r="P576">
        <v>93</v>
      </c>
      <c r="Q576">
        <v>32</v>
      </c>
      <c r="R576">
        <v>21</v>
      </c>
      <c r="S576">
        <v>53</v>
      </c>
      <c r="T576">
        <v>15</v>
      </c>
      <c r="U576">
        <v>19</v>
      </c>
      <c r="V576">
        <v>34</v>
      </c>
      <c r="W576" s="1">
        <f t="shared" si="3585"/>
        <v>1168</v>
      </c>
      <c r="X576" s="1">
        <f t="shared" si="3585"/>
        <v>1196</v>
      </c>
      <c r="Y576" s="1">
        <f t="shared" si="3579"/>
        <v>2364</v>
      </c>
      <c r="Z576" s="1">
        <f t="shared" si="3586"/>
        <v>1153</v>
      </c>
      <c r="AA576" s="1">
        <f t="shared" si="3586"/>
        <v>1177</v>
      </c>
      <c r="AB576" s="1">
        <f t="shared" si="3580"/>
        <v>2330</v>
      </c>
      <c r="AC576" s="1">
        <f t="shared" si="3587"/>
        <v>1121</v>
      </c>
      <c r="AD576" s="1">
        <f t="shared" si="3587"/>
        <v>1156</v>
      </c>
      <c r="AE576" s="1">
        <f t="shared" si="3581"/>
        <v>2277</v>
      </c>
      <c r="AF576" s="2">
        <f t="shared" si="3588"/>
        <v>0.97224631396357331</v>
      </c>
      <c r="AG576" s="2">
        <f t="shared" si="3588"/>
        <v>0.98215802888700088</v>
      </c>
      <c r="AH576" s="2">
        <f t="shared" si="3588"/>
        <v>0.9772532188841202</v>
      </c>
      <c r="AI576" s="1">
        <f t="shared" si="3589"/>
        <v>1084</v>
      </c>
      <c r="AJ576" s="1">
        <f t="shared" si="3589"/>
        <v>1100</v>
      </c>
      <c r="AK576" s="1">
        <f t="shared" si="3582"/>
        <v>2184</v>
      </c>
      <c r="AL576" s="2">
        <f t="shared" si="3590"/>
        <v>0.94015611448395486</v>
      </c>
      <c r="AM576" s="2">
        <f t="shared" si="3590"/>
        <v>0.93457943925233644</v>
      </c>
      <c r="AN576" s="2">
        <f t="shared" si="3590"/>
        <v>0.93733905579399146</v>
      </c>
      <c r="AO576" s="2">
        <f t="shared" si="3591"/>
        <v>0.31309627059843886</v>
      </c>
      <c r="AP576" s="2">
        <f t="shared" si="3591"/>
        <v>0.22599830076465591</v>
      </c>
      <c r="AQ576" s="2">
        <f t="shared" si="3591"/>
        <v>0.26909871244635192</v>
      </c>
      <c r="AR576" s="2">
        <f t="shared" si="3583"/>
        <v>1.8213356461405029E-2</v>
      </c>
      <c r="AS576" s="2">
        <f t="shared" si="3592"/>
        <v>1.784197111299915E-2</v>
      </c>
      <c r="AT576" s="2">
        <f t="shared" si="3592"/>
        <v>2.2746781115879827E-2</v>
      </c>
      <c r="AU576" s="2">
        <f t="shared" si="3584"/>
        <v>1.2842465753424657E-2</v>
      </c>
      <c r="AV576" s="2">
        <f t="shared" si="3584"/>
        <v>1.588628762541806E-2</v>
      </c>
      <c r="AW576" s="2">
        <f t="shared" si="3584"/>
        <v>1.4382402707275803E-2</v>
      </c>
    </row>
    <row r="577" spans="1:49" ht="15.75" customHeight="1" x14ac:dyDescent="0.15">
      <c r="A577" s="1">
        <v>2025</v>
      </c>
      <c r="C577" s="3" t="s">
        <v>54</v>
      </c>
      <c r="D577" t="s">
        <v>390</v>
      </c>
      <c r="E577">
        <v>604</v>
      </c>
      <c r="F577">
        <v>648</v>
      </c>
      <c r="G577">
        <v>1252</v>
      </c>
      <c r="H577">
        <v>950</v>
      </c>
      <c r="I577">
        <v>1269</v>
      </c>
      <c r="J577">
        <v>2219</v>
      </c>
      <c r="K577">
        <v>157</v>
      </c>
      <c r="L577">
        <v>195</v>
      </c>
      <c r="M577">
        <v>352</v>
      </c>
      <c r="N577">
        <v>58</v>
      </c>
      <c r="O577">
        <v>85</v>
      </c>
      <c r="P577">
        <v>143</v>
      </c>
      <c r="Q577">
        <v>32</v>
      </c>
      <c r="R577">
        <v>38</v>
      </c>
      <c r="S577">
        <v>70</v>
      </c>
      <c r="T577">
        <v>16</v>
      </c>
      <c r="U577">
        <v>16</v>
      </c>
      <c r="V577">
        <v>32</v>
      </c>
      <c r="W577" s="1">
        <f t="shared" si="3585"/>
        <v>1817</v>
      </c>
      <c r="X577" s="1">
        <f t="shared" si="3585"/>
        <v>2251</v>
      </c>
      <c r="Y577" s="1">
        <f t="shared" si="3579"/>
        <v>4068</v>
      </c>
      <c r="Z577" s="1">
        <f t="shared" si="3586"/>
        <v>1801</v>
      </c>
      <c r="AA577" s="1">
        <f t="shared" si="3586"/>
        <v>2235</v>
      </c>
      <c r="AB577" s="1">
        <f t="shared" si="3580"/>
        <v>4036</v>
      </c>
      <c r="AC577" s="1">
        <f t="shared" si="3587"/>
        <v>1769</v>
      </c>
      <c r="AD577" s="1">
        <f t="shared" si="3587"/>
        <v>2197</v>
      </c>
      <c r="AE577" s="1">
        <f t="shared" si="3581"/>
        <v>3966</v>
      </c>
      <c r="AF577" s="2">
        <f t="shared" si="3588"/>
        <v>0.98223209328151029</v>
      </c>
      <c r="AG577" s="2">
        <f t="shared" si="3588"/>
        <v>0.98299776286353469</v>
      </c>
      <c r="AH577" s="2">
        <f t="shared" si="3588"/>
        <v>0.98265609514370666</v>
      </c>
      <c r="AI577" s="1">
        <f t="shared" si="3589"/>
        <v>1711</v>
      </c>
      <c r="AJ577" s="1">
        <f t="shared" si="3589"/>
        <v>2112</v>
      </c>
      <c r="AK577" s="1">
        <f t="shared" si="3582"/>
        <v>3823</v>
      </c>
      <c r="AL577" s="2">
        <f t="shared" si="3590"/>
        <v>0.95002776235424768</v>
      </c>
      <c r="AM577" s="2">
        <f t="shared" si="3590"/>
        <v>0.94496644295302012</v>
      </c>
      <c r="AN577" s="2">
        <f t="shared" si="3590"/>
        <v>0.94722497522299309</v>
      </c>
      <c r="AO577" s="2">
        <f t="shared" si="3591"/>
        <v>0.33536923931149359</v>
      </c>
      <c r="AP577" s="2">
        <f t="shared" si="3591"/>
        <v>0.28993288590604027</v>
      </c>
      <c r="AQ577" s="2">
        <f t="shared" si="3591"/>
        <v>0.31020812685827553</v>
      </c>
      <c r="AR577" s="2">
        <f t="shared" si="3583"/>
        <v>2.1099389228206551E-2</v>
      </c>
      <c r="AS577" s="2">
        <f t="shared" si="3592"/>
        <v>1.7002237136465325E-2</v>
      </c>
      <c r="AT577" s="2">
        <f t="shared" si="3592"/>
        <v>1.7343904856293359E-2</v>
      </c>
      <c r="AU577" s="2">
        <f t="shared" si="3584"/>
        <v>8.8057237204182716E-3</v>
      </c>
      <c r="AV577" s="2">
        <f t="shared" si="3584"/>
        <v>7.1079520213238557E-3</v>
      </c>
      <c r="AW577" s="2">
        <f t="shared" si="3584"/>
        <v>7.8662733529990172E-3</v>
      </c>
    </row>
    <row r="578" spans="1:49" ht="15.75" customHeight="1" x14ac:dyDescent="0.15">
      <c r="A578" s="1">
        <v>2025</v>
      </c>
      <c r="D578" t="s">
        <v>391</v>
      </c>
      <c r="E578">
        <v>80</v>
      </c>
      <c r="F578">
        <v>45</v>
      </c>
      <c r="G578">
        <v>125</v>
      </c>
      <c r="H578">
        <v>779</v>
      </c>
      <c r="I578">
        <v>848</v>
      </c>
      <c r="J578">
        <v>1627</v>
      </c>
      <c r="K578">
        <v>721</v>
      </c>
      <c r="L578">
        <v>901</v>
      </c>
      <c r="M578">
        <v>1622</v>
      </c>
      <c r="N578">
        <v>426</v>
      </c>
      <c r="O578">
        <v>575</v>
      </c>
      <c r="P578">
        <v>1001</v>
      </c>
      <c r="Q578">
        <v>444</v>
      </c>
      <c r="R578">
        <v>722</v>
      </c>
      <c r="S578">
        <v>1166</v>
      </c>
      <c r="T578">
        <v>37</v>
      </c>
      <c r="U578">
        <v>54</v>
      </c>
      <c r="V578">
        <v>91</v>
      </c>
      <c r="W578" s="1">
        <f t="shared" si="3585"/>
        <v>2487</v>
      </c>
      <c r="X578" s="1">
        <f t="shared" si="3585"/>
        <v>3145</v>
      </c>
      <c r="Y578" s="1">
        <f t="shared" si="3579"/>
        <v>5632</v>
      </c>
      <c r="Z578" s="1">
        <f t="shared" si="3586"/>
        <v>2450</v>
      </c>
      <c r="AA578" s="1">
        <f t="shared" si="3586"/>
        <v>3091</v>
      </c>
      <c r="AB578" s="1">
        <f t="shared" si="3580"/>
        <v>5541</v>
      </c>
      <c r="AC578" s="1">
        <f t="shared" si="3587"/>
        <v>2006</v>
      </c>
      <c r="AD578" s="1">
        <f t="shared" si="3587"/>
        <v>2369</v>
      </c>
      <c r="AE578" s="1">
        <f t="shared" si="3581"/>
        <v>4375</v>
      </c>
      <c r="AF578" s="2">
        <f t="shared" si="3588"/>
        <v>0.81877551020408168</v>
      </c>
      <c r="AG578" s="2">
        <f t="shared" si="3588"/>
        <v>0.76641863474603689</v>
      </c>
      <c r="AH578" s="2">
        <f t="shared" si="3588"/>
        <v>0.78956866991517771</v>
      </c>
      <c r="AI578" s="1">
        <f t="shared" si="3589"/>
        <v>1580</v>
      </c>
      <c r="AJ578" s="1">
        <f t="shared" si="3589"/>
        <v>1794</v>
      </c>
      <c r="AK578" s="1">
        <f t="shared" si="3582"/>
        <v>3374</v>
      </c>
      <c r="AL578" s="2">
        <f t="shared" si="3590"/>
        <v>0.64489795918367343</v>
      </c>
      <c r="AM578" s="2">
        <f t="shared" si="3590"/>
        <v>0.58039469427369783</v>
      </c>
      <c r="AN578" s="2">
        <f t="shared" si="3590"/>
        <v>0.60891535823858511</v>
      </c>
      <c r="AO578" s="2">
        <f t="shared" si="3591"/>
        <v>3.2653061224489799E-2</v>
      </c>
      <c r="AP578" s="2">
        <f t="shared" si="3591"/>
        <v>1.4558395341313491E-2</v>
      </c>
      <c r="AQ578" s="2">
        <f t="shared" si="3591"/>
        <v>2.2559104854719365E-2</v>
      </c>
      <c r="AR578" s="2">
        <f t="shared" si="3583"/>
        <v>0.29469387755102039</v>
      </c>
      <c r="AS578" s="2">
        <f t="shared" si="3592"/>
        <v>0.23358136525396311</v>
      </c>
      <c r="AT578" s="2">
        <f t="shared" si="3592"/>
        <v>0.21043133008482223</v>
      </c>
      <c r="AU578" s="2">
        <f t="shared" si="3584"/>
        <v>1.4877362283876157E-2</v>
      </c>
      <c r="AV578" s="2">
        <f t="shared" si="3584"/>
        <v>1.7170111287758347E-2</v>
      </c>
      <c r="AW578" s="2">
        <f t="shared" si="3584"/>
        <v>1.6157670454545456E-2</v>
      </c>
    </row>
    <row r="579" spans="1:49" ht="15.75" customHeight="1" x14ac:dyDescent="0.15">
      <c r="A579" s="1">
        <v>2025</v>
      </c>
      <c r="D579" t="s">
        <v>392</v>
      </c>
      <c r="E579">
        <v>213</v>
      </c>
      <c r="F579">
        <v>173</v>
      </c>
      <c r="G579">
        <v>386</v>
      </c>
      <c r="H579">
        <v>734</v>
      </c>
      <c r="I579">
        <v>814</v>
      </c>
      <c r="J579">
        <v>1548</v>
      </c>
      <c r="K579">
        <v>277</v>
      </c>
      <c r="L579">
        <v>349</v>
      </c>
      <c r="M579">
        <v>626</v>
      </c>
      <c r="N579">
        <v>124</v>
      </c>
      <c r="O579">
        <v>159</v>
      </c>
      <c r="P579">
        <v>283</v>
      </c>
      <c r="Q579">
        <v>75</v>
      </c>
      <c r="R579">
        <v>85</v>
      </c>
      <c r="S579">
        <v>160</v>
      </c>
      <c r="T579">
        <v>6</v>
      </c>
      <c r="U579">
        <v>5</v>
      </c>
      <c r="V579">
        <v>11</v>
      </c>
      <c r="W579" s="1">
        <f t="shared" si="3585"/>
        <v>1429</v>
      </c>
      <c r="X579" s="1">
        <f t="shared" si="3585"/>
        <v>1585</v>
      </c>
      <c r="Y579" s="1">
        <f t="shared" si="3579"/>
        <v>3014</v>
      </c>
      <c r="Z579" s="1">
        <f t="shared" si="3586"/>
        <v>1423</v>
      </c>
      <c r="AA579" s="1">
        <f t="shared" si="3586"/>
        <v>1580</v>
      </c>
      <c r="AB579" s="1">
        <f t="shared" si="3580"/>
        <v>3003</v>
      </c>
      <c r="AC579" s="1">
        <f t="shared" si="3587"/>
        <v>1348</v>
      </c>
      <c r="AD579" s="1">
        <f t="shared" si="3587"/>
        <v>1495</v>
      </c>
      <c r="AE579" s="1">
        <f t="shared" si="3581"/>
        <v>2843</v>
      </c>
      <c r="AF579" s="2">
        <f t="shared" si="3588"/>
        <v>0.94729444834855936</v>
      </c>
      <c r="AG579" s="2">
        <f t="shared" si="3588"/>
        <v>0.94620253164556967</v>
      </c>
      <c r="AH579" s="2">
        <f t="shared" si="3588"/>
        <v>0.94671994671994675</v>
      </c>
      <c r="AI579" s="1">
        <f t="shared" si="3589"/>
        <v>1224</v>
      </c>
      <c r="AJ579" s="1">
        <f t="shared" si="3589"/>
        <v>1336</v>
      </c>
      <c r="AK579" s="1">
        <f t="shared" si="3582"/>
        <v>2560</v>
      </c>
      <c r="AL579" s="2">
        <f t="shared" si="3590"/>
        <v>0.86015460295151092</v>
      </c>
      <c r="AM579" s="2">
        <f t="shared" si="3590"/>
        <v>0.84556962025316451</v>
      </c>
      <c r="AN579" s="2">
        <f t="shared" si="3590"/>
        <v>0.85248085248085248</v>
      </c>
      <c r="AO579" s="2">
        <f t="shared" si="3591"/>
        <v>0.14968376669009137</v>
      </c>
      <c r="AP579" s="2">
        <f t="shared" si="3591"/>
        <v>0.10949367088607595</v>
      </c>
      <c r="AQ579" s="2">
        <f t="shared" si="3591"/>
        <v>0.12853812853812854</v>
      </c>
      <c r="AR579" s="2">
        <f t="shared" si="3583"/>
        <v>5.9732958538299366E-2</v>
      </c>
      <c r="AS579" s="2">
        <f t="shared" si="3592"/>
        <v>5.3797468354430382E-2</v>
      </c>
      <c r="AT579" s="2">
        <f t="shared" si="3592"/>
        <v>5.328005328005328E-2</v>
      </c>
      <c r="AU579" s="2">
        <f t="shared" si="3584"/>
        <v>4.1987403778866337E-3</v>
      </c>
      <c r="AV579" s="2">
        <f t="shared" si="3584"/>
        <v>3.1545741324921135E-3</v>
      </c>
      <c r="AW579" s="2">
        <f t="shared" si="3584"/>
        <v>3.6496350364963502E-3</v>
      </c>
    </row>
    <row r="580" spans="1:49" ht="15.75" customHeight="1" x14ac:dyDescent="0.15">
      <c r="A580" s="1">
        <v>2025</v>
      </c>
      <c r="D580" t="s">
        <v>393</v>
      </c>
      <c r="E580">
        <v>51</v>
      </c>
      <c r="F580">
        <v>32</v>
      </c>
      <c r="G580">
        <v>83</v>
      </c>
      <c r="H580">
        <v>667</v>
      </c>
      <c r="I580">
        <v>561</v>
      </c>
      <c r="J580">
        <v>1228</v>
      </c>
      <c r="K580">
        <v>662</v>
      </c>
      <c r="L580">
        <v>658</v>
      </c>
      <c r="M580">
        <v>1320</v>
      </c>
      <c r="N580">
        <v>316</v>
      </c>
      <c r="O580">
        <v>461</v>
      </c>
      <c r="P580">
        <v>777</v>
      </c>
      <c r="Q580">
        <v>422</v>
      </c>
      <c r="R580">
        <v>557</v>
      </c>
      <c r="S580">
        <v>979</v>
      </c>
      <c r="T580">
        <v>9</v>
      </c>
      <c r="U580">
        <v>16</v>
      </c>
      <c r="V580">
        <v>25</v>
      </c>
      <c r="W580" s="1">
        <f t="shared" si="3585"/>
        <v>2127</v>
      </c>
      <c r="X580" s="1">
        <f t="shared" si="3585"/>
        <v>2285</v>
      </c>
      <c r="Y580" s="1">
        <f t="shared" si="3579"/>
        <v>4412</v>
      </c>
      <c r="Z580" s="1">
        <f t="shared" si="3586"/>
        <v>2118</v>
      </c>
      <c r="AA580" s="1">
        <f t="shared" si="3586"/>
        <v>2269</v>
      </c>
      <c r="AB580" s="1">
        <f t="shared" si="3580"/>
        <v>4387</v>
      </c>
      <c r="AC580" s="1">
        <f t="shared" si="3587"/>
        <v>1696</v>
      </c>
      <c r="AD580" s="1">
        <f t="shared" si="3587"/>
        <v>1712</v>
      </c>
      <c r="AE580" s="1">
        <f t="shared" si="3581"/>
        <v>3408</v>
      </c>
      <c r="AF580" s="2">
        <f t="shared" si="3588"/>
        <v>0.80075542965061375</v>
      </c>
      <c r="AG580" s="2">
        <f t="shared" si="3588"/>
        <v>0.75451740855002203</v>
      </c>
      <c r="AH580" s="2">
        <f t="shared" si="3588"/>
        <v>0.77684066560291776</v>
      </c>
      <c r="AI580" s="1">
        <f t="shared" si="3589"/>
        <v>1380</v>
      </c>
      <c r="AJ580" s="1">
        <f t="shared" si="3589"/>
        <v>1251</v>
      </c>
      <c r="AK580" s="1">
        <f t="shared" si="3582"/>
        <v>2631</v>
      </c>
      <c r="AL580" s="2">
        <f t="shared" si="3590"/>
        <v>0.65155807365439089</v>
      </c>
      <c r="AM580" s="2">
        <f t="shared" si="3590"/>
        <v>0.55134420449537236</v>
      </c>
      <c r="AN580" s="2">
        <f t="shared" si="3590"/>
        <v>0.59972646455436518</v>
      </c>
      <c r="AO580" s="2">
        <f t="shared" si="3591"/>
        <v>2.4079320113314446E-2</v>
      </c>
      <c r="AP580" s="2">
        <f t="shared" si="3591"/>
        <v>1.4103129131776113E-2</v>
      </c>
      <c r="AQ580" s="2">
        <f t="shared" si="3591"/>
        <v>1.8919534989742422E-2</v>
      </c>
      <c r="AR580" s="2">
        <f t="shared" si="3583"/>
        <v>0.26298394711992445</v>
      </c>
      <c r="AS580" s="2">
        <f t="shared" si="3592"/>
        <v>0.24548259144997797</v>
      </c>
      <c r="AT580" s="2">
        <f t="shared" si="3592"/>
        <v>0.2231593343970823</v>
      </c>
      <c r="AU580" s="2">
        <f t="shared" si="3584"/>
        <v>4.2313117066290554E-3</v>
      </c>
      <c r="AV580" s="2">
        <f t="shared" si="3584"/>
        <v>7.0021881838074401E-3</v>
      </c>
      <c r="AW580" s="2">
        <f t="shared" si="3584"/>
        <v>5.6663644605621033E-3</v>
      </c>
    </row>
    <row r="581" spans="1:49" ht="15.75" customHeight="1" x14ac:dyDescent="0.15">
      <c r="A581" s="1">
        <v>2025</v>
      </c>
      <c r="D581" t="s">
        <v>394</v>
      </c>
      <c r="E581">
        <v>305</v>
      </c>
      <c r="F581">
        <v>238</v>
      </c>
      <c r="G581">
        <v>543</v>
      </c>
      <c r="H581">
        <v>1179</v>
      </c>
      <c r="I581">
        <v>1335</v>
      </c>
      <c r="J581">
        <v>2514</v>
      </c>
      <c r="K581">
        <v>454</v>
      </c>
      <c r="L581">
        <v>644</v>
      </c>
      <c r="M581">
        <v>1098</v>
      </c>
      <c r="N581">
        <v>203</v>
      </c>
      <c r="O581">
        <v>400</v>
      </c>
      <c r="P581">
        <v>603</v>
      </c>
      <c r="Q581">
        <v>179</v>
      </c>
      <c r="R581">
        <v>333</v>
      </c>
      <c r="S581">
        <v>512</v>
      </c>
      <c r="T581">
        <v>66</v>
      </c>
      <c r="U581">
        <v>75</v>
      </c>
      <c r="V581">
        <v>141</v>
      </c>
      <c r="W581" s="1">
        <f t="shared" si="3585"/>
        <v>2386</v>
      </c>
      <c r="X581" s="1">
        <f t="shared" si="3585"/>
        <v>3025</v>
      </c>
      <c r="Y581" s="1">
        <f t="shared" si="3579"/>
        <v>5411</v>
      </c>
      <c r="Z581" s="1">
        <f t="shared" si="3586"/>
        <v>2320</v>
      </c>
      <c r="AA581" s="1">
        <f t="shared" si="3586"/>
        <v>2950</v>
      </c>
      <c r="AB581" s="1">
        <f t="shared" si="3580"/>
        <v>5270</v>
      </c>
      <c r="AC581" s="1">
        <f t="shared" si="3587"/>
        <v>2141</v>
      </c>
      <c r="AD581" s="1">
        <f t="shared" si="3587"/>
        <v>2617</v>
      </c>
      <c r="AE581" s="1">
        <f t="shared" si="3581"/>
        <v>4758</v>
      </c>
      <c r="AF581" s="2">
        <f t="shared" si="3588"/>
        <v>0.9228448275862069</v>
      </c>
      <c r="AG581" s="2">
        <f t="shared" si="3588"/>
        <v>0.88711864406779661</v>
      </c>
      <c r="AH581" s="2">
        <f t="shared" si="3588"/>
        <v>0.90284629981024667</v>
      </c>
      <c r="AI581" s="1">
        <f t="shared" si="3589"/>
        <v>1938</v>
      </c>
      <c r="AJ581" s="1">
        <f t="shared" si="3589"/>
        <v>2217</v>
      </c>
      <c r="AK581" s="1">
        <f t="shared" si="3582"/>
        <v>4155</v>
      </c>
      <c r="AL581" s="2">
        <f t="shared" si="3590"/>
        <v>0.83534482758620687</v>
      </c>
      <c r="AM581" s="2">
        <f t="shared" si="3590"/>
        <v>0.75152542372881359</v>
      </c>
      <c r="AN581" s="2">
        <f t="shared" si="3590"/>
        <v>0.7884250474383302</v>
      </c>
      <c r="AO581" s="2">
        <f t="shared" si="3591"/>
        <v>0.13146551724137931</v>
      </c>
      <c r="AP581" s="2">
        <f t="shared" si="3591"/>
        <v>8.067796610169492E-2</v>
      </c>
      <c r="AQ581" s="2">
        <f t="shared" si="3591"/>
        <v>0.1030360531309298</v>
      </c>
      <c r="AR581" s="2">
        <f t="shared" si="3583"/>
        <v>0.14353448275862069</v>
      </c>
      <c r="AS581" s="2">
        <f t="shared" si="3592"/>
        <v>0.11288135593220339</v>
      </c>
      <c r="AT581" s="2">
        <f t="shared" si="3592"/>
        <v>9.715370018975332E-2</v>
      </c>
      <c r="AU581" s="2">
        <f t="shared" si="3584"/>
        <v>2.7661357921207042E-2</v>
      </c>
      <c r="AV581" s="2">
        <f t="shared" si="3584"/>
        <v>2.4793388429752067E-2</v>
      </c>
      <c r="AW581" s="2">
        <f t="shared" si="3584"/>
        <v>2.6058029939013121E-2</v>
      </c>
    </row>
    <row r="582" spans="1:49" ht="15.75" customHeight="1" x14ac:dyDescent="0.15">
      <c r="A582" s="1">
        <v>2025</v>
      </c>
      <c r="C582" s="3" t="s">
        <v>67</v>
      </c>
      <c r="D582" t="s">
        <v>395</v>
      </c>
      <c r="E582">
        <v>27</v>
      </c>
      <c r="F582">
        <v>4</v>
      </c>
      <c r="G582">
        <v>31</v>
      </c>
      <c r="H582">
        <v>930</v>
      </c>
      <c r="I582">
        <v>302</v>
      </c>
      <c r="J582">
        <v>1232</v>
      </c>
      <c r="K582">
        <v>644</v>
      </c>
      <c r="L582">
        <v>481</v>
      </c>
      <c r="M582">
        <v>1125</v>
      </c>
      <c r="N582">
        <v>346</v>
      </c>
      <c r="O582">
        <v>827</v>
      </c>
      <c r="P582">
        <v>1173</v>
      </c>
      <c r="Q582">
        <v>465</v>
      </c>
      <c r="R582">
        <v>406</v>
      </c>
      <c r="S582">
        <v>871</v>
      </c>
      <c r="T582">
        <v>57</v>
      </c>
      <c r="U582">
        <v>31</v>
      </c>
      <c r="V582">
        <v>88</v>
      </c>
      <c r="W582" s="1">
        <f t="shared" si="3585"/>
        <v>2469</v>
      </c>
      <c r="X582" s="1">
        <f t="shared" si="3585"/>
        <v>2051</v>
      </c>
      <c r="Y582" s="1">
        <f t="shared" si="3579"/>
        <v>4520</v>
      </c>
      <c r="Z582" s="1">
        <f t="shared" si="3586"/>
        <v>2412</v>
      </c>
      <c r="AA582" s="1">
        <f t="shared" si="3586"/>
        <v>2020</v>
      </c>
      <c r="AB582" s="1">
        <f t="shared" si="3580"/>
        <v>4432</v>
      </c>
      <c r="AC582" s="1">
        <f t="shared" si="3587"/>
        <v>1947</v>
      </c>
      <c r="AD582" s="1">
        <f t="shared" si="3587"/>
        <v>1614</v>
      </c>
      <c r="AE582" s="1">
        <f t="shared" si="3581"/>
        <v>3561</v>
      </c>
      <c r="AF582" s="2">
        <f t="shared" si="3588"/>
        <v>0.80721393034825872</v>
      </c>
      <c r="AG582" s="2">
        <f t="shared" si="3588"/>
        <v>0.79900990099009905</v>
      </c>
      <c r="AH582" s="2">
        <f t="shared" si="3588"/>
        <v>0.80347472924187724</v>
      </c>
      <c r="AI582" s="1">
        <f t="shared" si="3589"/>
        <v>1601</v>
      </c>
      <c r="AJ582" s="1">
        <f t="shared" si="3589"/>
        <v>787</v>
      </c>
      <c r="AK582" s="1">
        <f t="shared" si="3582"/>
        <v>2388</v>
      </c>
      <c r="AL582" s="2">
        <f t="shared" si="3590"/>
        <v>0.6637645107794361</v>
      </c>
      <c r="AM582" s="2">
        <f t="shared" si="3590"/>
        <v>0.38960396039603962</v>
      </c>
      <c r="AN582" s="2">
        <f t="shared" si="3590"/>
        <v>0.53880866425992779</v>
      </c>
      <c r="AO582" s="2">
        <f t="shared" si="3591"/>
        <v>1.1194029850746268E-2</v>
      </c>
      <c r="AP582" s="2">
        <f t="shared" si="3591"/>
        <v>1.9801980198019802E-3</v>
      </c>
      <c r="AQ582" s="2">
        <f t="shared" si="3591"/>
        <v>6.994584837545126E-3</v>
      </c>
      <c r="AR582" s="2">
        <f t="shared" si="3583"/>
        <v>0.16832504145936983</v>
      </c>
      <c r="AS582" s="2">
        <f t="shared" si="3592"/>
        <v>0.200990099009901</v>
      </c>
      <c r="AT582" s="2">
        <f t="shared" si="3592"/>
        <v>0.19652527075812273</v>
      </c>
      <c r="AU582" s="2">
        <f t="shared" si="3584"/>
        <v>2.3086269744835967E-2</v>
      </c>
      <c r="AV582" s="2">
        <f t="shared" si="3584"/>
        <v>1.5114578254509995E-2</v>
      </c>
      <c r="AW582" s="2">
        <f t="shared" si="3584"/>
        <v>1.9469026548672566E-2</v>
      </c>
    </row>
    <row r="583" spans="1:49" ht="15.75" customHeight="1" x14ac:dyDescent="0.15">
      <c r="A583" s="1">
        <v>2025</v>
      </c>
      <c r="D583" t="s">
        <v>396</v>
      </c>
      <c r="E583">
        <v>96</v>
      </c>
      <c r="F583">
        <v>69</v>
      </c>
      <c r="G583">
        <v>165</v>
      </c>
      <c r="H583">
        <v>370</v>
      </c>
      <c r="I583">
        <v>451</v>
      </c>
      <c r="J583">
        <v>821</v>
      </c>
      <c r="K583">
        <v>146</v>
      </c>
      <c r="L583">
        <v>192</v>
      </c>
      <c r="M583">
        <v>338</v>
      </c>
      <c r="N583">
        <v>49</v>
      </c>
      <c r="O583">
        <v>106</v>
      </c>
      <c r="P583">
        <v>155</v>
      </c>
      <c r="Q583">
        <v>45</v>
      </c>
      <c r="R583">
        <v>54</v>
      </c>
      <c r="S583">
        <v>99</v>
      </c>
      <c r="T583">
        <v>12</v>
      </c>
      <c r="U583">
        <v>10</v>
      </c>
      <c r="V583">
        <v>22</v>
      </c>
      <c r="W583" s="1">
        <f t="shared" si="3585"/>
        <v>718</v>
      </c>
      <c r="X583" s="1">
        <f t="shared" si="3585"/>
        <v>882</v>
      </c>
      <c r="Y583" s="1">
        <f t="shared" si="3579"/>
        <v>1600</v>
      </c>
      <c r="Z583" s="1">
        <f t="shared" si="3586"/>
        <v>706</v>
      </c>
      <c r="AA583" s="1">
        <f t="shared" si="3586"/>
        <v>872</v>
      </c>
      <c r="AB583" s="1">
        <f t="shared" si="3580"/>
        <v>1578</v>
      </c>
      <c r="AC583" s="1">
        <f t="shared" si="3587"/>
        <v>661</v>
      </c>
      <c r="AD583" s="1">
        <f t="shared" si="3587"/>
        <v>818</v>
      </c>
      <c r="AE583" s="1">
        <f t="shared" si="3581"/>
        <v>1479</v>
      </c>
      <c r="AF583" s="2">
        <f t="shared" si="3588"/>
        <v>0.9362606232294618</v>
      </c>
      <c r="AG583" s="2">
        <f t="shared" si="3588"/>
        <v>0.93807339449541283</v>
      </c>
      <c r="AH583" s="2">
        <f t="shared" si="3588"/>
        <v>0.93726235741444863</v>
      </c>
      <c r="AI583" s="1">
        <f t="shared" si="3589"/>
        <v>612</v>
      </c>
      <c r="AJ583" s="1">
        <f t="shared" si="3589"/>
        <v>712</v>
      </c>
      <c r="AK583" s="1">
        <f t="shared" si="3582"/>
        <v>1324</v>
      </c>
      <c r="AL583" s="2">
        <f t="shared" si="3590"/>
        <v>0.86685552407932009</v>
      </c>
      <c r="AM583" s="2">
        <f t="shared" si="3590"/>
        <v>0.8165137614678899</v>
      </c>
      <c r="AN583" s="2">
        <f t="shared" si="3590"/>
        <v>0.8390367553865653</v>
      </c>
      <c r="AO583" s="2">
        <f t="shared" si="3591"/>
        <v>0.1359773371104816</v>
      </c>
      <c r="AP583" s="2">
        <f t="shared" si="3591"/>
        <v>7.9128440366972475E-2</v>
      </c>
      <c r="AQ583" s="2">
        <f t="shared" si="3591"/>
        <v>0.10456273764258556</v>
      </c>
      <c r="AR583" s="2">
        <f t="shared" si="3583"/>
        <v>7.6487252124645896E-2</v>
      </c>
      <c r="AS583" s="2">
        <f t="shared" si="3592"/>
        <v>6.1926605504587159E-2</v>
      </c>
      <c r="AT583" s="2">
        <f t="shared" si="3592"/>
        <v>6.2737642585551326E-2</v>
      </c>
      <c r="AU583" s="2">
        <f t="shared" si="3584"/>
        <v>1.6713091922005572E-2</v>
      </c>
      <c r="AV583" s="2">
        <f t="shared" si="3584"/>
        <v>1.1337868480725623E-2</v>
      </c>
      <c r="AW583" s="2">
        <f t="shared" si="3584"/>
        <v>1.375E-2</v>
      </c>
    </row>
    <row r="584" spans="1:49" ht="15.75" customHeight="1" x14ac:dyDescent="0.15">
      <c r="A584" s="1">
        <v>2025</v>
      </c>
      <c r="D584" t="s">
        <v>397</v>
      </c>
      <c r="E584">
        <v>248</v>
      </c>
      <c r="F584">
        <v>203</v>
      </c>
      <c r="G584">
        <v>451</v>
      </c>
      <c r="H584">
        <v>1729</v>
      </c>
      <c r="I584">
        <v>1646</v>
      </c>
      <c r="J584">
        <v>3375</v>
      </c>
      <c r="K584">
        <v>1202</v>
      </c>
      <c r="L584">
        <v>1184</v>
      </c>
      <c r="M584">
        <v>2386</v>
      </c>
      <c r="N584">
        <v>564</v>
      </c>
      <c r="O584">
        <v>735</v>
      </c>
      <c r="P584">
        <v>1299</v>
      </c>
      <c r="Q584">
        <v>441</v>
      </c>
      <c r="R584">
        <v>576</v>
      </c>
      <c r="S584">
        <v>1017</v>
      </c>
      <c r="T584">
        <v>49</v>
      </c>
      <c r="U584">
        <v>74</v>
      </c>
      <c r="V584">
        <v>123</v>
      </c>
      <c r="W584" s="1">
        <f t="shared" si="3585"/>
        <v>4233</v>
      </c>
      <c r="X584" s="1">
        <f t="shared" si="3585"/>
        <v>4418</v>
      </c>
      <c r="Y584" s="1">
        <f t="shared" si="3579"/>
        <v>8651</v>
      </c>
      <c r="Z584" s="1">
        <f t="shared" si="3586"/>
        <v>4184</v>
      </c>
      <c r="AA584" s="1">
        <f t="shared" si="3586"/>
        <v>4344</v>
      </c>
      <c r="AB584" s="1">
        <f t="shared" si="3580"/>
        <v>8528</v>
      </c>
      <c r="AC584" s="1">
        <f t="shared" si="3587"/>
        <v>3743</v>
      </c>
      <c r="AD584" s="1">
        <f t="shared" si="3587"/>
        <v>3768</v>
      </c>
      <c r="AE584" s="1">
        <f t="shared" si="3581"/>
        <v>7511</v>
      </c>
      <c r="AF584" s="2">
        <f t="shared" si="3588"/>
        <v>0.89459847036328877</v>
      </c>
      <c r="AG584" s="2">
        <f t="shared" si="3588"/>
        <v>0.86740331491712708</v>
      </c>
      <c r="AH584" s="2">
        <f t="shared" si="3588"/>
        <v>0.88074577861163228</v>
      </c>
      <c r="AI584" s="1">
        <f t="shared" si="3589"/>
        <v>3179</v>
      </c>
      <c r="AJ584" s="1">
        <f t="shared" si="3589"/>
        <v>3033</v>
      </c>
      <c r="AK584" s="1">
        <f t="shared" si="3582"/>
        <v>6212</v>
      </c>
      <c r="AL584" s="2">
        <f t="shared" si="3590"/>
        <v>0.75979923518164438</v>
      </c>
      <c r="AM584" s="2">
        <f t="shared" si="3590"/>
        <v>0.69820441988950277</v>
      </c>
      <c r="AN584" s="2">
        <f t="shared" si="3590"/>
        <v>0.72842401500938081</v>
      </c>
      <c r="AO584" s="2">
        <f t="shared" si="3591"/>
        <v>5.9273422562141492E-2</v>
      </c>
      <c r="AP584" s="2">
        <f t="shared" si="3591"/>
        <v>4.6731123388581951E-2</v>
      </c>
      <c r="AQ584" s="2">
        <f t="shared" si="3591"/>
        <v>5.2884615384615384E-2</v>
      </c>
      <c r="AR584" s="2">
        <f t="shared" si="3583"/>
        <v>0.13766730401529637</v>
      </c>
      <c r="AS584" s="2">
        <f t="shared" si="3592"/>
        <v>0.13259668508287292</v>
      </c>
      <c r="AT584" s="2">
        <f t="shared" si="3592"/>
        <v>0.11925422138836773</v>
      </c>
      <c r="AU584" s="2">
        <f t="shared" si="3584"/>
        <v>1.1575714623198678E-2</v>
      </c>
      <c r="AV584" s="2">
        <f t="shared" si="3584"/>
        <v>1.6749660479855138E-2</v>
      </c>
      <c r="AW584" s="2">
        <f t="shared" si="3584"/>
        <v>1.4218009478672985E-2</v>
      </c>
    </row>
    <row r="585" spans="1:49" ht="15.75" customHeight="1" x14ac:dyDescent="0.15">
      <c r="A585" s="1">
        <v>2025</v>
      </c>
      <c r="D585" t="s">
        <v>398</v>
      </c>
      <c r="E585">
        <v>4705</v>
      </c>
      <c r="F585">
        <v>4328</v>
      </c>
      <c r="G585">
        <v>9033</v>
      </c>
      <c r="H585">
        <v>10464</v>
      </c>
      <c r="I585">
        <v>12148</v>
      </c>
      <c r="J585">
        <v>22612</v>
      </c>
      <c r="K585">
        <v>2423</v>
      </c>
      <c r="L585">
        <v>2988</v>
      </c>
      <c r="M585">
        <v>5411</v>
      </c>
      <c r="N585">
        <v>1035</v>
      </c>
      <c r="O585">
        <v>1408</v>
      </c>
      <c r="P585">
        <v>2443</v>
      </c>
      <c r="Q585">
        <v>813</v>
      </c>
      <c r="R585">
        <v>895</v>
      </c>
      <c r="S585">
        <v>1708</v>
      </c>
      <c r="T585">
        <v>229</v>
      </c>
      <c r="U585">
        <v>223</v>
      </c>
      <c r="V585">
        <v>452</v>
      </c>
      <c r="W585" s="1">
        <f t="shared" si="3585"/>
        <v>19669</v>
      </c>
      <c r="X585" s="1">
        <f t="shared" si="3585"/>
        <v>21990</v>
      </c>
      <c r="Y585" s="1">
        <f t="shared" si="3579"/>
        <v>41659</v>
      </c>
      <c r="Z585" s="1">
        <f t="shared" si="3586"/>
        <v>19440</v>
      </c>
      <c r="AA585" s="1">
        <f t="shared" si="3586"/>
        <v>21767</v>
      </c>
      <c r="AB585" s="1">
        <f t="shared" si="3580"/>
        <v>41207</v>
      </c>
      <c r="AC585" s="1">
        <f t="shared" si="3587"/>
        <v>18627</v>
      </c>
      <c r="AD585" s="1">
        <f t="shared" si="3587"/>
        <v>20872</v>
      </c>
      <c r="AE585" s="1">
        <f t="shared" si="3581"/>
        <v>39499</v>
      </c>
      <c r="AF585" s="2">
        <f t="shared" si="3588"/>
        <v>0.95817901234567904</v>
      </c>
      <c r="AG585" s="2">
        <f t="shared" si="3588"/>
        <v>0.95888271236275091</v>
      </c>
      <c r="AH585" s="2">
        <f t="shared" si="3588"/>
        <v>0.95855073167180338</v>
      </c>
      <c r="AI585" s="1">
        <f t="shared" si="3589"/>
        <v>17592</v>
      </c>
      <c r="AJ585" s="1">
        <f t="shared" si="3589"/>
        <v>19464</v>
      </c>
      <c r="AK585" s="1">
        <f t="shared" si="3582"/>
        <v>37056</v>
      </c>
      <c r="AL585" s="2">
        <f t="shared" si="3590"/>
        <v>0.90493827160493823</v>
      </c>
      <c r="AM585" s="2">
        <f t="shared" si="3590"/>
        <v>0.89419763862727986</v>
      </c>
      <c r="AN585" s="2">
        <f t="shared" si="3590"/>
        <v>0.89926468803844006</v>
      </c>
      <c r="AO585" s="2">
        <f t="shared" si="3591"/>
        <v>0.24202674897119342</v>
      </c>
      <c r="AP585" s="2">
        <f t="shared" si="3591"/>
        <v>0.19883309597096521</v>
      </c>
      <c r="AQ585" s="2">
        <f t="shared" si="3591"/>
        <v>0.21921032834227194</v>
      </c>
      <c r="AR585" s="2">
        <f t="shared" si="3583"/>
        <v>4.603909465020576E-2</v>
      </c>
      <c r="AS585" s="2">
        <f t="shared" si="3592"/>
        <v>4.1117287637249048E-2</v>
      </c>
      <c r="AT585" s="2">
        <f t="shared" si="3592"/>
        <v>4.1449268328196669E-2</v>
      </c>
      <c r="AU585" s="2">
        <f t="shared" si="3584"/>
        <v>1.1642686460928364E-2</v>
      </c>
      <c r="AV585" s="2">
        <f t="shared" si="3584"/>
        <v>1.0140973169622555E-2</v>
      </c>
      <c r="AW585" s="2">
        <f t="shared" si="3584"/>
        <v>1.0849996399337479E-2</v>
      </c>
    </row>
    <row r="586" spans="1:49" ht="15.75" customHeight="1" x14ac:dyDescent="0.15">
      <c r="A586" s="1">
        <v>2025</v>
      </c>
      <c r="C586" s="3" t="s">
        <v>67</v>
      </c>
      <c r="D586" t="s">
        <v>399</v>
      </c>
      <c r="E586">
        <v>44</v>
      </c>
      <c r="F586">
        <v>18</v>
      </c>
      <c r="G586">
        <v>62</v>
      </c>
      <c r="H586">
        <v>1264</v>
      </c>
      <c r="I586">
        <v>683</v>
      </c>
      <c r="J586">
        <v>1947</v>
      </c>
      <c r="K586">
        <v>1130</v>
      </c>
      <c r="L586">
        <v>751</v>
      </c>
      <c r="M586">
        <v>1881</v>
      </c>
      <c r="N586">
        <v>476</v>
      </c>
      <c r="O586">
        <v>379</v>
      </c>
      <c r="P586">
        <v>855</v>
      </c>
      <c r="Q586">
        <v>493</v>
      </c>
      <c r="R586">
        <v>525</v>
      </c>
      <c r="S586">
        <v>1018</v>
      </c>
      <c r="T586">
        <v>65</v>
      </c>
      <c r="U586">
        <v>62</v>
      </c>
      <c r="V586">
        <v>127</v>
      </c>
      <c r="W586" s="1">
        <f t="shared" si="3585"/>
        <v>3472</v>
      </c>
      <c r="X586" s="1">
        <f t="shared" si="3585"/>
        <v>2418</v>
      </c>
      <c r="Y586" s="1">
        <f t="shared" si="3579"/>
        <v>5890</v>
      </c>
      <c r="Z586" s="1">
        <f t="shared" si="3586"/>
        <v>3407</v>
      </c>
      <c r="AA586" s="1">
        <f t="shared" si="3586"/>
        <v>2356</v>
      </c>
      <c r="AB586" s="1">
        <f t="shared" si="3580"/>
        <v>5763</v>
      </c>
      <c r="AC586" s="1">
        <f t="shared" si="3587"/>
        <v>2914</v>
      </c>
      <c r="AD586" s="1">
        <f t="shared" si="3587"/>
        <v>1831</v>
      </c>
      <c r="AE586" s="1">
        <f t="shared" si="3581"/>
        <v>4745</v>
      </c>
      <c r="AF586" s="2">
        <f t="shared" si="3588"/>
        <v>0.85529791605518046</v>
      </c>
      <c r="AG586" s="2">
        <f t="shared" si="3588"/>
        <v>0.77716468590831922</v>
      </c>
      <c r="AH586" s="2">
        <f t="shared" si="3588"/>
        <v>0.82335589102897799</v>
      </c>
      <c r="AI586" s="1">
        <f t="shared" si="3589"/>
        <v>2438</v>
      </c>
      <c r="AJ586" s="1">
        <f t="shared" si="3589"/>
        <v>1452</v>
      </c>
      <c r="AK586" s="1">
        <f t="shared" si="3582"/>
        <v>3890</v>
      </c>
      <c r="AL586" s="2">
        <f t="shared" si="3590"/>
        <v>0.71558555914294097</v>
      </c>
      <c r="AM586" s="2">
        <f t="shared" si="3590"/>
        <v>0.61629881154499155</v>
      </c>
      <c r="AN586" s="2">
        <f t="shared" si="3590"/>
        <v>0.67499566198160676</v>
      </c>
      <c r="AO586" s="2">
        <f t="shared" si="3591"/>
        <v>1.2914587613736424E-2</v>
      </c>
      <c r="AP586" s="2">
        <f t="shared" si="3591"/>
        <v>7.6400679117147709E-3</v>
      </c>
      <c r="AQ586" s="2">
        <f t="shared" si="3591"/>
        <v>1.0758285615131008E-2</v>
      </c>
      <c r="AR586" s="2">
        <f t="shared" si="3583"/>
        <v>0.15409451130026416</v>
      </c>
      <c r="AS586" s="2">
        <f t="shared" si="3592"/>
        <v>0.22283531409168081</v>
      </c>
      <c r="AT586" s="2">
        <f t="shared" si="3592"/>
        <v>0.17664410897102203</v>
      </c>
      <c r="AU586" s="2">
        <f t="shared" si="3584"/>
        <v>1.8721198156682026E-2</v>
      </c>
      <c r="AV586" s="2">
        <f t="shared" si="3584"/>
        <v>2.564102564102564E-2</v>
      </c>
      <c r="AW586" s="2">
        <f t="shared" si="3584"/>
        <v>2.1561969439728355E-2</v>
      </c>
    </row>
    <row r="587" spans="1:49" ht="15.75" customHeight="1" x14ac:dyDescent="0.15">
      <c r="A587" s="1">
        <v>2025</v>
      </c>
      <c r="C587" s="3" t="s">
        <v>67</v>
      </c>
      <c r="D587" t="s">
        <v>400</v>
      </c>
      <c r="E587">
        <v>20</v>
      </c>
      <c r="F587">
        <v>5</v>
      </c>
      <c r="G587">
        <v>25</v>
      </c>
      <c r="H587">
        <v>415</v>
      </c>
      <c r="I587">
        <v>220</v>
      </c>
      <c r="J587">
        <v>635</v>
      </c>
      <c r="K587">
        <v>612</v>
      </c>
      <c r="L587">
        <v>396</v>
      </c>
      <c r="M587">
        <v>1008</v>
      </c>
      <c r="N587">
        <v>297</v>
      </c>
      <c r="O587">
        <v>162</v>
      </c>
      <c r="P587">
        <v>459</v>
      </c>
      <c r="Q587">
        <v>356</v>
      </c>
      <c r="R587">
        <v>254</v>
      </c>
      <c r="S587">
        <v>610</v>
      </c>
      <c r="T587">
        <v>20</v>
      </c>
      <c r="U587">
        <v>11</v>
      </c>
      <c r="V587">
        <v>31</v>
      </c>
      <c r="W587" s="1">
        <f t="shared" si="3585"/>
        <v>1720</v>
      </c>
      <c r="X587" s="1">
        <f t="shared" si="3585"/>
        <v>1048</v>
      </c>
      <c r="Y587" s="1">
        <f t="shared" si="3579"/>
        <v>2768</v>
      </c>
      <c r="Z587" s="1">
        <f t="shared" si="3586"/>
        <v>1700</v>
      </c>
      <c r="AA587" s="1">
        <f t="shared" si="3586"/>
        <v>1037</v>
      </c>
      <c r="AB587" s="1">
        <f t="shared" si="3580"/>
        <v>2737</v>
      </c>
      <c r="AC587" s="1">
        <f t="shared" si="3587"/>
        <v>1344</v>
      </c>
      <c r="AD587" s="1">
        <f t="shared" si="3587"/>
        <v>783</v>
      </c>
      <c r="AE587" s="1">
        <f t="shared" si="3581"/>
        <v>2127</v>
      </c>
      <c r="AF587" s="2">
        <f t="shared" si="3588"/>
        <v>0.79058823529411759</v>
      </c>
      <c r="AG587" s="2">
        <f t="shared" si="3588"/>
        <v>0.75506268081002892</v>
      </c>
      <c r="AH587" s="2">
        <f t="shared" si="3588"/>
        <v>0.77712824260138835</v>
      </c>
      <c r="AI587" s="1">
        <f t="shared" si="3589"/>
        <v>1047</v>
      </c>
      <c r="AJ587" s="1">
        <f t="shared" si="3589"/>
        <v>621</v>
      </c>
      <c r="AK587" s="1">
        <f t="shared" si="3582"/>
        <v>1668</v>
      </c>
      <c r="AL587" s="2">
        <f t="shared" si="3590"/>
        <v>0.61588235294117644</v>
      </c>
      <c r="AM587" s="2">
        <f t="shared" si="3590"/>
        <v>0.59884281581485055</v>
      </c>
      <c r="AN587" s="2">
        <f t="shared" si="3590"/>
        <v>0.6094263792473511</v>
      </c>
      <c r="AO587" s="2">
        <f t="shared" si="3591"/>
        <v>1.1764705882352941E-2</v>
      </c>
      <c r="AP587" s="2">
        <f t="shared" si="3591"/>
        <v>4.8216007714561235E-3</v>
      </c>
      <c r="AQ587" s="2">
        <f t="shared" si="3591"/>
        <v>9.1340884179758868E-3</v>
      </c>
      <c r="AR587" s="2">
        <f t="shared" si="3583"/>
        <v>0.14941176470588236</v>
      </c>
      <c r="AS587" s="2">
        <f t="shared" si="3592"/>
        <v>0.24493731918997108</v>
      </c>
      <c r="AT587" s="2">
        <f t="shared" si="3592"/>
        <v>0.22287175739861162</v>
      </c>
      <c r="AU587" s="2">
        <f t="shared" si="3584"/>
        <v>1.1627906976744186E-2</v>
      </c>
      <c r="AV587" s="2">
        <f t="shared" si="3584"/>
        <v>1.049618320610687E-2</v>
      </c>
      <c r="AW587" s="2">
        <f t="shared" si="3584"/>
        <v>1.1199421965317919E-2</v>
      </c>
    </row>
  </sheetData>
  <autoFilter ref="A1:AW587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/>
  </sheetViews>
  <sheetFormatPr baseColWidth="10" defaultColWidth="12.6640625" defaultRowHeight="15.75" customHeight="1" x14ac:dyDescent="0.15"/>
  <cols>
    <col min="1" max="1" width="4.6640625" customWidth="1"/>
    <col min="2" max="2" width="22.1640625" customWidth="1"/>
    <col min="3" max="3" width="15.1640625" customWidth="1"/>
    <col min="4" max="4" width="11.83203125" customWidth="1"/>
    <col min="5" max="5" width="15.1640625" customWidth="1"/>
    <col min="6" max="6" width="13.33203125" customWidth="1"/>
    <col min="7" max="7" width="15.1640625" customWidth="1"/>
    <col min="8" max="8" width="13.33203125" customWidth="1"/>
    <col min="9" max="9" width="15.1640625" customWidth="1"/>
    <col min="10" max="10" width="13.33203125" customWidth="1"/>
    <col min="11" max="11" width="15.5" customWidth="1"/>
    <col min="12" max="12" width="13.6640625" customWidth="1"/>
    <col min="13" max="13" width="13.1640625" customWidth="1"/>
    <col min="14" max="14" width="11.1640625" customWidth="1"/>
    <col min="15" max="15" width="14.1640625" customWidth="1"/>
    <col min="16" max="17" width="14" customWidth="1"/>
    <col min="18" max="18" width="8.6640625" customWidth="1"/>
    <col min="19" max="19" width="8.33203125" customWidth="1"/>
    <col min="20" max="20" width="8.5" customWidth="1"/>
    <col min="21" max="21" width="11.6640625" customWidth="1"/>
    <col min="22" max="23" width="11.5" customWidth="1"/>
    <col min="24" max="24" width="20.1640625" customWidth="1"/>
    <col min="25" max="25" width="20" customWidth="1"/>
    <col min="26" max="26" width="20.1640625" customWidth="1"/>
  </cols>
  <sheetData>
    <row r="1" spans="1:26" ht="15.75" customHeight="1" x14ac:dyDescent="0.15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34</v>
      </c>
      <c r="Y1" s="1" t="s">
        <v>35</v>
      </c>
      <c r="Z1" s="1" t="s">
        <v>36</v>
      </c>
    </row>
    <row r="2" spans="1:26" ht="15.75" customHeight="1" x14ac:dyDescent="0.15">
      <c r="A2" s="1">
        <v>2024</v>
      </c>
      <c r="B2" s="1" t="s">
        <v>217</v>
      </c>
      <c r="C2" s="1">
        <v>0</v>
      </c>
      <c r="D2" s="1">
        <v>3</v>
      </c>
      <c r="E2" s="1">
        <v>7</v>
      </c>
      <c r="F2" s="1">
        <v>13</v>
      </c>
      <c r="G2" s="1">
        <v>2</v>
      </c>
      <c r="H2" s="1">
        <v>4</v>
      </c>
      <c r="I2" s="1">
        <v>1</v>
      </c>
      <c r="J2" s="1">
        <v>4</v>
      </c>
      <c r="K2" s="1">
        <v>0</v>
      </c>
      <c r="L2" s="1">
        <v>1</v>
      </c>
      <c r="M2" s="1">
        <v>0</v>
      </c>
      <c r="N2" s="1">
        <v>0</v>
      </c>
      <c r="O2" s="1">
        <v>25</v>
      </c>
      <c r="P2" s="1">
        <v>10</v>
      </c>
      <c r="Q2" s="1">
        <v>35</v>
      </c>
      <c r="R2" s="1">
        <v>25</v>
      </c>
      <c r="S2" s="1">
        <v>10</v>
      </c>
      <c r="T2" s="1">
        <v>35</v>
      </c>
      <c r="U2" s="1">
        <v>24</v>
      </c>
      <c r="V2" s="1">
        <v>10</v>
      </c>
      <c r="W2" s="1">
        <v>34</v>
      </c>
      <c r="X2" s="1">
        <v>20</v>
      </c>
      <c r="Y2" s="1">
        <v>9</v>
      </c>
      <c r="Z2" s="1">
        <v>29</v>
      </c>
    </row>
    <row r="3" spans="1:26" ht="15.75" customHeight="1" x14ac:dyDescent="0.15">
      <c r="A3" s="1">
        <v>2024</v>
      </c>
      <c r="B3" s="1" t="s">
        <v>218</v>
      </c>
      <c r="C3" s="1">
        <v>26</v>
      </c>
      <c r="D3" s="1">
        <v>38</v>
      </c>
      <c r="E3" s="1">
        <v>161</v>
      </c>
      <c r="F3" s="1">
        <v>196</v>
      </c>
      <c r="G3" s="1">
        <v>55</v>
      </c>
      <c r="H3" s="1">
        <v>47</v>
      </c>
      <c r="I3" s="1">
        <v>36</v>
      </c>
      <c r="J3" s="1">
        <v>29</v>
      </c>
      <c r="K3" s="1">
        <v>38</v>
      </c>
      <c r="L3" s="1">
        <v>22</v>
      </c>
      <c r="M3" s="1">
        <v>2</v>
      </c>
      <c r="N3" s="1">
        <v>1</v>
      </c>
      <c r="O3" s="1">
        <v>333</v>
      </c>
      <c r="P3" s="1">
        <v>318</v>
      </c>
      <c r="Q3" s="1">
        <v>651</v>
      </c>
      <c r="R3" s="1">
        <v>332</v>
      </c>
      <c r="S3" s="1">
        <v>316</v>
      </c>
      <c r="T3" s="1">
        <v>648</v>
      </c>
      <c r="U3" s="1">
        <v>310</v>
      </c>
      <c r="V3" s="1">
        <v>278</v>
      </c>
      <c r="W3" s="1">
        <v>588</v>
      </c>
      <c r="X3" s="1">
        <v>281</v>
      </c>
      <c r="Y3" s="1">
        <v>242</v>
      </c>
      <c r="Z3" s="1">
        <v>523</v>
      </c>
    </row>
    <row r="4" spans="1:26" ht="15.75" customHeight="1" x14ac:dyDescent="0.15">
      <c r="A4" s="1">
        <v>2024</v>
      </c>
      <c r="B4" s="1" t="s">
        <v>219</v>
      </c>
      <c r="C4" s="1">
        <v>1</v>
      </c>
      <c r="D4" s="1">
        <v>2</v>
      </c>
      <c r="E4" s="1">
        <v>44</v>
      </c>
      <c r="F4" s="1">
        <v>38</v>
      </c>
      <c r="G4" s="1">
        <v>27</v>
      </c>
      <c r="H4" s="1">
        <v>35</v>
      </c>
      <c r="I4" s="1">
        <v>30</v>
      </c>
      <c r="J4" s="1">
        <v>38</v>
      </c>
      <c r="K4" s="1">
        <v>30</v>
      </c>
      <c r="L4" s="1">
        <v>36</v>
      </c>
      <c r="M4" s="1">
        <v>4</v>
      </c>
      <c r="N4" s="1">
        <v>2</v>
      </c>
      <c r="O4" s="1">
        <v>151</v>
      </c>
      <c r="P4" s="1">
        <v>136</v>
      </c>
      <c r="Q4" s="1">
        <v>287</v>
      </c>
      <c r="R4" s="1">
        <v>149</v>
      </c>
      <c r="S4" s="1">
        <v>132</v>
      </c>
      <c r="T4" s="1">
        <v>281</v>
      </c>
      <c r="U4" s="1">
        <v>113</v>
      </c>
      <c r="V4" s="1">
        <v>102</v>
      </c>
      <c r="W4" s="1">
        <v>215</v>
      </c>
      <c r="X4" s="1">
        <v>75</v>
      </c>
      <c r="Y4" s="1">
        <v>72</v>
      </c>
      <c r="Z4" s="1">
        <v>147</v>
      </c>
    </row>
    <row r="5" spans="1:26" ht="15.75" customHeight="1" x14ac:dyDescent="0.15">
      <c r="A5" s="1">
        <v>2024</v>
      </c>
      <c r="B5" s="1" t="s">
        <v>220</v>
      </c>
      <c r="C5" s="1">
        <v>0</v>
      </c>
      <c r="D5" s="1">
        <v>4</v>
      </c>
      <c r="E5" s="1">
        <v>13</v>
      </c>
      <c r="F5" s="1">
        <v>23</v>
      </c>
      <c r="G5" s="1">
        <v>7</v>
      </c>
      <c r="H5" s="1">
        <v>3</v>
      </c>
      <c r="I5" s="1">
        <v>2</v>
      </c>
      <c r="J5" s="1">
        <v>1</v>
      </c>
      <c r="K5" s="1">
        <v>1</v>
      </c>
      <c r="L5" s="1">
        <v>2</v>
      </c>
      <c r="M5" s="1">
        <v>0</v>
      </c>
      <c r="N5" s="1">
        <v>1</v>
      </c>
      <c r="O5" s="1">
        <v>34</v>
      </c>
      <c r="P5" s="1">
        <v>23</v>
      </c>
      <c r="Q5" s="1">
        <v>57</v>
      </c>
      <c r="R5" s="1">
        <v>33</v>
      </c>
      <c r="S5" s="1">
        <v>23</v>
      </c>
      <c r="T5" s="1">
        <v>56</v>
      </c>
      <c r="U5" s="1">
        <v>31</v>
      </c>
      <c r="V5" s="1">
        <v>22</v>
      </c>
      <c r="W5" s="1">
        <v>53</v>
      </c>
      <c r="X5" s="1">
        <v>30</v>
      </c>
      <c r="Y5" s="1">
        <v>20</v>
      </c>
      <c r="Z5" s="1">
        <v>50</v>
      </c>
    </row>
    <row r="6" spans="1:26" ht="15.75" customHeight="1" x14ac:dyDescent="0.15">
      <c r="A6" s="1">
        <v>2024</v>
      </c>
      <c r="B6" s="1" t="s">
        <v>221</v>
      </c>
      <c r="C6" s="1">
        <v>16</v>
      </c>
      <c r="D6" s="1">
        <v>35</v>
      </c>
      <c r="E6" s="1">
        <v>335</v>
      </c>
      <c r="F6" s="1">
        <v>416</v>
      </c>
      <c r="G6" s="1">
        <v>90</v>
      </c>
      <c r="H6" s="1">
        <v>88</v>
      </c>
      <c r="I6" s="1">
        <v>29</v>
      </c>
      <c r="J6" s="1">
        <v>26</v>
      </c>
      <c r="K6" s="1">
        <v>6</v>
      </c>
      <c r="L6" s="1">
        <v>6</v>
      </c>
      <c r="M6" s="1">
        <v>8</v>
      </c>
      <c r="N6" s="1">
        <v>6</v>
      </c>
      <c r="O6" s="1">
        <v>577</v>
      </c>
      <c r="P6" s="1">
        <v>484</v>
      </c>
      <c r="Q6" s="1">
        <v>1061</v>
      </c>
      <c r="R6" s="1">
        <v>571</v>
      </c>
      <c r="S6" s="1">
        <v>476</v>
      </c>
      <c r="T6" s="1">
        <v>1047</v>
      </c>
      <c r="U6" s="1">
        <v>565</v>
      </c>
      <c r="V6" s="1">
        <v>470</v>
      </c>
      <c r="W6" s="1">
        <v>1035</v>
      </c>
      <c r="X6" s="1">
        <v>539</v>
      </c>
      <c r="Y6" s="1">
        <v>441</v>
      </c>
      <c r="Z6" s="1">
        <v>980</v>
      </c>
    </row>
    <row r="7" spans="1:26" ht="15.75" customHeight="1" x14ac:dyDescent="0.15">
      <c r="A7" s="1">
        <v>2024</v>
      </c>
      <c r="B7" s="1" t="s">
        <v>222</v>
      </c>
      <c r="C7" s="1">
        <v>25</v>
      </c>
      <c r="D7" s="1">
        <v>31</v>
      </c>
      <c r="E7" s="1">
        <v>226</v>
      </c>
      <c r="F7" s="1">
        <v>241</v>
      </c>
      <c r="G7" s="1">
        <v>155</v>
      </c>
      <c r="H7" s="1">
        <v>114</v>
      </c>
      <c r="I7" s="1">
        <v>85</v>
      </c>
      <c r="J7" s="1">
        <v>90</v>
      </c>
      <c r="K7" s="1">
        <v>121</v>
      </c>
      <c r="L7" s="1">
        <v>125</v>
      </c>
      <c r="M7" s="1">
        <v>12</v>
      </c>
      <c r="N7" s="1">
        <v>12</v>
      </c>
      <c r="O7" s="1">
        <v>613</v>
      </c>
      <c r="P7" s="1">
        <v>624</v>
      </c>
      <c r="Q7" s="1">
        <v>1237</v>
      </c>
      <c r="R7" s="1">
        <v>601</v>
      </c>
      <c r="S7" s="1">
        <v>612</v>
      </c>
      <c r="T7" s="1">
        <v>1213</v>
      </c>
      <c r="U7" s="1">
        <v>476</v>
      </c>
      <c r="V7" s="1">
        <v>491</v>
      </c>
      <c r="W7" s="1">
        <v>967</v>
      </c>
      <c r="X7" s="1">
        <v>386</v>
      </c>
      <c r="Y7" s="1">
        <v>406</v>
      </c>
      <c r="Z7" s="1">
        <v>792</v>
      </c>
    </row>
    <row r="8" spans="1:26" ht="15.75" customHeight="1" x14ac:dyDescent="0.15">
      <c r="A8" s="1">
        <v>2023</v>
      </c>
      <c r="B8" s="1" t="s">
        <v>217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 ht="15.75" customHeight="1" x14ac:dyDescent="0.15">
      <c r="A9" s="1">
        <v>2023</v>
      </c>
      <c r="B9" s="1" t="s">
        <v>218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ht="15.75" customHeight="1" x14ac:dyDescent="0.15">
      <c r="A10" s="1">
        <v>2023</v>
      </c>
      <c r="B10" s="1" t="s">
        <v>219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ht="15.75" customHeight="1" x14ac:dyDescent="0.15">
      <c r="A11" s="1">
        <v>2023</v>
      </c>
      <c r="B11" s="1" t="s">
        <v>220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ht="15.75" customHeight="1" x14ac:dyDescent="0.15">
      <c r="A12" s="1">
        <v>2023</v>
      </c>
      <c r="B12" s="1" t="s">
        <v>221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ht="15.75" customHeight="1" x14ac:dyDescent="0.15">
      <c r="A13" s="1">
        <v>2023</v>
      </c>
      <c r="B13" s="1" t="s">
        <v>222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ht="15.75" customHeight="1" x14ac:dyDescent="0.15">
      <c r="A14" s="1">
        <v>2022</v>
      </c>
      <c r="B14" s="1" t="s">
        <v>217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ht="15.75" customHeight="1" x14ac:dyDescent="0.15">
      <c r="A15" s="1">
        <v>2022</v>
      </c>
      <c r="B15" s="1" t="s">
        <v>218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ht="15.75" customHeight="1" x14ac:dyDescent="0.15">
      <c r="A16" s="1">
        <v>2022</v>
      </c>
      <c r="B16" s="1" t="s">
        <v>219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</row>
    <row r="17" spans="1:26" ht="15.75" customHeight="1" x14ac:dyDescent="0.15">
      <c r="A17" s="1">
        <v>2022</v>
      </c>
      <c r="B17" s="1" t="s">
        <v>220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ht="15.75" customHeight="1" x14ac:dyDescent="0.15">
      <c r="A18" s="1">
        <v>2022</v>
      </c>
      <c r="B18" s="1" t="s">
        <v>221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 ht="15.75" customHeight="1" x14ac:dyDescent="0.15">
      <c r="A19" s="1">
        <v>2022</v>
      </c>
      <c r="B19" s="1" t="s">
        <v>222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ple digest 2023 - 2025</vt:lpstr>
      <vt:lpstr>sne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 Matovu</cp:lastModifiedBy>
  <dcterms:modified xsi:type="dcterms:W3CDTF">2026-02-02T12:58:14Z</dcterms:modified>
</cp:coreProperties>
</file>